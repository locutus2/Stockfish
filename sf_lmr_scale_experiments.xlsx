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<sst xmlns="http://schemas.openxmlformats.org/spreadsheetml/2006/main" count="1921" uniqueCount="330">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</sst>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8"/>
          <c:y val="0.0345500894939524"/>
          <c:w val="0.874340625638929"/>
          <c:h val="0.628789933286326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depth_stats_ltc_new3!$AO$1</c:f>
              <c:strCache>
                <c:ptCount val="1"/>
                <c:pt idx="0">
                  <c:v>r+653=0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depth_stats_ltc_new3!$BI$1</c:f>
              <c:strCache>
                <c:ptCount val="1"/>
                <c:pt idx="0">
                  <c:v>p/(4(p+d))=0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depth_stats_ltc_new3!$BG$1</c:f>
              <c:strCache>
                <c:ptCount val="1"/>
                <c:pt idx="0">
                  <c:v>45p/(256rd)=0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depth_stats_ltc_new3!$BJ$1</c:f>
              <c:strCache>
                <c:ptCount val="1"/>
                <c:pt idx="0">
                  <c:v>(184+21p)/(256d+85p+179)=0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depth_stats_ltc_new3!$BK$1</c:f>
              <c:strCache>
                <c:ptCount val="1"/>
                <c:pt idx="0">
                  <c:v>(r276/(256d+268)+r*p/(4(p+d)))/2=0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depth_stats_ltc_new3!$BM$1</c:f>
              <c:strCache>
                <c:ptCount val="1"/>
                <c:pt idx="0">
                  <c:v>67p/(256rd)=0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depth_stats_ltc_new3!$BL$1</c:f>
              <c:strCache>
                <c:ptCount val="1"/>
                <c:pt idx="0">
                  <c:v>p85/(256(p+d))=0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depth_stats_ltc_new3!$BH$1</c:f>
              <c:strCache>
                <c:ptCount val="1"/>
                <c:pt idx="0">
                  <c:v>p/(2(p+d))=0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depth_stats_ltc_new3!$BF$1</c:f>
              <c:strCache>
                <c:ptCount val="1"/>
                <c:pt idx="0">
                  <c:v>p/(2rd)=0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depth_stats_ltc_new3!$BD$1</c:f>
              <c:strCache>
                <c:ptCount val="1"/>
                <c:pt idx="0">
                  <c:v>w+3d=0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depth_stats_ltc_new3!$BE$1</c:f>
              <c:strCache>
                <c:ptCount val="1"/>
                <c:pt idx="0">
                  <c:v>w+128ncap=0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depth_stats_ltc_new3!$BC$1</c:f>
              <c:strCache>
                <c:ptCount val="1"/>
                <c:pt idx="0">
                  <c:v>w+2d=0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depth_stats_ltc_new3!$BB$1</c:f>
              <c:strCache>
                <c:ptCount val="1"/>
                <c:pt idx="0">
                  <c:v>w+d=0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depth_stats_ltc_new3!$AV$1</c:f>
              <c:strCache>
                <c:ptCount val="1"/>
                <c:pt idx="0">
                  <c:v>w-d=0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depth_stats_ltc_new3!$AX$1</c:f>
              <c:strCache>
                <c:ptCount val="1"/>
                <c:pt idx="0">
                  <c:v>w+(ss+1)-&gt;cuttoffCnt=0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w-2p=0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depth_stats_ltc_new3!$BA$1</c:f>
              <c:strCache>
                <c:ptCount val="1"/>
                <c:pt idx="0">
                  <c:v>w+m=0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depth_stats_ltc_new3!$AR$1</c:f>
              <c:strCache>
                <c:ptCount val="1"/>
                <c:pt idx="0">
                  <c:v>w-p=0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depth_stats_ltc_new3!$AI$1</c:f>
              <c:strCache>
                <c:ptCount val="1"/>
                <c:pt idx="0">
                  <c:v>master_old(3pp-net)=2,96677045562377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27.905</c:v>
                </c:pt>
                <c:pt idx="2">
                  <c:v>16.77888</c:v>
                </c:pt>
                <c:pt idx="3">
                  <c:v>23.03637</c:v>
                </c:pt>
                <c:pt idx="4">
                  <c:v>25.1696</c:v>
                </c:pt>
                <c:pt idx="5">
                  <c:v>24.2054</c:v>
                </c:pt>
                <c:pt idx="6">
                  <c:v>22.61466</c:v>
                </c:pt>
                <c:pt idx="7">
                  <c:v>22.01094</c:v>
                </c:pt>
                <c:pt idx="8">
                  <c:v>21.06952</c:v>
                </c:pt>
                <c:pt idx="9">
                  <c:v>19.58139</c:v>
                </c:pt>
                <c:pt idx="10">
                  <c:v>17.4844</c:v>
                </c:pt>
                <c:pt idx="11">
                  <c:v>15.29473</c:v>
                </c:pt>
                <c:pt idx="12">
                  <c:v>13.09392</c:v>
                </c:pt>
                <c:pt idx="13">
                  <c:v>10.861266</c:v>
                </c:pt>
                <c:pt idx="14">
                  <c:v>8.839558</c:v>
                </c:pt>
                <c:pt idx="15">
                  <c:v>7.05543</c:v>
                </c:pt>
                <c:pt idx="16">
                  <c:v>5.546272</c:v>
                </c:pt>
                <c:pt idx="17">
                  <c:v>4.304009</c:v>
                </c:pt>
                <c:pt idx="18">
                  <c:v>3.272688</c:v>
                </c:pt>
                <c:pt idx="19">
                  <c:v>2.445547</c:v>
                </c:pt>
                <c:pt idx="20">
                  <c:v>1.7991</c:v>
                </c:pt>
                <c:pt idx="21">
                  <c:v>1.3080627</c:v>
                </c:pt>
                <c:pt idx="22">
                  <c:v>0.9365114</c:v>
                </c:pt>
                <c:pt idx="23">
                  <c:v>0.6588534</c:v>
                </c:pt>
                <c:pt idx="24">
                  <c:v>0.45924</c:v>
                </c:pt>
                <c:pt idx="25">
                  <c:v>0.3174275</c:v>
                </c:pt>
                <c:pt idx="26">
                  <c:v>0.21612786</c:v>
                </c:pt>
                <c:pt idx="27">
                  <c:v>0.14534505</c:v>
                </c:pt>
                <c:pt idx="28">
                  <c:v>0.0963032</c:v>
                </c:pt>
                <c:pt idx="29">
                  <c:v>0.06260288</c:v>
                </c:pt>
                <c:pt idx="30">
                  <c:v>0.0400887</c:v>
                </c:pt>
                <c:pt idx="31">
                  <c:v>0.025292435</c:v>
                </c:pt>
                <c:pt idx="32">
                  <c:v>0.016155136</c:v>
                </c:pt>
                <c:pt idx="33">
                  <c:v>0.009999264</c:v>
                </c:pt>
                <c:pt idx="34">
                  <c:v>0.006325836</c:v>
                </c:pt>
                <c:pt idx="35">
                  <c:v>0.00407603</c:v>
                </c:pt>
                <c:pt idx="36">
                  <c:v>0.0024891948</c:v>
                </c:pt>
                <c:pt idx="37">
                  <c:v>0.0014385452</c:v>
                </c:pt>
                <c:pt idx="38">
                  <c:v>0.0008518346</c:v>
                </c:pt>
                <c:pt idx="39">
                  <c:v>0.0005382702</c:v>
                </c:pt>
                <c:pt idx="40">
                  <c:v>0.0003103152</c:v>
                </c:pt>
                <c:pt idx="41">
                  <c:v>0.00016828286</c:v>
                </c:pt>
                <c:pt idx="42">
                  <c:v>9.092958E-005</c:v>
                </c:pt>
                <c:pt idx="43">
                  <c:v>3.8789397E-005</c:v>
                </c:pt>
                <c:pt idx="44">
                  <c:v>1.786114E-005</c:v>
                </c:pt>
                <c:pt idx="45">
                  <c:v>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depth_stats_ltc_new3!$AW$1</c:f>
              <c:strCache>
                <c:ptCount val="1"/>
                <c:pt idx="0">
                  <c:v>w-d+7=0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depth_stats_ltc_new3!$AZ$1</c:f>
              <c:strCache>
                <c:ptCount val="1"/>
                <c:pt idx="0">
                  <c:v>w+128cap=0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depth_stats_ltc_new3!$AY$1</c:f>
              <c:strCache>
                <c:ptCount val="1"/>
                <c:pt idx="0">
                  <c:v>w+5=0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depth_stats_ltc_new3!$AL$1</c:f>
              <c:strCache>
                <c:ptCount val="1"/>
                <c:pt idx="0">
                  <c:v>w+28m=0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depth_stats_ltc_new3!$AT$1</c:f>
              <c:strCache>
                <c:ptCount val="1"/>
                <c:pt idx="0">
                  <c:v>w2=0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depth_stats_ltc_new3!$AQ$1</c:f>
              <c:strCache>
                <c:ptCount val="1"/>
                <c:pt idx="0">
                  <c:v>no_scale=0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depth_stats_ltc_new3!$AP$1</c:f>
              <c:strCache>
                <c:ptCount val="1"/>
                <c:pt idx="0">
                  <c:v>w+4p=0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depth_stats_ltc_new3!$AN$1</c:f>
              <c:strCache>
                <c:ptCount val="1"/>
                <c:pt idx="0">
                  <c:v>w+3p=0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depth_stats_ltc_new3!$AM$1</c:f>
              <c:strCache>
                <c:ptCount val="1"/>
                <c:pt idx="0">
                  <c:v>w+2p=0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depth_stats_ltc_new3!$AK$1</c:f>
              <c:strCache>
                <c:ptCount val="1"/>
                <c:pt idx="0">
                  <c:v>w+128p/rd=0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depth_stats_ltc_new3!$AJ$1</c:f>
              <c:strCache>
                <c:ptCount val="1"/>
                <c:pt idx="0">
                  <c:v>w+256p/rd=0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depth_stats_ltc_new3!$AU$1</c:f>
              <c:strCache>
                <c:ptCount val="1"/>
                <c:pt idx="0">
                  <c:v>w+p-14=0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89269532"/>
        <c:axId val="82156372"/>
      </c:scatterChart>
      <c:valAx>
        <c:axId val="892695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2156372"/>
        <c:crosses val="autoZero"/>
        <c:crossBetween val="midCat"/>
      </c:valAx>
      <c:valAx>
        <c:axId val="8215637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926953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8"/>
          <c:y val="0.0345500894939524"/>
          <c:w val="0.874340625638929"/>
          <c:h val="0.628789933286326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depth_stats_stc_new3!$AO$1</c:f>
              <c:strCache>
                <c:ptCount val="1"/>
                <c:pt idx="0">
                  <c:v>r+653=-2,62367299066932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w-2p=-2,62367299066932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depth_stats_stc_new3!$AR$1</c:f>
              <c:strCache>
                <c:ptCount val="1"/>
                <c:pt idx="0">
                  <c:v>w-p=-2,62367299066932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depth_stats_stc_new3!$AL$1</c:f>
              <c:strCache>
                <c:ptCount val="1"/>
                <c:pt idx="0">
                  <c:v>w+28m=-2,62367299066932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depth_stats_stc_new3!$AT$1</c:f>
              <c:strCache>
                <c:ptCount val="1"/>
                <c:pt idx="0">
                  <c:v>w2=-2,62367299066932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depth_stats_stc_new3!$AQ$1</c:f>
              <c:strCache>
                <c:ptCount val="1"/>
                <c:pt idx="0">
                  <c:v>no_scale=-2,62367299066932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depth_stats_stc_new3!$AP$1</c:f>
              <c:strCache>
                <c:ptCount val="1"/>
                <c:pt idx="0">
                  <c:v>w+4p=-2,62367299066932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depth_stats_stc_new3!$AN$1</c:f>
              <c:strCache>
                <c:ptCount val="1"/>
                <c:pt idx="0">
                  <c:v>w+3p=-2,62367299066932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depth_stats_stc_new3!$AM$1</c:f>
              <c:strCache>
                <c:ptCount val="1"/>
                <c:pt idx="0">
                  <c:v>w+2p=-2,62367299066932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depth_stats_stc_new3!$AK$1</c:f>
              <c:strCache>
                <c:ptCount val="1"/>
                <c:pt idx="0">
                  <c:v>w+128p/rd=-2,62367299066932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depth_stats_stc_new3!$AJ$1</c:f>
              <c:strCache>
                <c:ptCount val="1"/>
                <c:pt idx="0">
                  <c:v>w+256p/rd=-2,62367299066932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depth_stats_stc_new3!$AU$1</c:f>
              <c:strCache>
                <c:ptCount val="1"/>
                <c:pt idx="0">
                  <c:v>w+p-14=-2,62367299066932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84170035"/>
        <c:axId val="19629274"/>
      </c:scatterChart>
      <c:valAx>
        <c:axId val="841700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9629274"/>
        <c:crosses val="autoZero"/>
        <c:crossBetween val="midCat"/>
      </c:valAx>
      <c:valAx>
        <c:axId val="196292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417003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8"/>
          <c:y val="0.0345500894939524"/>
          <c:w val="0.874340625638929"/>
          <c:h val="0.628789933286326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1818537"/>
        <c:axId val="81699590"/>
      </c:scatterChart>
      <c:valAx>
        <c:axId val="18185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699590"/>
        <c:crosses val="autoZero"/>
        <c:crossBetween val="midCat"/>
      </c:valAx>
      <c:valAx>
        <c:axId val="816995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81853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8"/>
          <c:y val="0.0345500894939524"/>
          <c:w val="0.874340625638929"/>
          <c:h val="0.628789933286326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93529306"/>
        <c:axId val="1756394"/>
      </c:scatterChart>
      <c:valAx>
        <c:axId val="9352930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56394"/>
        <c:crosses val="autoZero"/>
        <c:crossBetween val="midCat"/>
      </c:valAx>
      <c:valAx>
        <c:axId val="17563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352930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659668689519"/>
          <c:y val="0.0346092699033876"/>
          <c:w val="0.874200426439233"/>
          <c:h val="0.66289592760181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30514091"/>
        <c:axId val="99962714"/>
      </c:scatterChart>
      <c:valAx>
        <c:axId val="3051409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9962714"/>
        <c:crosses val="autoZero"/>
        <c:crossBetween val="midCat"/>
      </c:valAx>
      <c:valAx>
        <c:axId val="999627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051409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8"/>
          <c:y val="0.0345500894939524"/>
          <c:w val="0.874381517072173"/>
          <c:h val="0.628789933286326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62867833"/>
        <c:axId val="85559369"/>
      </c:scatterChart>
      <c:valAx>
        <c:axId val="6286783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5559369"/>
        <c:crosses val="autoZero"/>
        <c:crossBetween val="midCat"/>
      </c:valAx>
      <c:valAx>
        <c:axId val="855593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286783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43223994"/>
        <c:axId val="85720983"/>
      </c:scatterChart>
      <c:valAx>
        <c:axId val="4322399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5720983"/>
        <c:crosses val="autoZero"/>
        <c:crossBetween val="midCat"/>
      </c:valAx>
      <c:valAx>
        <c:axId val="8572098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322399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83949263"/>
        <c:axId val="6912397"/>
      </c:scatterChart>
      <c:valAx>
        <c:axId val="8394926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12397"/>
        <c:crosses val="autoZero"/>
        <c:crossBetween val="midCat"/>
      </c:valAx>
      <c:valAx>
        <c:axId val="69123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394926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37440170"/>
        <c:axId val="42709158"/>
      </c:scatterChart>
      <c:valAx>
        <c:axId val="374401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709158"/>
        <c:crosses val="autoZero"/>
        <c:crossBetween val="midCat"/>
      </c:valAx>
      <c:valAx>
        <c:axId val="4270915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74401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3965493"/>
        <c:axId val="33601724"/>
      </c:scatterChart>
      <c:valAx>
        <c:axId val="396549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3601724"/>
        <c:crosses val="autoZero"/>
        <c:crossBetween val="midCat"/>
      </c:valAx>
      <c:valAx>
        <c:axId val="336017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96549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87627563"/>
        <c:axId val="69272883"/>
      </c:scatterChart>
      <c:valAx>
        <c:axId val="8762756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272883"/>
        <c:crosses val="autoZero"/>
        <c:crossBetween val="midCat"/>
      </c:valAx>
      <c:valAx>
        <c:axId val="6927288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762756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48602535"/>
        <c:axId val="8146856"/>
      </c:scatterChart>
      <c:valAx>
        <c:axId val="4860253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146856"/>
        <c:crosses val="autoZero"/>
        <c:crossBetween val="midCat"/>
      </c:valAx>
      <c:valAx>
        <c:axId val="8146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860253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72245116"/>
        <c:axId val="11858233"/>
      </c:scatterChart>
      <c:valAx>
        <c:axId val="7224511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1858233"/>
        <c:crosses val="autoZero"/>
        <c:crossBetween val="midCat"/>
      </c:valAx>
      <c:valAx>
        <c:axId val="118582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224511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29622584"/>
        <c:axId val="45803872"/>
      </c:scatterChart>
      <c:valAx>
        <c:axId val="296225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803872"/>
        <c:crosses val="autoZero"/>
        <c:crossBetween val="midCat"/>
      </c:valAx>
      <c:valAx>
        <c:axId val="458038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962258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86141151466"/>
          <c:y val="0.0400444938820912"/>
          <c:w val="0.873726323685691"/>
          <c:h val="0.959621802002225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36536072"/>
        <c:axId val="49006705"/>
      </c:scatterChart>
      <c:valAx>
        <c:axId val="365360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006705"/>
        <c:crossesAt val="0"/>
        <c:crossBetween val="midCat"/>
      </c:valAx>
      <c:valAx>
        <c:axId val="4900670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53607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78621929"/>
        <c:axId val="36159932"/>
      </c:scatterChart>
      <c:valAx>
        <c:axId val="786219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159932"/>
        <c:crossesAt val="0"/>
        <c:crossBetween val="midCat"/>
      </c:valAx>
      <c:valAx>
        <c:axId val="3615993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62192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68447522"/>
        <c:axId val="24897430"/>
      </c:scatterChart>
      <c:valAx>
        <c:axId val="684475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897430"/>
        <c:crossesAt val="0"/>
        <c:crossBetween val="midCat"/>
      </c:valAx>
      <c:valAx>
        <c:axId val="2489743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4752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29773762"/>
        <c:axId val="38187311"/>
      </c:scatterChart>
      <c:valAx>
        <c:axId val="297737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187311"/>
        <c:crossesAt val="0"/>
        <c:crossBetween val="midCat"/>
      </c:valAx>
      <c:valAx>
        <c:axId val="3818731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77376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65896233"/>
        <c:axId val="24648856"/>
      </c:scatterChart>
      <c:valAx>
        <c:axId val="658962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648856"/>
        <c:crossesAt val="0"/>
        <c:crossBetween val="midCat"/>
      </c:valAx>
      <c:valAx>
        <c:axId val="2464885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89623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10514471463"/>
          <c:y val="0.0400489487150962"/>
          <c:w val="0.778145902356692"/>
          <c:h val="0.959617310045611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84043140"/>
        <c:axId val="10839702"/>
      </c:scatterChart>
      <c:valAx>
        <c:axId val="840431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839702"/>
        <c:crossesAt val="0"/>
        <c:crossBetween val="midCat"/>
      </c:valAx>
      <c:valAx>
        <c:axId val="1083970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04314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66361057"/>
        <c:axId val="42298693"/>
      </c:scatterChart>
      <c:valAx>
        <c:axId val="663610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298693"/>
        <c:crossesAt val="0"/>
        <c:crossBetween val="midCat"/>
      </c:valAx>
      <c:valAx>
        <c:axId val="4229869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36105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11880</xdr:colOff>
      <xdr:row>38</xdr:row>
      <xdr:rowOff>111240</xdr:rowOff>
    </xdr:to>
    <xdr:graphicFrame>
      <xdr:nvGraphicFramePr>
        <xdr:cNvPr id="1" name=""/>
        <xdr:cNvGraphicFramePr/>
      </xdr:nvGraphicFramePr>
      <xdr:xfrm>
        <a:off x="55863360" y="134280"/>
        <a:ext cx="8803440" cy="663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639360</xdr:colOff>
      <xdr:row>0</xdr:row>
      <xdr:rowOff>134280</xdr:rowOff>
    </xdr:from>
    <xdr:to>
      <xdr:col>76</xdr:col>
      <xdr:colOff>527400</xdr:colOff>
      <xdr:row>38</xdr:row>
      <xdr:rowOff>111240</xdr:rowOff>
    </xdr:to>
    <xdr:graphicFrame>
      <xdr:nvGraphicFramePr>
        <xdr:cNvPr id="2" name=""/>
        <xdr:cNvGraphicFramePr/>
      </xdr:nvGraphicFramePr>
      <xdr:xfrm>
        <a:off x="55863360" y="134280"/>
        <a:ext cx="8803440" cy="663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310680</xdr:colOff>
      <xdr:row>38</xdr:row>
      <xdr:rowOff>111240</xdr:rowOff>
    </xdr:to>
    <xdr:graphicFrame>
      <xdr:nvGraphicFramePr>
        <xdr:cNvPr id="3" name=""/>
        <xdr:cNvGraphicFramePr/>
      </xdr:nvGraphicFramePr>
      <xdr:xfrm>
        <a:off x="55862640" y="134280"/>
        <a:ext cx="8803440" cy="663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588240</xdr:colOff>
      <xdr:row>38</xdr:row>
      <xdr:rowOff>111240</xdr:rowOff>
    </xdr:to>
    <xdr:graphicFrame>
      <xdr:nvGraphicFramePr>
        <xdr:cNvPr id="4" name=""/>
        <xdr:cNvGraphicFramePr/>
      </xdr:nvGraphicFramePr>
      <xdr:xfrm>
        <a:off x="55863360" y="134280"/>
        <a:ext cx="8803440" cy="663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629640</xdr:colOff>
      <xdr:row>34</xdr:row>
      <xdr:rowOff>159480</xdr:rowOff>
    </xdr:to>
    <xdr:graphicFrame>
      <xdr:nvGraphicFramePr>
        <xdr:cNvPr id="5" name=""/>
        <xdr:cNvGraphicFramePr/>
      </xdr:nvGraphicFramePr>
      <xdr:xfrm>
        <a:off x="40653720" y="231120"/>
        <a:ext cx="8779320" cy="5887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11880</xdr:colOff>
      <xdr:row>38</xdr:row>
      <xdr:rowOff>111240</xdr:rowOff>
    </xdr:to>
    <xdr:graphicFrame>
      <xdr:nvGraphicFramePr>
        <xdr:cNvPr id="6" name=""/>
        <xdr:cNvGraphicFramePr/>
      </xdr:nvGraphicFramePr>
      <xdr:xfrm>
        <a:off x="55863360" y="134280"/>
        <a:ext cx="8803440" cy="663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218160</xdr:colOff>
      <xdr:row>18</xdr:row>
      <xdr:rowOff>6840</xdr:rowOff>
    </xdr:to>
    <xdr:graphicFrame>
      <xdr:nvGraphicFramePr>
        <xdr:cNvPr id="7" name="Diagramm 2"/>
        <xdr:cNvGraphicFramePr/>
      </xdr:nvGraphicFramePr>
      <xdr:xfrm>
        <a:off x="18892080" y="174600"/>
        <a:ext cx="5342400" cy="326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221040</xdr:colOff>
      <xdr:row>34</xdr:row>
      <xdr:rowOff>181080</xdr:rowOff>
    </xdr:to>
    <xdr:graphicFrame>
      <xdr:nvGraphicFramePr>
        <xdr:cNvPr id="8" name="Diagramm 3"/>
        <xdr:cNvGraphicFramePr/>
      </xdr:nvGraphicFramePr>
      <xdr:xfrm>
        <a:off x="18904320" y="3520800"/>
        <a:ext cx="5333040" cy="313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8640</xdr:colOff>
      <xdr:row>16</xdr:row>
      <xdr:rowOff>91800</xdr:rowOff>
    </xdr:to>
    <xdr:graphicFrame>
      <xdr:nvGraphicFramePr>
        <xdr:cNvPr id="9" name="Diagramm 2"/>
        <xdr:cNvGraphicFramePr/>
      </xdr:nvGraphicFramePr>
      <xdr:xfrm>
        <a:off x="39333240" y="116640"/>
        <a:ext cx="5175720" cy="302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52920</xdr:colOff>
      <xdr:row>33</xdr:row>
      <xdr:rowOff>111240</xdr:rowOff>
    </xdr:to>
    <xdr:graphicFrame>
      <xdr:nvGraphicFramePr>
        <xdr:cNvPr id="10" name="Diagramm 3"/>
        <xdr:cNvGraphicFramePr/>
      </xdr:nvGraphicFramePr>
      <xdr:xfrm>
        <a:off x="39324960" y="3232080"/>
        <a:ext cx="5228280" cy="316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189000</xdr:colOff>
      <xdr:row>18</xdr:row>
      <xdr:rowOff>168480</xdr:rowOff>
    </xdr:to>
    <xdr:graphicFrame>
      <xdr:nvGraphicFramePr>
        <xdr:cNvPr id="11" name="Diagramm 2"/>
        <xdr:cNvGraphicFramePr/>
      </xdr:nvGraphicFramePr>
      <xdr:xfrm>
        <a:off x="10677960" y="61920"/>
        <a:ext cx="5342400" cy="326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189360</xdr:colOff>
      <xdr:row>38</xdr:row>
      <xdr:rowOff>82800</xdr:rowOff>
    </xdr:to>
    <xdr:graphicFrame>
      <xdr:nvGraphicFramePr>
        <xdr:cNvPr id="12" name="Diagramm 3"/>
        <xdr:cNvGraphicFramePr/>
      </xdr:nvGraphicFramePr>
      <xdr:xfrm>
        <a:off x="10687680" y="3605400"/>
        <a:ext cx="5333040" cy="313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27360</xdr:colOff>
      <xdr:row>17</xdr:row>
      <xdr:rowOff>124920</xdr:rowOff>
    </xdr:to>
    <xdr:graphicFrame>
      <xdr:nvGraphicFramePr>
        <xdr:cNvPr id="13" name="Diagramm 2"/>
        <xdr:cNvGraphicFramePr/>
      </xdr:nvGraphicFramePr>
      <xdr:xfrm>
        <a:off x="10683000" y="81000"/>
        <a:ext cx="5175720" cy="302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103680</xdr:colOff>
      <xdr:row>37</xdr:row>
      <xdr:rowOff>96840</xdr:rowOff>
    </xdr:to>
    <xdr:graphicFrame>
      <xdr:nvGraphicFramePr>
        <xdr:cNvPr id="14" name="Diagramm 3"/>
        <xdr:cNvGraphicFramePr/>
      </xdr:nvGraphicFramePr>
      <xdr:xfrm>
        <a:off x="10706760" y="3415680"/>
        <a:ext cx="5228280" cy="316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538200</xdr:colOff>
      <xdr:row>19</xdr:row>
      <xdr:rowOff>146160</xdr:rowOff>
    </xdr:to>
    <xdr:graphicFrame>
      <xdr:nvGraphicFramePr>
        <xdr:cNvPr id="15" name="Diagramm 1"/>
        <xdr:cNvGraphicFramePr/>
      </xdr:nvGraphicFramePr>
      <xdr:xfrm>
        <a:off x="4326120" y="240120"/>
        <a:ext cx="575856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702720</xdr:colOff>
      <xdr:row>22</xdr:row>
      <xdr:rowOff>122760</xdr:rowOff>
    </xdr:to>
    <xdr:graphicFrame>
      <xdr:nvGraphicFramePr>
        <xdr:cNvPr id="16" name="Diagramm 1"/>
        <xdr:cNvGraphicFramePr/>
      </xdr:nvGraphicFramePr>
      <xdr:xfrm>
        <a:off x="1713240" y="360"/>
        <a:ext cx="9794520" cy="397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702720</xdr:colOff>
      <xdr:row>22</xdr:row>
      <xdr:rowOff>122760</xdr:rowOff>
    </xdr:to>
    <xdr:graphicFrame>
      <xdr:nvGraphicFramePr>
        <xdr:cNvPr id="17" name="Diagramm 1"/>
        <xdr:cNvGraphicFramePr/>
      </xdr:nvGraphicFramePr>
      <xdr:xfrm>
        <a:off x="1713240" y="360"/>
        <a:ext cx="9794520" cy="397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264960</xdr:colOff>
      <xdr:row>129</xdr:row>
      <xdr:rowOff>133200</xdr:rowOff>
    </xdr:to>
    <xdr:graphicFrame>
      <xdr:nvGraphicFramePr>
        <xdr:cNvPr id="18" name="Diagramm 1"/>
        <xdr:cNvGraphicFramePr/>
      </xdr:nvGraphicFramePr>
      <xdr:xfrm>
        <a:off x="2215800" y="19506240"/>
        <a:ext cx="575856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421920</xdr:colOff>
      <xdr:row>20</xdr:row>
      <xdr:rowOff>69120</xdr:rowOff>
    </xdr:to>
    <xdr:graphicFrame>
      <xdr:nvGraphicFramePr>
        <xdr:cNvPr id="19" name="Diagramm 2"/>
        <xdr:cNvGraphicFramePr/>
      </xdr:nvGraphicFramePr>
      <xdr:xfrm>
        <a:off x="16316280" y="331560"/>
        <a:ext cx="5758560" cy="324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2520</xdr:colOff>
      <xdr:row>78</xdr:row>
      <xdr:rowOff>81720</xdr:rowOff>
    </xdr:to>
    <xdr:graphicFrame>
      <xdr:nvGraphicFramePr>
        <xdr:cNvPr id="20" name="Diagramm 3"/>
        <xdr:cNvGraphicFramePr/>
      </xdr:nvGraphicFramePr>
      <xdr:xfrm>
        <a:off x="16639920" y="10516320"/>
        <a:ext cx="575856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228600</xdr:colOff>
      <xdr:row>18</xdr:row>
      <xdr:rowOff>119880</xdr:rowOff>
    </xdr:to>
    <xdr:graphicFrame>
      <xdr:nvGraphicFramePr>
        <xdr:cNvPr id="21" name="Diagramm 1"/>
        <xdr:cNvGraphicFramePr/>
      </xdr:nvGraphicFramePr>
      <xdr:xfrm>
        <a:off x="5729760" y="36000"/>
        <a:ext cx="575856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master_2062-07-26=0</v>
      </c>
      <c r="C1" s="1" t="str">
        <f aca="false">"master_old(3pp-net)="&amp; SUMPRODUCT($A2:$A65,C2:C65)/100-SUMPRODUCT($A2:$A65,$B2:$B65)/100</f>
        <v>master_old(3pp-net)=2,96677045562377</v>
      </c>
      <c r="D1" s="1" t="str">
        <f aca="false">"w+256p/rd="&amp; SUMPRODUCT($A2:$A65,D2:D65)/100-SUMPRODUCT($A2:$A65,$B2:$B65)/100</f>
        <v>w+256p/rd=0</v>
      </c>
      <c r="E1" s="1" t="str">
        <f aca="false">"w+128p/rd="&amp; SUMPRODUCT($A2:$A65,E2:E65)/100-SUMPRODUCT($A2:$A65,$B2:$B65)/100</f>
        <v>w+128p/rd=0</v>
      </c>
      <c r="F1" s="1" t="str">
        <f aca="false">"w+28m="&amp; SUMPRODUCT($A2:$A65,F2:F65)/100-SUMPRODUCT($A2:$A65,$B2:$B65)/100</f>
        <v>w+28m=0</v>
      </c>
      <c r="G1" s="1" t="str">
        <f aca="false">"w+2p="&amp; SUMPRODUCT($A2:$A65,G2:G65)/100-SUMPRODUCT($A2:$A65,$B2:$B65)/100</f>
        <v>w+2p=0</v>
      </c>
      <c r="H1" s="1" t="str">
        <f aca="false">"w+3p="&amp; SUMPRODUCT($A2:$A65,H2:H65)/100-SUMPRODUCT($A2:$A65,$B2:$B65)/100</f>
        <v>w+3p=0</v>
      </c>
      <c r="I1" s="1" t="str">
        <f aca="false">"r+653="&amp; SUMPRODUCT($A2:$A65,I2:I65)/100-SUMPRODUCT($A2:$A65,$B2:$B65)/100</f>
        <v>r+653=0</v>
      </c>
      <c r="J1" s="1" t="str">
        <f aca="false">"w+4p="&amp; SUMPRODUCT($A2:$A65,J2:J65)/100-SUMPRODUCT($A2:$A65,$B2:$B65)/100</f>
        <v>w+4p=0</v>
      </c>
      <c r="K1" s="1" t="str">
        <f aca="false">"no_scale="&amp; SUMPRODUCT($A2:$A65,K2:K65)/100-SUMPRODUCT($A2:$A65,$B2:$B65)/100</f>
        <v>no_scale=0</v>
      </c>
      <c r="L1" s="1" t="str">
        <f aca="false">"w-p="&amp; SUMPRODUCT($A2:$A65,L2:L65)/100-SUMPRODUCT($A2:$A65,$B2:$B65)/100</f>
        <v>w-p=0</v>
      </c>
      <c r="M1" s="1" t="str">
        <f aca="false">"w-2p="&amp; SUMPRODUCT($A2:$A65,M2:M65)/100-SUMPRODUCT($A2:$A65,$B2:$B65)/100</f>
        <v>w-2p=0</v>
      </c>
      <c r="N1" s="1" t="str">
        <f aca="false">"w2="&amp; SUMPRODUCT($A2:$A65,N2:N65)/100-SUMPRODUCT($A2:$A65,$B2:$B65)/100</f>
        <v>w2=0</v>
      </c>
      <c r="O1" s="1" t="str">
        <f aca="false">"w+p-14="&amp; SUMPRODUCT($A2:$A65,O2:O65)/100-SUMPRODUCT($A2:$A65,$B2:$B65)/100</f>
        <v>w+p-14=0</v>
      </c>
      <c r="P1" s="1" t="str">
        <f aca="false">"w-d="&amp; SUMPRODUCT($A2:$A65,P2:P65)/100-SUMPRODUCT($A2:$A65,$B2:$B65)/100</f>
        <v>w-d=0</v>
      </c>
      <c r="Q1" s="1" t="str">
        <f aca="false">"w-d+7="&amp; SUMPRODUCT($A2:$A65,Q2:Q65)/100-SUMPRODUCT($A2:$A65,$B2:$B65)/100</f>
        <v>w-d+7=0</v>
      </c>
      <c r="R1" s="1" t="str">
        <f aca="false">"w+(ss+1)-&gt;cuttoffCnt="&amp; SUMPRODUCT($A2:$A65,R2:R65)/100-SUMPRODUCT($A2:$A65,$B2:$B65)/100</f>
        <v>w+(ss+1)-&gt;cuttoffCnt=0</v>
      </c>
      <c r="S1" s="1" t="str">
        <f aca="false">"w+5="&amp; SUMPRODUCT($A2:$A65,S2:S65)/100-SUMPRODUCT($A2:$A65,$B2:$B65)/100</f>
        <v>w+5=0</v>
      </c>
      <c r="T1" s="1" t="str">
        <f aca="false">"w+128cap="&amp; SUMPRODUCT($A2:$A65,T2:T65)/100-SUMPRODUCT($A2:$A65,$B2:$B65)/100</f>
        <v>w+128cap=0</v>
      </c>
      <c r="U1" s="1" t="str">
        <f aca="false">"w+m="&amp; SUMPRODUCT($A2:$A65,U2:U65)/100-SUMPRODUCT($A2:$A65,$B2:$B65)/100</f>
        <v>w+m=0</v>
      </c>
      <c r="V1" s="1" t="str">
        <f aca="false">"w+d="&amp; SUMPRODUCT($A2:$A65,V2:V65)/100-SUMPRODUCT($A2:$A65,$B2:$B65)/100</f>
        <v>w+d=0</v>
      </c>
      <c r="W1" s="1" t="str">
        <f aca="false">"w+2d="&amp; SUMPRODUCT($A2:$A65,W2:W65)/100-SUMPRODUCT($A2:$A65,$B2:$B65)/100</f>
        <v>w+2d=0</v>
      </c>
      <c r="X1" s="1" t="str">
        <f aca="false">"w+3d="&amp; SUMPRODUCT($A2:$A65,X2:X65)/100-SUMPRODUCT($A2:$A65,$B2:$B65)/100</f>
        <v>w+3d=0</v>
      </c>
      <c r="Y1" s="1" t="str">
        <f aca="false">"w+128ncap="&amp; SUMPRODUCT($A2:$A65,Y2:Y65)/100-SUMPRODUCT($A2:$A65,$B2:$B65)/100</f>
        <v>w+128ncap=0</v>
      </c>
      <c r="Z1" s="1" t="str">
        <f aca="false">"p/(2rd)="&amp; SUMPRODUCT($A2:$A65,Z2:Z65)/100-SUMPRODUCT($A2:$A65,$B2:$B65)/100</f>
        <v>p/(2rd)=0</v>
      </c>
      <c r="AA1" s="1" t="str">
        <f aca="false">"45p/(256rd)="&amp; SUMPRODUCT($A2:$A65,AA2:AA65)/100-SUMPRODUCT($A2:$A65,$B2:$B65)/100</f>
        <v>45p/(256rd)=0</v>
      </c>
      <c r="AB1" s="1" t="str">
        <f aca="false">"p/(2(p+d))="&amp; SUMPRODUCT($A2:$A65,AB2:AB65)/100-SUMPRODUCT($A2:$A65,$B2:$B65)/100</f>
        <v>p/(2(p+d))=0</v>
      </c>
      <c r="AC1" s="1" t="str">
        <f aca="false">"p/(4(p+d))="&amp; SUMPRODUCT($A2:$A65,AC2:AC65)/100-SUMPRODUCT($A2:$A65,$B2:$B65)/100</f>
        <v>p/(4(p+d))=0</v>
      </c>
      <c r="AD1" s="1" t="str">
        <f aca="false">"(184+21p)/(256d+85p+179)="&amp; SUMPRODUCT($A2:$A65,AD2:AD65)/100-SUMPRODUCT($A2:$A65,$B2:$B65)/100</f>
        <v>(184+21p)/(256d+85p+179)=0</v>
      </c>
      <c r="AE1" s="1" t="str">
        <f aca="false">"(r276/(256d+268)+r*p/(4(p+d)))/2="&amp; SUMPRODUCT($A2:$A65,AE2:AE65)/100-SUMPRODUCT($A2:$A65,$B2:$B65)/100</f>
        <v>(r276/(256d+268)+r*p/(4(p+d)))/2=0</v>
      </c>
      <c r="AF1" s="1" t="str">
        <f aca="false">"p85/(256(p+d))="&amp; SUMPRODUCT($A2:$A65,AF2:AF65)/100-SUMPRODUCT($A2:$A65,$B2:$B65)/100</f>
        <v>p85/(256(p+d))=0</v>
      </c>
      <c r="AG1" s="1" t="str">
        <f aca="false">"67p/(256rd)="&amp; SUMPRODUCT($A2:$A65,AG2:AG65)/100-SUMPRODUCT($A2:$A65,$B2:$B65)/100</f>
        <v>67p/(256rd)=0</v>
      </c>
      <c r="AI1" s="1" t="str">
        <f aca="false">C1</f>
        <v>master_old(3pp-net)=2,96677045562377</v>
      </c>
      <c r="AJ1" s="1" t="str">
        <f aca="false">D1</f>
        <v>w+256p/rd=0</v>
      </c>
      <c r="AK1" s="1" t="str">
        <f aca="false">E1</f>
        <v>w+128p/rd=0</v>
      </c>
      <c r="AL1" s="1" t="str">
        <f aca="false">F1</f>
        <v>w+28m=0</v>
      </c>
      <c r="AM1" s="1" t="str">
        <f aca="false">G1</f>
        <v>w+2p=0</v>
      </c>
      <c r="AN1" s="1" t="str">
        <f aca="false">H1</f>
        <v>w+3p=0</v>
      </c>
      <c r="AO1" s="1" t="str">
        <f aca="false">I1</f>
        <v>r+653=0</v>
      </c>
      <c r="AP1" s="1" t="str">
        <f aca="false">J1</f>
        <v>w+4p=0</v>
      </c>
      <c r="AQ1" s="1" t="str">
        <f aca="false">K1</f>
        <v>no_scale=0</v>
      </c>
      <c r="AR1" s="1" t="str">
        <f aca="false">L1</f>
        <v>w-p=0</v>
      </c>
      <c r="AS1" s="1" t="str">
        <f aca="false">M1</f>
        <v>w-2p=0</v>
      </c>
      <c r="AT1" s="1" t="str">
        <f aca="false">N1</f>
        <v>w2=0</v>
      </c>
      <c r="AU1" s="1" t="str">
        <f aca="false">O1</f>
        <v>w+p-14=0</v>
      </c>
      <c r="AV1" s="1" t="str">
        <f aca="false">P1</f>
        <v>w-d=0</v>
      </c>
      <c r="AW1" s="1" t="str">
        <f aca="false">Q1</f>
        <v>w-d+7=0</v>
      </c>
      <c r="AX1" s="1" t="str">
        <f aca="false">R1</f>
        <v>w+(ss+1)-&gt;cuttoffCnt=0</v>
      </c>
      <c r="AY1" s="1" t="str">
        <f aca="false">S1</f>
        <v>w+5=0</v>
      </c>
      <c r="AZ1" s="1" t="str">
        <f aca="false">T1</f>
        <v>w+128cap=0</v>
      </c>
      <c r="BA1" s="1" t="str">
        <f aca="false">U1</f>
        <v>w+m=0</v>
      </c>
      <c r="BB1" s="1" t="str">
        <f aca="false">V1</f>
        <v>w+d=0</v>
      </c>
      <c r="BC1" s="1" t="str">
        <f aca="false">W1</f>
        <v>w+2d=0</v>
      </c>
      <c r="BD1" s="1" t="str">
        <f aca="false">X1</f>
        <v>w+3d=0</v>
      </c>
      <c r="BE1" s="1" t="str">
        <f aca="false">Y1</f>
        <v>w+128ncap=0</v>
      </c>
      <c r="BF1" s="1" t="str">
        <f aca="false">Z1</f>
        <v>p/(2rd)=0</v>
      </c>
      <c r="BG1" s="1" t="str">
        <f aca="false">AA1</f>
        <v>45p/(256rd)=0</v>
      </c>
      <c r="BH1" s="1" t="str">
        <f aca="false">AB1</f>
        <v>p/(2(p+d))=0</v>
      </c>
      <c r="BI1" s="1" t="str">
        <f aca="false">AC1</f>
        <v>p/(4(p+d))=0</v>
      </c>
      <c r="BJ1" s="1" t="str">
        <f aca="false">AD1</f>
        <v>(184+21p)/(256d+85p+179)=0</v>
      </c>
      <c r="BK1" s="1" t="str">
        <f aca="false">AE1</f>
        <v>(r276/(256d+268)+r*p/(4(p+d)))/2=0</v>
      </c>
      <c r="BL1" s="1" t="str">
        <f aca="false">AF1</f>
        <v>p85/(256(p+d))=0</v>
      </c>
      <c r="BM1" s="1" t="str">
        <f aca="false">AG1</f>
        <v>67p/(256rd)=0</v>
      </c>
    </row>
    <row r="2" customFormat="false" ht="13.8" hidden="false" customHeight="false" outlineLevel="0" collapsed="false">
      <c r="A2" s="1" t="n">
        <v>0</v>
      </c>
      <c r="C2" s="1" t="n">
        <v>25.8147</v>
      </c>
      <c r="AH2" s="2"/>
      <c r="AI2" s="2" t="n">
        <f aca="false">(C2-$B2)*$A2</f>
        <v>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C3" s="1" t="n">
        <v>27.905</v>
      </c>
      <c r="AH3" s="2"/>
      <c r="AI3" s="2" t="n">
        <f aca="false">(C3-$B3)*$A3</f>
        <v>27.905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C4" s="1" t="n">
        <v>8.38944</v>
      </c>
      <c r="AH4" s="2"/>
      <c r="AI4" s="2" t="n">
        <f aca="false">(C4-$B4)*$A4</f>
        <v>16.77888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C5" s="1" t="n">
        <v>7.67879</v>
      </c>
      <c r="AH5" s="2"/>
      <c r="AI5" s="2" t="n">
        <f aca="false">(C5-$B5)*$A5</f>
        <v>23.03637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C6" s="1" t="n">
        <v>6.2924</v>
      </c>
      <c r="AH6" s="2"/>
      <c r="AI6" s="2" t="n">
        <f aca="false">(C6-$B6)*$A6</f>
        <v>25.1696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C7" s="1" t="n">
        <v>4.84108</v>
      </c>
      <c r="AH7" s="2"/>
      <c r="AI7" s="2" t="n">
        <f aca="false">(C7-$B7)*$A7</f>
        <v>24.2054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C8" s="1" t="n">
        <v>3.76911</v>
      </c>
      <c r="AH8" s="2"/>
      <c r="AI8" s="2" t="n">
        <f aca="false">(C8-$B8)*$A8</f>
        <v>22.61466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C9" s="1" t="n">
        <v>3.14442</v>
      </c>
      <c r="AH9" s="2"/>
      <c r="AI9" s="2" t="n">
        <f aca="false">(C9-$B9)*$A9</f>
        <v>22.01094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C10" s="1" t="n">
        <v>2.63369</v>
      </c>
      <c r="AH10" s="2"/>
      <c r="AI10" s="2" t="n">
        <f aca="false">(C10-$B10)*$A10</f>
        <v>21.06952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C11" s="1" t="n">
        <v>2.17571</v>
      </c>
      <c r="AH11" s="2"/>
      <c r="AI11" s="2" t="n">
        <f aca="false">(C11-$B11)*$A11</f>
        <v>19.58139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C12" s="1" t="n">
        <v>1.74844</v>
      </c>
      <c r="AH12" s="2"/>
      <c r="AI12" s="2" t="n">
        <f aca="false">(C12-$B12)*$A12</f>
        <v>17.4844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C13" s="1" t="n">
        <v>1.39043</v>
      </c>
      <c r="AH13" s="2"/>
      <c r="AI13" s="2" t="n">
        <f aca="false">(C13-$B13)*$A13</f>
        <v>15.29473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C14" s="1" t="n">
        <v>1.09116</v>
      </c>
      <c r="AH14" s="2"/>
      <c r="AI14" s="2" t="n">
        <f aca="false">(C14-$B14)*$A14</f>
        <v>13.09392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C15" s="1" t="n">
        <v>0.835482</v>
      </c>
      <c r="AH15" s="2"/>
      <c r="AI15" s="2" t="n">
        <f aca="false">(C15-$B15)*$A15</f>
        <v>10.861266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C16" s="1" t="n">
        <v>0.631397</v>
      </c>
      <c r="AH16" s="2"/>
      <c r="AI16" s="2" t="n">
        <f aca="false">(C16-$B16)*$A16</f>
        <v>8.839558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C17" s="1" t="n">
        <v>0.470362</v>
      </c>
      <c r="AH17" s="2"/>
      <c r="AI17" s="2" t="n">
        <f aca="false">(C17-$B17)*$A17</f>
        <v>7.05543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C18" s="1" t="n">
        <v>0.346642</v>
      </c>
      <c r="AH18" s="2"/>
      <c r="AI18" s="2" t="n">
        <f aca="false">(C18-$B18)*$A18</f>
        <v>5.546272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C19" s="1" t="n">
        <v>0.253177</v>
      </c>
      <c r="AH19" s="2"/>
      <c r="AI19" s="2" t="n">
        <f aca="false">(C19-$B19)*$A19</f>
        <v>4.304009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C20" s="1" t="n">
        <v>0.181816</v>
      </c>
      <c r="AH20" s="2"/>
      <c r="AI20" s="2" t="n">
        <f aca="false">(C20-$B20)*$A20</f>
        <v>3.272688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C21" s="1" t="n">
        <v>0.128713</v>
      </c>
      <c r="AH21" s="2"/>
      <c r="AI21" s="2" t="n">
        <f aca="false">(C21-$B21)*$A21</f>
        <v>2.445547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C22" s="1" t="n">
        <v>0.089955</v>
      </c>
      <c r="AH22" s="2"/>
      <c r="AI22" s="2" t="n">
        <f aca="false">(C22-$B22)*$A22</f>
        <v>1.7991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C23" s="1" t="n">
        <v>0.0622887</v>
      </c>
      <c r="AH23" s="2"/>
      <c r="AI23" s="2" t="n">
        <f aca="false">(C23-$B23)*$A23</f>
        <v>1.3080627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C24" s="1" t="n">
        <v>0.0425687</v>
      </c>
      <c r="AH24" s="2"/>
      <c r="AI24" s="2" t="n">
        <f aca="false">(C24-$B24)*$A24</f>
        <v>0.9365114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C25" s="1" t="n">
        <v>0.0286458</v>
      </c>
      <c r="AH25" s="2"/>
      <c r="AI25" s="2" t="n">
        <f aca="false">(C25-$B25)*$A25</f>
        <v>0.6588534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C26" s="1" t="n">
        <v>0.019135</v>
      </c>
      <c r="AH26" s="2"/>
      <c r="AI26" s="2" t="n">
        <f aca="false">(C26-$B26)*$A26</f>
        <v>0.45924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C27" s="1" t="n">
        <v>0.0126971</v>
      </c>
      <c r="AH27" s="2"/>
      <c r="AI27" s="2" t="n">
        <f aca="false">(C27-$B27)*$A27</f>
        <v>0.3174275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C28" s="1" t="n">
        <v>0.00831261</v>
      </c>
      <c r="AH28" s="2"/>
      <c r="AI28" s="2" t="n">
        <f aca="false">(C28-$B28)*$A28</f>
        <v>0.21612786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C29" s="1" t="n">
        <v>0.00538315</v>
      </c>
      <c r="AH29" s="2"/>
      <c r="AI29" s="2" t="n">
        <f aca="false">(C29-$B29)*$A29</f>
        <v>0.14534505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C30" s="1" t="n">
        <v>0.0034394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0.0963032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C31" s="1" t="n">
        <v>0.00215872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0.06260288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C32" s="1" t="n">
        <v>0.00133629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0.0400887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C33" s="1" t="n">
        <v>0.000815885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0.025292435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C34" s="1" t="n">
        <v>0.000504848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0.016155136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C35" s="1" t="n">
        <v>0.000303008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0.009999264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1" t="n">
        <v>0.000186054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0.006325836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1" t="n">
        <v>0.000116458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0.00407603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/>
      <c r="C38" s="3" t="n">
        <v>6.91443E-005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0.0024891948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/>
      <c r="C39" s="3" t="n">
        <v>3.88796E-005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0.0014385452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/>
      <c r="C40" s="3" t="n">
        <v>2.24167E-005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0.0008518346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/>
      <c r="C41" s="3" t="n">
        <v>1.38018E-005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0.0005382702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/>
      <c r="C42" s="3" t="n">
        <v>7.75788E-006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0.0003103152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/>
      <c r="C43" s="3" t="n">
        <v>4.10446E-006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0.00016828286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/>
      <c r="C44" s="3" t="n">
        <v>2.16499E-006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9.092958E-005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/>
      <c r="C45" s="3" t="n">
        <v>9.02079E-007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3.8789397E-005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/>
      <c r="C46" s="3" t="n">
        <v>4.05935E-007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1.786114E-005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/>
      <c r="C47" s="3" t="n">
        <v>2.2552E-007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1.01484E-005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F1" colorId="64" zoomScale="100" zoomScaleNormal="100" zoomScalePageLayoutView="100" workbookViewId="0">
      <selection pane="topLeft" activeCell="BZ28" activeCellId="0" sqref="BZ28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"w+256p/rd="&amp; SUMPRODUCT($A2:$A65,D2:D65)/100-SUMPRODUCT($A2:$A65,$B2:$B65)/100</f>
        <v>w+256p/rd=-2,62367299066932</v>
      </c>
      <c r="E1" s="1" t="str">
        <f aca="false">"w+128p/rd="&amp; SUMPRODUCT($A2:$A65,E2:E65)/100-SUMPRODUCT($A2:$A65,$B2:$B65)/100</f>
        <v>w+128p/rd=-2,62367299066932</v>
      </c>
      <c r="F1" s="1" t="str">
        <f aca="false">"w+28m="&amp; SUMPRODUCT($A2:$A65,F2:F65)/100-SUMPRODUCT($A2:$A65,$B2:$B65)/100</f>
        <v>w+28m=-2,62367299066932</v>
      </c>
      <c r="G1" s="1" t="str">
        <f aca="false">"w+2p="&amp; SUMPRODUCT($A2:$A65,G2:G65)/100-SUMPRODUCT($A2:$A65,$B2:$B65)/100</f>
        <v>w+2p=-2,62367299066932</v>
      </c>
      <c r="H1" s="1" t="str">
        <f aca="false">"w+3p="&amp; SUMPRODUCT($A2:$A65,H2:H65)/100-SUMPRODUCT($A2:$A65,$B2:$B65)/100</f>
        <v>w+3p=-2,62367299066932</v>
      </c>
      <c r="I1" s="1" t="str">
        <f aca="false">"r+653="&amp; SUMPRODUCT($A2:$A65,I2:I65)/100-SUMPRODUCT($A2:$A65,$B2:$B65)/100</f>
        <v>r+653=-2,62367299066932</v>
      </c>
      <c r="J1" s="1" t="str">
        <f aca="false">"w+4p="&amp; SUMPRODUCT($A2:$A65,J2:J65)/100-SUMPRODUCT($A2:$A65,$B2:$B65)/100</f>
        <v>w+4p=-2,62367299066932</v>
      </c>
      <c r="K1" s="1" t="str">
        <f aca="false">"no_scale="&amp; SUMPRODUCT($A2:$A65,K2:K65)/100-SUMPRODUCT($A2:$A65,$B2:$B65)/100</f>
        <v>no_scale=-2,62367299066932</v>
      </c>
      <c r="L1" s="1" t="str">
        <f aca="false">"w-p="&amp; SUMPRODUCT($A2:$A65,L2:L65)/100-SUMPRODUCT($A2:$A65,$B2:$B65)/100</f>
        <v>w-p=-2,62367299066932</v>
      </c>
      <c r="M1" s="1" t="str">
        <f aca="false">"w-2p="&amp; SUMPRODUCT($A2:$A65,M2:M65)/100-SUMPRODUCT($A2:$A65,$B2:$B65)/100</f>
        <v>w-2p=-2,62367299066932</v>
      </c>
      <c r="N1" s="1" t="str">
        <f aca="false">"w2="&amp; SUMPRODUCT($A2:$A65,N2:N65)/100-SUMPRODUCT($A2:$A65,$B2:$B65)/100</f>
        <v>w2=-2,62367299066932</v>
      </c>
      <c r="O1" s="1" t="str">
        <f aca="false">"w+p-14="&amp; SUMPRODUCT($A2:$A65,O2:O65)/100-SUMPRODUCT($A2:$A65,$B2:$B65)/100</f>
        <v>w+p-14=-2,62367299066932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w+256p/rd=-2,62367299066932</v>
      </c>
      <c r="AK1" s="1" t="str">
        <f aca="false">E1</f>
        <v>w+128p/rd=-2,62367299066932</v>
      </c>
      <c r="AL1" s="1" t="str">
        <f aca="false">F1</f>
        <v>w+28m=-2,62367299066932</v>
      </c>
      <c r="AM1" s="1" t="str">
        <f aca="false">G1</f>
        <v>w+2p=-2,62367299066932</v>
      </c>
      <c r="AN1" s="1" t="str">
        <f aca="false">H1</f>
        <v>w+3p=-2,62367299066932</v>
      </c>
      <c r="AO1" s="1" t="str">
        <f aca="false">I1</f>
        <v>r+653=-2,62367299066932</v>
      </c>
      <c r="AP1" s="1" t="str">
        <f aca="false">J1</f>
        <v>w+4p=-2,62367299066932</v>
      </c>
      <c r="AQ1" s="1" t="str">
        <f aca="false">K1</f>
        <v>no_scale=-2,62367299066932</v>
      </c>
      <c r="AR1" s="1" t="str">
        <f aca="false">L1</f>
        <v>w-p=-2,62367299066932</v>
      </c>
      <c r="AS1" s="1" t="str">
        <f aca="false">M1</f>
        <v>w-2p=-2,62367299066932</v>
      </c>
      <c r="AT1" s="1" t="str">
        <f aca="false">N1</f>
        <v>w2=-2,62367299066932</v>
      </c>
      <c r="AU1" s="1" t="str">
        <f aca="false">O1</f>
        <v>w+p-14=-2,62367299066932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M42" s="3"/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M43" s="3"/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2026-07-26T13:50:51Z</dcterms:modified>
  <cp:revision>447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