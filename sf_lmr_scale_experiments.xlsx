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nnections.xml" ContentType="application/vnd.openxmlformats-officedocument.spreadsheetml.connection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harts/colors12.xml" ContentType="application/vnd.ms-office.chartcolorstyle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1.xml" ContentType="application/vnd.ms-office.chartcolorstyle+xml"/>
  <Override PartName="/xl/charts/style1.xml" ContentType="application/vnd.ms-office.chartstyle+xml"/>
  <Override PartName="/xl/charts/style9.xml" ContentType="application/vnd.ms-office.chartstyle+xml"/>
  <Override PartName="/xl/charts/colors8.xml" ContentType="application/vnd.ms-office.chartcolorstyle+xml"/>
  <Override PartName="/xl/charts/colors19.xml" ContentType="application/vnd.ms-office.chartcolorstyle+xml"/>
  <Override PartName="/xl/charts/chart3.xml" ContentType="application/vnd.openxmlformats-officedocument.drawingml.chart+xml"/>
  <Override PartName="/xl/charts/colors10.xml" ContentType="application/vnd.ms-office.chartcolorstyle+xml"/>
  <Override PartName="/xl/charts/colors1.xml" ContentType="application/vnd.ms-office.chartcolorstyle+xml"/>
  <Override PartName="/xl/charts/colors13.xml" ContentType="application/vnd.ms-office.chartcolorstyle+xml"/>
  <Override PartName="/xl/charts/style3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colors14.xml" ContentType="application/vnd.ms-office.chartcolorstyle+xml"/>
  <Override PartName="/xl/charts/colors5.xml" ContentType="application/vnd.ms-office.chartcolorstyle+xml"/>
  <Override PartName="/xl/charts/style4.xml" ContentType="application/vnd.ms-office.chartstyle+xml"/>
  <Override PartName="/xl/charts/colors15.xml" ContentType="application/vnd.ms-office.chartcolorstyle+xml"/>
  <Override PartName="/xl/charts/style5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olors16.xml" ContentType="application/vnd.ms-office.chartcolorstyle+xml"/>
  <Override PartName="/xl/charts/colors7.xml" ContentType="application/vnd.ms-office.chartcolorstyle+xml"/>
  <Override PartName="/xl/charts/style6.xml" ContentType="application/vnd.ms-office.chartstyle+xml"/>
  <Override PartName="/xl/charts/colors17.xml" ContentType="application/vnd.ms-office.chartcolorstyle+xml"/>
  <Override PartName="/xl/charts/style7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olors18.xml" ContentType="application/vnd.ms-office.chartcolorstyle+xml"/>
  <Override PartName="/xl/charts/colors9.xml" ContentType="application/vnd.ms-office.chartcolorstyle+xml"/>
  <Override PartName="/xl/charts/style8.xml" ContentType="application/vnd.ms-office.chartstyle+xml"/>
  <Override PartName="/xl/charts/chart9.xml" ContentType="application/vnd.openxmlformats-officedocument.drawingml.chart+xml"/>
  <Override PartName="/xl/charts/style11.xml" ContentType="application/vnd.ms-office.chartstyle+xml"/>
  <Override PartName="/xl/charts/chart10.xml" ContentType="application/vnd.openxmlformats-officedocument.drawingml.chart+xml"/>
  <Override PartName="/xl/charts/style10.xml" ContentType="application/vnd.ms-office.chartstyle+xml"/>
  <Override PartName="/xl/charts/chart19.xml" ContentType="application/vnd.openxmlformats-officedocument.drawingml.chart+xml"/>
  <Override PartName="/xl/charts/style12.xml" ContentType="application/vnd.ms-office.chartstyle+xml"/>
  <Override PartName="/xl/charts/chart11.xml" ContentType="application/vnd.openxmlformats-officedocument.drawingml.chart+xml"/>
  <Override PartName="/xl/charts/chart18.xml" ContentType="application/vnd.openxmlformats-officedocument.drawingml.chart+xml"/>
  <Override PartName="/xl/charts/style13.xml" ContentType="application/vnd.ms-office.chartstyle+xml"/>
  <Override PartName="/xl/charts/style19.xml" ContentType="application/vnd.ms-office.chartstyle+xml"/>
  <Override PartName="/xl/charts/chart12.xml" ContentType="application/vnd.openxmlformats-officedocument.drawingml.chart+xml"/>
  <Override PartName="/xl/charts/style14.xml" ContentType="application/vnd.ms-office.chartstyle+xml"/>
  <Override PartName="/xl/charts/style18.xml" ContentType="application/vnd.ms-office.chartstyle+xml"/>
  <Override PartName="/xl/charts/chart13.xml" ContentType="application/vnd.openxmlformats-officedocument.drawingml.chart+xml"/>
  <Override PartName="/xl/charts/style15.xml" ContentType="application/vnd.ms-office.chartstyle+xml"/>
  <Override PartName="/xl/charts/chart14.xml" ContentType="application/vnd.openxmlformats-officedocument.drawingml.chart+xml"/>
  <Override PartName="/xl/charts/style16.xml" ContentType="application/vnd.ms-office.chartstyle+xml"/>
  <Override PartName="/xl/charts/chart15.xml" ContentType="application/vnd.openxmlformats-officedocument.drawingml.chart+xml"/>
  <Override PartName="/xl/charts/style17.xml" ContentType="application/vnd.ms-office.chartstyle+xml"/>
  <Override PartName="/xl/charts/chart16.xml" ContentType="application/vnd.openxmlformats-officedocument.drawingml.chart+xml"/>
  <Override PartName="/xl/charts/chart17.xml" ContentType="application/vnd.openxmlformats-officedocument.drawingml.chart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pture_depth_stats_ltc" sheetId="1" state="visible" r:id="rId3"/>
    <sheet name="capture_depth_stats_stc" sheetId="2" state="visible" r:id="rId4"/>
    <sheet name="depth_stats_ltc_new2" sheetId="3" state="visible" r:id="rId5"/>
    <sheet name="depth_stats_stc_new2" sheetId="4" state="visible" r:id="rId6"/>
    <sheet name="depth_stats_ltc_new" sheetId="5" state="visible" r:id="rId7"/>
    <sheet name="depth_stats_stc_new" sheetId="6" state="visible" r:id="rId8"/>
    <sheet name="depth_stats_ltc" sheetId="7" state="visible" r:id="rId9"/>
    <sheet name="depth_stats_stc" sheetId="8" state="visible" r:id="rId10"/>
    <sheet name="Tabelle4" sheetId="9" state="visible" r:id="rId11"/>
    <sheet name="Tabelle1" sheetId="10" state="visible" r:id="rId12"/>
    <sheet name="allnode" sheetId="11" state="visible" r:id="rId13"/>
    <sheet name="!pvnode" sheetId="12" state="visible" r:id="rId14"/>
    <sheet name="Tabelle5" sheetId="13" state="visible" r:id="rId15"/>
    <sheet name="Tabelle6" sheetId="14" state="visible" r:id="rId16"/>
    <sheet name="Tabelle7" sheetId="15" state="visible" r:id="rId17"/>
  </sheets>
  <definedNames>
    <definedName function="false" hidden="false" localSheetId="8" name="Verbindung1" vbProcedure="false">Tabelle4!$B$2:$C$202</definedName>
    <definedName function="false" hidden="false" localSheetId="8" name="Verbindung2" vbProcedure="false">Tabelle4!$B$2:$C$202</definedName>
    <definedName function="false" hidden="false" localSheetId="13" name="Verbindung2" vbProcedure="false">Tabelle6!$A$2:$B$244</definedName>
    <definedName function="false" hidden="false" localSheetId="13" name="Verbindung3" vbProcedure="false">Tabelle6!$A$2:$B$244</definedName>
    <definedName function="false" hidden="false" localSheetId="13" name="Verbindung4" vbProcedure="false">Tabelle6!$D$2:$E$244</definedName>
    <definedName function="false" hidden="false" localSheetId="13" name="Verbindung5" vbProcedure="false">Tabelle6!$G$2:$H$262</definedName>
    <definedName function="false" hidden="false" localSheetId="13" name="Verbindung6" vbProcedure="false">Tabelle6!$J$2:$K$262</definedName>
    <definedName function="false" hidden="false" localSheetId="13" name="Verbindung7" vbProcedure="false">Tabelle6!$M$2:$N$262</definedName>
    <definedName function="false" hidden="false" localSheetId="13" name="Verbindung8" vbProcedure="false">Tabelle6!$P$2:$Q$262</definedName>
    <definedName function="false" hidden="false" localSheetId="13" name="Verbindung9" vbProcedure="false">Tabelle6!$S$2:$T$262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00-0000-0000-000000000000}" keepAlive="0" interval="0" name="Verbindung1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.txt">
      <tables count="1">
        <s v="CSV_all"/>
      </tables>
    </webPr>
  </connection>
  <connection id="2" xr16:uid="{00000000-0000-0000-0000-000000000000}" keepAlive="0" interval="0" name="Verbindung2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.txt">
      <tables count="1">
        <s v="CSV_all"/>
      </tables>
    </webPr>
  </connection>
  <connection id="3" xr16:uid="{00000000-0000-0000-0000-000000000000}" keepAlive="0" interval="0" name="Verbindung3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1.txt">
      <tables count="1">
        <s v="CSV_all"/>
      </tables>
    </webPr>
  </connection>
  <connection id="4" xr16:uid="{00000000-0000-0000-0000-000000000000}" keepAlive="0" interval="0" name="Verbindung4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2.txt">
      <tables count="1">
        <s v="CSV_all"/>
      </tables>
    </webPr>
  </connection>
  <connection id="5" xr16:uid="{00000000-0000-0000-0000-000000000000}" keepAlive="0" interval="0" name="Verbindung5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3.txt">
      <tables count="1">
        <s v="CSV_all"/>
      </tables>
    </webPr>
  </connection>
  <connection id="6" xr16:uid="{00000000-0000-0000-0000-000000000000}" keepAlive="0" interval="0" name="Verbindung6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4.txt">
      <tables count="1">
        <s v="CSV_all"/>
      </tables>
    </webPr>
  </connection>
  <connection id="7" xr16:uid="{00000000-0000-0000-0000-000000000000}" keepAlive="0" interval="0" name="Verbindung7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5.txt">
      <tables count="1">
        <s v="CSV_all"/>
      </tables>
    </webPr>
  </connection>
  <connection id="8" xr16:uid="{00000000-0000-0000-0000-000000000000}" keepAlive="0" interval="0" name="Verbindung8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6.txt">
      <tables count="1">
        <s v="CSV_all"/>
      </tables>
    </webPr>
  </connection>
</connections>
</file>

<file path=xl/sharedStrings.xml><?xml version="1.0" encoding="utf-8"?>
<sst xmlns="http://schemas.openxmlformats.org/spreadsheetml/2006/main" count="1919" uniqueCount="330">
  <si>
    <t xml:space="preserve">depth</t>
  </si>
  <si>
    <t xml:space="preserve">master</t>
  </si>
  <si>
    <t xml:space="preserve">n%(r+653)</t>
  </si>
  <si>
    <t xml:space="preserve">n%(+128)</t>
  </si>
  <si>
    <t xml:space="preserve">n%(w-d)</t>
  </si>
  <si>
    <t xml:space="preserve">V</t>
  </si>
  <si>
    <t xml:space="preserve">n</t>
  </si>
  <si>
    <t xml:space="preserve">fh%</t>
  </si>
  <si>
    <t xml:space="preserve">n%</t>
  </si>
  <si>
    <t xml:space="preserve">cum_n%</t>
  </si>
  <si>
    <t xml:space="preserve">Die Verknüpfung konnte nicht aktualisiert werden.</t>
  </si>
  <si>
    <t xml:space="preserve">#70:</t>
  </si>
  <si>
    <t xml:space="preserve">PF</t>
  </si>
  <si>
    <t xml:space="preserve">#50:</t>
  </si>
  <si>
    <t xml:space="preserve">#10:</t>
  </si>
  <si>
    <t xml:space="preserve">#150:</t>
  </si>
  <si>
    <t xml:space="preserve">#100:</t>
  </si>
  <si>
    <t xml:space="preserve">#190:</t>
  </si>
  <si>
    <t xml:space="preserve">#260:</t>
  </si>
  <si>
    <t xml:space="preserve">#240:</t>
  </si>
  <si>
    <t xml:space="preserve">#170:</t>
  </si>
  <si>
    <t xml:space="preserve">#220:</t>
  </si>
  <si>
    <t xml:space="preserve">#40:</t>
  </si>
  <si>
    <t xml:space="preserve">#120:</t>
  </si>
  <si>
    <t xml:space="preserve">#0:</t>
  </si>
  <si>
    <t xml:space="preserve">#140:</t>
  </si>
  <si>
    <t xml:space="preserve">#180:</t>
  </si>
  <si>
    <t xml:space="preserve">#160:</t>
  </si>
  <si>
    <t xml:space="preserve">#30:</t>
  </si>
  <si>
    <t xml:space="preserve">#110:</t>
  </si>
  <si>
    <t xml:space="preserve">#60:</t>
  </si>
  <si>
    <t xml:space="preserve">#230:</t>
  </si>
  <si>
    <t xml:space="preserve">#250:</t>
  </si>
  <si>
    <t xml:space="preserve">#200:</t>
  </si>
  <si>
    <t xml:space="preserve">#20:</t>
  </si>
  <si>
    <t xml:space="preserve">#210:</t>
  </si>
  <si>
    <t xml:space="preserve">#80:</t>
  </si>
  <si>
    <t xml:space="preserve">#90:</t>
  </si>
  <si>
    <t xml:space="preserve">#1:</t>
  </si>
  <si>
    <t xml:space="preserve">#11:</t>
  </si>
  <si>
    <t xml:space="preserve">#21:</t>
  </si>
  <si>
    <t xml:space="preserve">#31:</t>
  </si>
  <si>
    <t xml:space="preserve">#41:</t>
  </si>
  <si>
    <t xml:space="preserve">#51:</t>
  </si>
  <si>
    <t xml:space="preserve">#61:</t>
  </si>
  <si>
    <t xml:space="preserve">#71:</t>
  </si>
  <si>
    <t xml:space="preserve">#81:</t>
  </si>
  <si>
    <t xml:space="preserve">#91:</t>
  </si>
  <si>
    <t xml:space="preserve">#101:</t>
  </si>
  <si>
    <t xml:space="preserve">#111:</t>
  </si>
  <si>
    <t xml:space="preserve">#121:</t>
  </si>
  <si>
    <t xml:space="preserve">#141:</t>
  </si>
  <si>
    <t xml:space="preserve">#151:</t>
  </si>
  <si>
    <t xml:space="preserve">#161:</t>
  </si>
  <si>
    <t xml:space="preserve">#171:</t>
  </si>
  <si>
    <t xml:space="preserve">#181:</t>
  </si>
  <si>
    <t xml:space="preserve">#191:</t>
  </si>
  <si>
    <t xml:space="preserve">#201:</t>
  </si>
  <si>
    <t xml:space="preserve">#211:</t>
  </si>
  <si>
    <t xml:space="preserve">#221:</t>
  </si>
  <si>
    <t xml:space="preserve">#231:</t>
  </si>
  <si>
    <t xml:space="preserve">#241:</t>
  </si>
  <si>
    <t xml:space="preserve">#251:</t>
  </si>
  <si>
    <t xml:space="preserve">#261:</t>
  </si>
  <si>
    <t xml:space="preserve">A=1</t>
  </si>
  <si>
    <t xml:space="preserve">A=2</t>
  </si>
  <si>
    <t xml:space="preserve">A=4</t>
  </si>
  <si>
    <t xml:space="preserve">A=5</t>
  </si>
  <si>
    <t xml:space="preserve">A=7</t>
  </si>
  <si>
    <t xml:space="preserve">A=8</t>
  </si>
  <si>
    <t xml:space="preserve">condition</t>
  </si>
  <si>
    <t xml:space="preserve">26</t>
  </si>
  <si>
    <t xml:space="preserve">2861</t>
  </si>
  <si>
    <t xml:space="preserve">#12:</t>
  </si>
  <si>
    <t xml:space="preserve">#13:</t>
  </si>
  <si>
    <t xml:space="preserve">#14:</t>
  </si>
  <si>
    <t xml:space="preserve">#15:</t>
  </si>
  <si>
    <t xml:space="preserve">#16:</t>
  </si>
  <si>
    <t xml:space="preserve">#17:</t>
  </si>
  <si>
    <t xml:space="preserve">#18:</t>
  </si>
  <si>
    <t xml:space="preserve">#102:</t>
  </si>
  <si>
    <t xml:space="preserve">#103:</t>
  </si>
  <si>
    <t xml:space="preserve">#104:</t>
  </si>
  <si>
    <t xml:space="preserve">#105:</t>
  </si>
  <si>
    <t xml:space="preserve">#106:</t>
  </si>
  <si>
    <t xml:space="preserve">#107:</t>
  </si>
  <si>
    <t xml:space="preserve">#108:</t>
  </si>
  <si>
    <t xml:space="preserve">#112:</t>
  </si>
  <si>
    <t xml:space="preserve">#113:</t>
  </si>
  <si>
    <t xml:space="preserve">#114:</t>
  </si>
  <si>
    <t xml:space="preserve">#115:</t>
  </si>
  <si>
    <t xml:space="preserve">#116:</t>
  </si>
  <si>
    <t xml:space="preserve">#117:</t>
  </si>
  <si>
    <t xml:space="preserve">#118:</t>
  </si>
  <si>
    <t xml:space="preserve">#202:</t>
  </si>
  <si>
    <t xml:space="preserve">#203:</t>
  </si>
  <si>
    <t xml:space="preserve">#204:</t>
  </si>
  <si>
    <t xml:space="preserve">#205:</t>
  </si>
  <si>
    <t xml:space="preserve">#206:</t>
  </si>
  <si>
    <t xml:space="preserve">#207:</t>
  </si>
  <si>
    <t xml:space="preserve">#208:</t>
  </si>
  <si>
    <t xml:space="preserve">#212:</t>
  </si>
  <si>
    <t xml:space="preserve">#213:</t>
  </si>
  <si>
    <t xml:space="preserve">#214:</t>
  </si>
  <si>
    <t xml:space="preserve">#215:</t>
  </si>
  <si>
    <t xml:space="preserve">#216:</t>
  </si>
  <si>
    <t xml:space="preserve">#217:</t>
  </si>
  <si>
    <t xml:space="preserve">#218:</t>
  </si>
  <si>
    <t xml:space="preserve">#300:</t>
  </si>
  <si>
    <t xml:space="preserve">#301:</t>
  </si>
  <si>
    <t xml:space="preserve">#302:</t>
  </si>
  <si>
    <t xml:space="preserve">#303:</t>
  </si>
  <si>
    <t xml:space="preserve">#304:</t>
  </si>
  <si>
    <t xml:space="preserve">#305:</t>
  </si>
  <si>
    <t xml:space="preserve">#306:</t>
  </si>
  <si>
    <t xml:space="preserve">#307:</t>
  </si>
  <si>
    <t xml:space="preserve">#308:</t>
  </si>
  <si>
    <t xml:space="preserve">#310:</t>
  </si>
  <si>
    <t xml:space="preserve">#311:</t>
  </si>
  <si>
    <t xml:space="preserve">#312:</t>
  </si>
  <si>
    <t xml:space="preserve">#313:</t>
  </si>
  <si>
    <t xml:space="preserve">#314:</t>
  </si>
  <si>
    <t xml:space="preserve">#315:</t>
  </si>
  <si>
    <t xml:space="preserve">#316:</t>
  </si>
  <si>
    <t xml:space="preserve">#317:</t>
  </si>
  <si>
    <t xml:space="preserve">#318:</t>
  </si>
  <si>
    <t xml:space="preserve">#400:</t>
  </si>
  <si>
    <t xml:space="preserve">#401:</t>
  </si>
  <si>
    <t xml:space="preserve">#402:</t>
  </si>
  <si>
    <t xml:space="preserve">#403:</t>
  </si>
  <si>
    <t xml:space="preserve">#404:</t>
  </si>
  <si>
    <t xml:space="preserve">#405:</t>
  </si>
  <si>
    <t xml:space="preserve">#406:</t>
  </si>
  <si>
    <t xml:space="preserve">#407:</t>
  </si>
  <si>
    <t xml:space="preserve">#408:</t>
  </si>
  <si>
    <t xml:space="preserve">#410:</t>
  </si>
  <si>
    <t xml:space="preserve">#411:</t>
  </si>
  <si>
    <t xml:space="preserve">#412:</t>
  </si>
  <si>
    <t xml:space="preserve">#413:</t>
  </si>
  <si>
    <t xml:space="preserve">#414:</t>
  </si>
  <si>
    <t xml:space="preserve">#415:</t>
  </si>
  <si>
    <t xml:space="preserve">#416:</t>
  </si>
  <si>
    <t xml:space="preserve">#417:</t>
  </si>
  <si>
    <t xml:space="preserve">#418:</t>
  </si>
  <si>
    <t xml:space="preserve">#500:</t>
  </si>
  <si>
    <t xml:space="preserve">#501:</t>
  </si>
  <si>
    <t xml:space="preserve">#502:</t>
  </si>
  <si>
    <t xml:space="preserve">#503:</t>
  </si>
  <si>
    <t xml:space="preserve">#504:</t>
  </si>
  <si>
    <t xml:space="preserve">#505:</t>
  </si>
  <si>
    <t xml:space="preserve">#506:</t>
  </si>
  <si>
    <t xml:space="preserve">#507:</t>
  </si>
  <si>
    <t xml:space="preserve">#508:</t>
  </si>
  <si>
    <t xml:space="preserve">#510:</t>
  </si>
  <si>
    <t xml:space="preserve">#511:</t>
  </si>
  <si>
    <t xml:space="preserve">#512:</t>
  </si>
  <si>
    <t xml:space="preserve">#513:</t>
  </si>
  <si>
    <t xml:space="preserve">#514:</t>
  </si>
  <si>
    <t xml:space="preserve">#515:</t>
  </si>
  <si>
    <t xml:space="preserve">#516:</t>
  </si>
  <si>
    <t xml:space="preserve">#517:</t>
  </si>
  <si>
    <t xml:space="preserve">#518:</t>
  </si>
  <si>
    <t xml:space="preserve">#600:</t>
  </si>
  <si>
    <t xml:space="preserve">#601:</t>
  </si>
  <si>
    <t xml:space="preserve">#602:</t>
  </si>
  <si>
    <t xml:space="preserve">#603:</t>
  </si>
  <si>
    <t xml:space="preserve">#604:</t>
  </si>
  <si>
    <t xml:space="preserve">#605:</t>
  </si>
  <si>
    <t xml:space="preserve">#606:</t>
  </si>
  <si>
    <t xml:space="preserve">#607:</t>
  </si>
  <si>
    <t xml:space="preserve">#608:</t>
  </si>
  <si>
    <t xml:space="preserve">#610:</t>
  </si>
  <si>
    <t xml:space="preserve">#611:</t>
  </si>
  <si>
    <t xml:space="preserve">#612:</t>
  </si>
  <si>
    <t xml:space="preserve">#613:</t>
  </si>
  <si>
    <t xml:space="preserve">#614:</t>
  </si>
  <si>
    <t xml:space="preserve">#615:</t>
  </si>
  <si>
    <t xml:space="preserve">#616:</t>
  </si>
  <si>
    <t xml:space="preserve">#617:</t>
  </si>
  <si>
    <t xml:space="preserve">#618:</t>
  </si>
  <si>
    <t xml:space="preserve">#700:</t>
  </si>
  <si>
    <t xml:space="preserve">#701:</t>
  </si>
  <si>
    <t xml:space="preserve">#702:</t>
  </si>
  <si>
    <t xml:space="preserve">#703:</t>
  </si>
  <si>
    <t xml:space="preserve">#704:</t>
  </si>
  <si>
    <t xml:space="preserve">#705:</t>
  </si>
  <si>
    <t xml:space="preserve">#706:</t>
  </si>
  <si>
    <t xml:space="preserve">#707:</t>
  </si>
  <si>
    <t xml:space="preserve">#708:</t>
  </si>
  <si>
    <t xml:space="preserve">#710:</t>
  </si>
  <si>
    <t xml:space="preserve">#711:</t>
  </si>
  <si>
    <t xml:space="preserve">#712:</t>
  </si>
  <si>
    <t xml:space="preserve">#713:</t>
  </si>
  <si>
    <t xml:space="preserve">#714:</t>
  </si>
  <si>
    <t xml:space="preserve">#715:</t>
  </si>
  <si>
    <t xml:space="preserve">#716:</t>
  </si>
  <si>
    <t xml:space="preserve">#717:</t>
  </si>
  <si>
    <t xml:space="preserve">#718:</t>
  </si>
  <si>
    <t xml:space="preserve">#800:</t>
  </si>
  <si>
    <t xml:space="preserve">#801:</t>
  </si>
  <si>
    <t xml:space="preserve">#802:</t>
  </si>
  <si>
    <t xml:space="preserve">#803:</t>
  </si>
  <si>
    <t xml:space="preserve">#804:</t>
  </si>
  <si>
    <t xml:space="preserve">#805:</t>
  </si>
  <si>
    <t xml:space="preserve">#806:</t>
  </si>
  <si>
    <t xml:space="preserve">#807:</t>
  </si>
  <si>
    <t xml:space="preserve">#808:</t>
  </si>
  <si>
    <t xml:space="preserve">#810:</t>
  </si>
  <si>
    <t xml:space="preserve">#811:</t>
  </si>
  <si>
    <t xml:space="preserve">#812:</t>
  </si>
  <si>
    <t xml:space="preserve">#813:</t>
  </si>
  <si>
    <t xml:space="preserve">#814:</t>
  </si>
  <si>
    <t xml:space="preserve">#815:</t>
  </si>
  <si>
    <t xml:space="preserve">#816:</t>
  </si>
  <si>
    <t xml:space="preserve">#817:</t>
  </si>
  <si>
    <t xml:space="preserve">#818:</t>
  </si>
  <si>
    <t xml:space="preserve">#900:</t>
  </si>
  <si>
    <t xml:space="preserve">#901:</t>
  </si>
  <si>
    <t xml:space="preserve">#902:</t>
  </si>
  <si>
    <t xml:space="preserve">#903:</t>
  </si>
  <si>
    <t xml:space="preserve">#904:</t>
  </si>
  <si>
    <t xml:space="preserve">#905:</t>
  </si>
  <si>
    <t xml:space="preserve">#906:</t>
  </si>
  <si>
    <t xml:space="preserve">#907:</t>
  </si>
  <si>
    <t xml:space="preserve">#908:</t>
  </si>
  <si>
    <t xml:space="preserve">#910:</t>
  </si>
  <si>
    <t xml:space="preserve">#911:</t>
  </si>
  <si>
    <t xml:space="preserve">#912:</t>
  </si>
  <si>
    <t xml:space="preserve">#913:</t>
  </si>
  <si>
    <t xml:space="preserve">#914:</t>
  </si>
  <si>
    <t xml:space="preserve">#915:</t>
  </si>
  <si>
    <t xml:space="preserve">#916:</t>
  </si>
  <si>
    <t xml:space="preserve">#917:</t>
  </si>
  <si>
    <t xml:space="preserve">#918:</t>
  </si>
  <si>
    <t xml:space="preserve">#1000:</t>
  </si>
  <si>
    <t xml:space="preserve">#1001:</t>
  </si>
  <si>
    <t xml:space="preserve">#1002:</t>
  </si>
  <si>
    <t xml:space="preserve">#1003:</t>
  </si>
  <si>
    <t xml:space="preserve">#1004:</t>
  </si>
  <si>
    <t xml:space="preserve">#1005:</t>
  </si>
  <si>
    <t xml:space="preserve">#1006:</t>
  </si>
  <si>
    <t xml:space="preserve">#1007:</t>
  </si>
  <si>
    <t xml:space="preserve">#1008:</t>
  </si>
  <si>
    <t xml:space="preserve">#1010:</t>
  </si>
  <si>
    <t xml:space="preserve">#1011:</t>
  </si>
  <si>
    <t xml:space="preserve">#1012:</t>
  </si>
  <si>
    <t xml:space="preserve">#1013:</t>
  </si>
  <si>
    <t xml:space="preserve">#1014:</t>
  </si>
  <si>
    <t xml:space="preserve">#1015:</t>
  </si>
  <si>
    <t xml:space="preserve">#1016:</t>
  </si>
  <si>
    <t xml:space="preserve">#1017:</t>
  </si>
  <si>
    <t xml:space="preserve">#1018:</t>
  </si>
  <si>
    <t xml:space="preserve">#1100:</t>
  </si>
  <si>
    <t xml:space="preserve">#1101:</t>
  </si>
  <si>
    <t xml:space="preserve">#1102:</t>
  </si>
  <si>
    <t xml:space="preserve">#1103:</t>
  </si>
  <si>
    <t xml:space="preserve">#1104:</t>
  </si>
  <si>
    <t xml:space="preserve">#1105:</t>
  </si>
  <si>
    <t xml:space="preserve">#1106:</t>
  </si>
  <si>
    <t xml:space="preserve">#1107:</t>
  </si>
  <si>
    <t xml:space="preserve">#1108:</t>
  </si>
  <si>
    <t xml:space="preserve">#1110:</t>
  </si>
  <si>
    <t xml:space="preserve">#1111:</t>
  </si>
  <si>
    <t xml:space="preserve">#1112:</t>
  </si>
  <si>
    <t xml:space="preserve">#1113:</t>
  </si>
  <si>
    <t xml:space="preserve">#1114:</t>
  </si>
  <si>
    <t xml:space="preserve">#1115:</t>
  </si>
  <si>
    <t xml:space="preserve">#1116:</t>
  </si>
  <si>
    <t xml:space="preserve">#1117:</t>
  </si>
  <si>
    <t xml:space="preserve">#1118:</t>
  </si>
  <si>
    <t xml:space="preserve">#1200:</t>
  </si>
  <si>
    <t xml:space="preserve">#1201:</t>
  </si>
  <si>
    <t xml:space="preserve">#1202:</t>
  </si>
  <si>
    <t xml:space="preserve">#1203:</t>
  </si>
  <si>
    <t xml:space="preserve">#1204:</t>
  </si>
  <si>
    <t xml:space="preserve">#1205:</t>
  </si>
  <si>
    <t xml:space="preserve">#1206:</t>
  </si>
  <si>
    <t xml:space="preserve">#1207:</t>
  </si>
  <si>
    <t xml:space="preserve">#1208:</t>
  </si>
  <si>
    <t xml:space="preserve">#1210:</t>
  </si>
  <si>
    <t xml:space="preserve">#1211:</t>
  </si>
  <si>
    <t xml:space="preserve">#1212:</t>
  </si>
  <si>
    <t xml:space="preserve">#1213:</t>
  </si>
  <si>
    <t xml:space="preserve">#1214:</t>
  </si>
  <si>
    <t xml:space="preserve">#1215:</t>
  </si>
  <si>
    <t xml:space="preserve">#1216:</t>
  </si>
  <si>
    <t xml:space="preserve">#1217:</t>
  </si>
  <si>
    <t xml:space="preserve">#1218:</t>
  </si>
  <si>
    <t xml:space="preserve">#1300:</t>
  </si>
  <si>
    <t xml:space="preserve">#1301:</t>
  </si>
  <si>
    <t xml:space="preserve">#1302:</t>
  </si>
  <si>
    <t xml:space="preserve">#1303:</t>
  </si>
  <si>
    <t xml:space="preserve">#1304:</t>
  </si>
  <si>
    <t xml:space="preserve">#1305:</t>
  </si>
  <si>
    <t xml:space="preserve">#1306:</t>
  </si>
  <si>
    <t xml:space="preserve">#1307:</t>
  </si>
  <si>
    <t xml:space="preserve">#1308:</t>
  </si>
  <si>
    <t xml:space="preserve">#1310:</t>
  </si>
  <si>
    <t xml:space="preserve">#1311:</t>
  </si>
  <si>
    <t xml:space="preserve">#1312:</t>
  </si>
  <si>
    <t xml:space="preserve">#1313:</t>
  </si>
  <si>
    <t xml:space="preserve">#1314:</t>
  </si>
  <si>
    <t xml:space="preserve">#1315:</t>
  </si>
  <si>
    <t xml:space="preserve">#1316:</t>
  </si>
  <si>
    <t xml:space="preserve">#1317:</t>
  </si>
  <si>
    <t xml:space="preserve">#1318:</t>
  </si>
  <si>
    <t xml:space="preserve">#1400:</t>
  </si>
  <si>
    <t xml:space="preserve">#1401:</t>
  </si>
  <si>
    <t xml:space="preserve">#1402:</t>
  </si>
  <si>
    <t xml:space="preserve">#1403:</t>
  </si>
  <si>
    <t xml:space="preserve">#1404:</t>
  </si>
  <si>
    <t xml:space="preserve">#1405:</t>
  </si>
  <si>
    <t xml:space="preserve">#1406:</t>
  </si>
  <si>
    <t xml:space="preserve">#1407:</t>
  </si>
  <si>
    <t xml:space="preserve">#1408:</t>
  </si>
  <si>
    <t xml:space="preserve">#1410:</t>
  </si>
  <si>
    <t xml:space="preserve">#1411:</t>
  </si>
  <si>
    <t xml:space="preserve">#1412:</t>
  </si>
  <si>
    <t xml:space="preserve">#1413:</t>
  </si>
  <si>
    <t xml:space="preserve">#1414:</t>
  </si>
  <si>
    <t xml:space="preserve">#1415:</t>
  </si>
  <si>
    <t xml:space="preserve">#1416:</t>
  </si>
  <si>
    <t xml:space="preserve">#1417:</t>
  </si>
  <si>
    <t xml:space="preserve">#1418:</t>
  </si>
  <si>
    <t xml:space="preserve">d</t>
  </si>
  <si>
    <t xml:space="preserve">prior</t>
  </si>
  <si>
    <t xml:space="preserve">prior2</t>
  </si>
  <si>
    <t xml:space="preserve">priorf</t>
  </si>
  <si>
    <t xml:space="preserve">prior%</t>
  </si>
  <si>
    <t xml:space="preserve">prior2%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</si>
</sst>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\ %"/>
    <numFmt numFmtId="166" formatCode="0.00E+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CC0000"/>
      <name val="Calibri"/>
      <family val="2"/>
      <charset val="1"/>
    </font>
    <font>
      <sz val="10"/>
      <color rgb="FF000000"/>
      <name val="Arial"/>
      <family val="0"/>
      <charset val="1"/>
    </font>
    <font>
      <i val="true"/>
      <sz val="11"/>
      <color rgb="FF808080"/>
      <name val="Calibri"/>
      <family val="2"/>
      <charset val="1"/>
    </font>
    <font>
      <sz val="11"/>
      <color rgb="FF006600"/>
      <name val="Calibri"/>
      <family val="2"/>
      <charset val="1"/>
    </font>
    <font>
      <b val="true"/>
      <sz val="18"/>
      <color theme="1"/>
      <name val="Calibri"/>
      <family val="2"/>
      <charset val="1"/>
    </font>
    <font>
      <b val="true"/>
      <sz val="2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u val="single"/>
      <sz val="11"/>
      <color rgb="FF0000EE"/>
      <name val="Calibri"/>
      <family val="2"/>
      <charset val="1"/>
    </font>
    <font>
      <sz val="11"/>
      <color rgb="FF333333"/>
      <name val="Calibri"/>
      <family val="2"/>
      <charset val="1"/>
    </font>
    <font>
      <b val="true"/>
      <i val="true"/>
      <u val="single"/>
      <sz val="11"/>
      <color theme="1"/>
      <name val="Calibri"/>
      <family val="2"/>
      <charset val="1"/>
    </font>
    <font>
      <sz val="10"/>
      <name val="Arial"/>
      <family val="2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A5A5A5"/>
      </patternFill>
    </fill>
    <fill>
      <patternFill patternType="solid">
        <fgColor rgb="FFDDDDDD"/>
        <bgColor rgb="FFD9D9D9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C5000B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4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7" borderId="0" applyFont="true" applyBorder="false" applyAlignment="true" applyProtection="false">
      <alignment horizontal="general" vertical="bottom" textRotation="0" wrapText="false" indent="0" shrinkToFit="false"/>
    </xf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8" borderId="1" applyFont="true" applyBorder="true" applyAlignment="true" applyProtection="false">
      <alignment horizontal="general" vertical="bottom" textRotation="0" wrapText="false" indent="0" shrinkToFit="false"/>
    </xf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2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Bad 8" xfId="24"/>
    <cellStyle name="Default 9" xfId="25"/>
    <cellStyle name="Error 10" xfId="26"/>
    <cellStyle name="Footnote 11" xfId="27"/>
    <cellStyle name="Good 12" xfId="28"/>
    <cellStyle name="Heading 1 14" xfId="29"/>
    <cellStyle name="Heading 13" xfId="30"/>
    <cellStyle name="Heading 2 15" xfId="31"/>
    <cellStyle name="Hyperlink 16" xfId="32"/>
    <cellStyle name="Note 17" xfId="33"/>
    <cellStyle name="Result 18" xfId="34"/>
    <cellStyle name="Status 19" xfId="35"/>
    <cellStyle name="Text 20" xfId="36"/>
    <cellStyle name="Warning 21" xfId="37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EE"/>
      <rgbColor rgb="FFFFD320"/>
      <rgbColor rgb="FFFF00FF"/>
      <rgbColor rgb="FF00FFFF"/>
      <rgbColor rgb="FF7E0021"/>
      <rgbColor rgb="FF006600"/>
      <rgbColor rgb="FF000080"/>
      <rgbColor rgb="FF808000"/>
      <rgbColor rgb="FF800080"/>
      <rgbColor rgb="FF008080"/>
      <rgbColor rgb="FFBFBFBF"/>
      <rgbColor rgb="FF808080"/>
      <rgbColor rgb="FF90A2D3"/>
      <rgbColor rgb="FF993366"/>
      <rgbColor rgb="FFFFFFCC"/>
      <rgbColor rgb="FFDDDDDD"/>
      <rgbColor rgb="FF660066"/>
      <rgbColor rgb="FFFF8080"/>
      <rgbColor rgb="FF0084D1"/>
      <rgbColor rgb="FFD9D9D9"/>
      <rgbColor rgb="FF000080"/>
      <rgbColor rgb="FFFF00FF"/>
      <rgbColor rgb="FFFFFF00"/>
      <rgbColor rgb="FF00FFFF"/>
      <rgbColor rgb="FF800080"/>
      <rgbColor rgb="FFC5000B"/>
      <rgbColor rgb="FF008080"/>
      <rgbColor rgb="FF0000FF"/>
      <rgbColor rgb="FF00CCFF"/>
      <rgbColor rgb="FFCCFFFF"/>
      <rgbColor rgb="FFCCFFCC"/>
      <rgbColor rgb="FFFFFF99"/>
      <rgbColor rgb="FF99CCFF"/>
      <rgbColor rgb="FFF1A78B"/>
      <rgbColor rgb="FFB3B3B3"/>
      <rgbColor rgb="FFFFCCCC"/>
      <rgbColor rgb="FF4472C4"/>
      <rgbColor rgb="FF83CAFF"/>
      <rgbColor rgb="FFAECF00"/>
      <rgbColor rgb="FFFFC000"/>
      <rgbColor rgb="FFFF950E"/>
      <rgbColor rgb="FFED7D31"/>
      <rgbColor rgb="FF595959"/>
      <rgbColor rgb="FFA5A5A5"/>
      <rgbColor rgb="FF004586"/>
      <rgbColor rgb="FF579D1C"/>
      <rgbColor rgb="FF003300"/>
      <rgbColor rgb="FF314004"/>
      <rgbColor rgb="FFFF420E"/>
      <rgbColor rgb="FF993366"/>
      <rgbColor rgb="FF4B1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<Relationship Id="rId19" Type="http://schemas.openxmlformats.org/officeDocument/2006/relationships/connections" Target="connection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_rels/chart15.xml.rels><?xml version="1.0" encoding="UTF-8"?>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
</Relationships>
</file>

<file path=xl/charts/_rels/chart16.xml.rels><?xml version="1.0" encoding="UTF-8"?>
<Relationships xmlns="http://schemas.openxmlformats.org/package/2006/relationships"><Relationship Id="rId1" Type="http://schemas.microsoft.com/office/2011/relationships/chartStyle" Target="style16.xml"/><Relationship Id="rId2" Type="http://schemas.microsoft.com/office/2011/relationships/chartColorStyle" Target="colors16.xml"/>
</Relationships>
</file>

<file path=xl/charts/_rels/chart17.xml.rels><?xml version="1.0" encoding="UTF-8"?>
<Relationships xmlns="http://schemas.openxmlformats.org/package/2006/relationships"><Relationship Id="rId1" Type="http://schemas.microsoft.com/office/2011/relationships/chartStyle" Target="style17.xml"/><Relationship Id="rId2" Type="http://schemas.microsoft.com/office/2011/relationships/chartColorStyle" Target="colors17.xml"/>
</Relationships>
</file>

<file path=xl/charts/_rels/chart18.xml.rels><?xml version="1.0" encoding="UTF-8"?>
<Relationships xmlns="http://schemas.openxmlformats.org/package/2006/relationships"><Relationship Id="rId1" Type="http://schemas.microsoft.com/office/2011/relationships/chartStyle" Target="style18.xml"/><Relationship Id="rId2" Type="http://schemas.microsoft.com/office/2011/relationships/chartColorStyle" Target="colors18.xml"/>
</Relationships>
</file>

<file path=xl/charts/_rels/chart19.xml.rels><?xml version="1.0" encoding="UTF-8"?>
<Relationships xmlns="http://schemas.openxmlformats.org/package/2006/relationships"><Relationship Id="rId1" Type="http://schemas.microsoft.com/office/2011/relationships/chartStyle" Target="style19.xml"/><Relationship Id="rId2" Type="http://schemas.microsoft.com/office/2011/relationships/chartColorStyle" Target="colors19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176316650311"/>
          <c:y val="0.0345482156416097"/>
          <c:w val="0.874386653581943"/>
          <c:h val="0.628810066167697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capture_depth_stats_ltc!$AO$1</c:f>
              <c:strCache>
                <c:ptCount val="1"/>
                <c:pt idx="0">
                  <c:v>w+256=-0,0478193193771794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capture_depth_stats_ltc!$AO$2:$AO$65</c:f>
              <c:numCache>
                <c:formatCode>0.00\ %</c:formatCode>
                <c:ptCount val="64"/>
                <c:pt idx="0">
                  <c:v>0</c:v>
                </c:pt>
                <c:pt idx="1">
                  <c:v>1.1531</c:v>
                </c:pt>
                <c:pt idx="2">
                  <c:v>-0.66966</c:v>
                </c:pt>
                <c:pt idx="3">
                  <c:v>-0.733140000000002</c:v>
                </c:pt>
                <c:pt idx="4">
                  <c:v>-0.679559999999999</c:v>
                </c:pt>
                <c:pt idx="5">
                  <c:v>-0.5627</c:v>
                </c:pt>
                <c:pt idx="6">
                  <c:v>-0.491219999999999</c:v>
                </c:pt>
                <c:pt idx="7">
                  <c:v>-0.513590000000001</c:v>
                </c:pt>
                <c:pt idx="8">
                  <c:v>-0.582720000000002</c:v>
                </c:pt>
                <c:pt idx="9">
                  <c:v>-0.688049999999999</c:v>
                </c:pt>
                <c:pt idx="10">
                  <c:v>-0.6067</c:v>
                </c:pt>
                <c:pt idx="11">
                  <c:v>-0.491150000000001</c:v>
                </c:pt>
                <c:pt idx="12">
                  <c:v>-0.310799999999998</c:v>
                </c:pt>
                <c:pt idx="13">
                  <c:v>-0.111072</c:v>
                </c:pt>
                <c:pt idx="14">
                  <c:v>0.0255499999999995</c:v>
                </c:pt>
                <c:pt idx="15">
                  <c:v>0.0873750000000004</c:v>
                </c:pt>
                <c:pt idx="16">
                  <c:v>0.0979359999999998</c:v>
                </c:pt>
                <c:pt idx="17">
                  <c:v>0.0848810000000004</c:v>
                </c:pt>
                <c:pt idx="18">
                  <c:v>0.0672839999999998</c:v>
                </c:pt>
                <c:pt idx="19">
                  <c:v>0.0465880000000002</c:v>
                </c:pt>
                <c:pt idx="20">
                  <c:v>0.0318680000000002</c:v>
                </c:pt>
                <c:pt idx="21">
                  <c:v>0.0194564999999999</c:v>
                </c:pt>
                <c:pt idx="22">
                  <c:v>0.0119922</c:v>
                </c:pt>
                <c:pt idx="23">
                  <c:v>0.00862500000000001</c:v>
                </c:pt>
                <c:pt idx="24">
                  <c:v>0.00630240000000004</c:v>
                </c:pt>
                <c:pt idx="25">
                  <c:v>0.00242000000000003</c:v>
                </c:pt>
                <c:pt idx="26">
                  <c:v>0.00127711999999999</c:v>
                </c:pt>
                <c:pt idx="27">
                  <c:v>0.000520290000000001</c:v>
                </c:pt>
                <c:pt idx="28">
                  <c:v>0.00109452</c:v>
                </c:pt>
                <c:pt idx="29">
                  <c:v>0.00257317</c:v>
                </c:pt>
                <c:pt idx="30">
                  <c:v>0.0023412</c:v>
                </c:pt>
                <c:pt idx="31">
                  <c:v>0.002064755</c:v>
                </c:pt>
                <c:pt idx="32">
                  <c:v>0.001254784</c:v>
                </c:pt>
                <c:pt idx="33">
                  <c:v>0.001046364</c:v>
                </c:pt>
                <c:pt idx="34">
                  <c:v>0.00080682</c:v>
                </c:pt>
                <c:pt idx="35">
                  <c:v>0.000392384999999999</c:v>
                </c:pt>
                <c:pt idx="36">
                  <c:v>0.0004141512</c:v>
                </c:pt>
                <c:pt idx="37">
                  <c:v>0.0003753613</c:v>
                </c:pt>
                <c:pt idx="38">
                  <c:v>0.0002588674</c:v>
                </c:pt>
                <c:pt idx="39">
                  <c:v>0.0001880073</c:v>
                </c:pt>
                <c:pt idx="40">
                  <c:v>0.0001569568</c:v>
                </c:pt>
                <c:pt idx="41">
                  <c:v>0.00010426013</c:v>
                </c:pt>
                <c:pt idx="42">
                  <c:v>8.561742E-005</c:v>
                </c:pt>
                <c:pt idx="43">
                  <c:v>4.9484013E-005</c:v>
                </c:pt>
                <c:pt idx="44">
                  <c:v>3.805494E-005</c:v>
                </c:pt>
                <c:pt idx="45">
                  <c:v>3.048615E-006</c:v>
                </c:pt>
                <c:pt idx="46">
                  <c:v>6.745164E-006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capture_depth_stats_ltc!$AP$1</c:f>
              <c:strCache>
                <c:ptCount val="1"/>
                <c:pt idx="0">
                  <c:v>w+256cap=-0,0445269227794598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capture_depth_stats_ltc!$AP$2:$AP$65</c:f>
              <c:numCache>
                <c:formatCode>0.00\ %</c:formatCode>
                <c:ptCount val="64"/>
                <c:pt idx="0">
                  <c:v>0</c:v>
                </c:pt>
                <c:pt idx="1">
                  <c:v>0.343</c:v>
                </c:pt>
                <c:pt idx="2">
                  <c:v>-0.0106000000000002</c:v>
                </c:pt>
                <c:pt idx="3">
                  <c:v>0.00338999999999956</c:v>
                </c:pt>
                <c:pt idx="4">
                  <c:v>-0.0645600000000002</c:v>
                </c:pt>
                <c:pt idx="5">
                  <c:v>-0.179049999999998</c:v>
                </c:pt>
                <c:pt idx="6">
                  <c:v>-0.268679999999999</c:v>
                </c:pt>
                <c:pt idx="7">
                  <c:v>-0.365050000000001</c:v>
                </c:pt>
                <c:pt idx="8">
                  <c:v>-0.463760000000001</c:v>
                </c:pt>
                <c:pt idx="9">
                  <c:v>-0.634319999999999</c:v>
                </c:pt>
                <c:pt idx="10">
                  <c:v>-0.638799999999999</c:v>
                </c:pt>
                <c:pt idx="11">
                  <c:v>-0.63448</c:v>
                </c:pt>
                <c:pt idx="12">
                  <c:v>-0.530159999999999</c:v>
                </c:pt>
                <c:pt idx="13">
                  <c:v>-0.388686999999999</c:v>
                </c:pt>
                <c:pt idx="14">
                  <c:v>-0.274694</c:v>
                </c:pt>
                <c:pt idx="15">
                  <c:v>-0.19422</c:v>
                </c:pt>
                <c:pt idx="16">
                  <c:v>-0.142304</c:v>
                </c:pt>
                <c:pt idx="17">
                  <c:v>-0.103258</c:v>
                </c:pt>
                <c:pt idx="18">
                  <c:v>-0.0710820000000002</c:v>
                </c:pt>
                <c:pt idx="19">
                  <c:v>-0.0362709999999999</c:v>
                </c:pt>
                <c:pt idx="20">
                  <c:v>-0.0104699999999999</c:v>
                </c:pt>
                <c:pt idx="21">
                  <c:v>0.00666329999999984</c:v>
                </c:pt>
                <c:pt idx="22">
                  <c:v>0.0200464</c:v>
                </c:pt>
                <c:pt idx="23">
                  <c:v>0.0275701</c:v>
                </c:pt>
                <c:pt idx="24">
                  <c:v>0.0320304</c:v>
                </c:pt>
                <c:pt idx="25">
                  <c:v>0.0290925</c:v>
                </c:pt>
                <c:pt idx="26">
                  <c:v>0.02631174</c:v>
                </c:pt>
                <c:pt idx="27">
                  <c:v>0.02106027</c:v>
                </c:pt>
                <c:pt idx="28">
                  <c:v>0.01687056</c:v>
                </c:pt>
                <c:pt idx="29">
                  <c:v>0.01296996</c:v>
                </c:pt>
                <c:pt idx="30">
                  <c:v>0.0094107</c:v>
                </c:pt>
                <c:pt idx="31">
                  <c:v>0.006270835</c:v>
                </c:pt>
                <c:pt idx="32">
                  <c:v>0.00338368</c:v>
                </c:pt>
                <c:pt idx="33">
                  <c:v>0.001676268</c:v>
                </c:pt>
                <c:pt idx="34">
                  <c:v>0.000364378</c:v>
                </c:pt>
                <c:pt idx="35">
                  <c:v>-0.00035616</c:v>
                </c:pt>
                <c:pt idx="36">
                  <c:v>-0.0004670208</c:v>
                </c:pt>
                <c:pt idx="37">
                  <c:v>-0.0003930547</c:v>
                </c:pt>
                <c:pt idx="38">
                  <c:v>-0.0003733538</c:v>
                </c:pt>
                <c:pt idx="39">
                  <c:v>-0.00028690662</c:v>
                </c:pt>
                <c:pt idx="40">
                  <c:v>-0.000209582</c:v>
                </c:pt>
                <c:pt idx="41">
                  <c:v>-0.000128032258</c:v>
                </c:pt>
                <c:pt idx="42">
                  <c:v>-8.1966024E-005</c:v>
                </c:pt>
                <c:pt idx="43">
                  <c:v>-3.3283204E-005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capture_depth_stats_ltc!$AQ$1</c:f>
              <c:strCache>
                <c:ptCount val="1"/>
                <c:pt idx="0">
                  <c:v>w+256ncap=0,0353505486860199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0.605699999999999</c:v>
                </c:pt>
                <c:pt idx="2">
                  <c:v>-0.669000000000001</c:v>
                </c:pt>
                <c:pt idx="3">
                  <c:v>-0.582</c:v>
                </c:pt>
                <c:pt idx="4">
                  <c:v>-0.398239999999998</c:v>
                </c:pt>
                <c:pt idx="5">
                  <c:v>-0.18205</c:v>
                </c:pt>
                <c:pt idx="6">
                  <c:v>-0.0394800000000002</c:v>
                </c:pt>
                <c:pt idx="7">
                  <c:v>0.0163099999999981</c:v>
                </c:pt>
                <c:pt idx="8">
                  <c:v>0.00807999999999964</c:v>
                </c:pt>
                <c:pt idx="9">
                  <c:v>-0.100890000000001</c:v>
                </c:pt>
                <c:pt idx="10">
                  <c:v>-0.0906000000000007</c:v>
                </c:pt>
                <c:pt idx="11">
                  <c:v>-0.0398199999999995</c:v>
                </c:pt>
                <c:pt idx="12">
                  <c:v>0.0784799999999999</c:v>
                </c:pt>
                <c:pt idx="13">
                  <c:v>0.248170000000001</c:v>
                </c:pt>
                <c:pt idx="14">
                  <c:v>0.366268</c:v>
                </c:pt>
                <c:pt idx="15">
                  <c:v>0.41133</c:v>
                </c:pt>
                <c:pt idx="16">
                  <c:v>0.410528</c:v>
                </c:pt>
                <c:pt idx="17">
                  <c:v>0.382874000000001</c:v>
                </c:pt>
                <c:pt idx="18">
                  <c:v>0.350586</c:v>
                </c:pt>
                <c:pt idx="19">
                  <c:v>0.320834</c:v>
                </c:pt>
                <c:pt idx="20">
                  <c:v>0.29198</c:v>
                </c:pt>
                <c:pt idx="21">
                  <c:v>0.2667252</c:v>
                </c:pt>
                <c:pt idx="22">
                  <c:v>0.2490466</c:v>
                </c:pt>
                <c:pt idx="23">
                  <c:v>0.2324541</c:v>
                </c:pt>
                <c:pt idx="24">
                  <c:v>0.213228</c:v>
                </c:pt>
                <c:pt idx="25">
                  <c:v>0.1927875</c:v>
                </c:pt>
                <c:pt idx="26">
                  <c:v>0.17354454</c:v>
                </c:pt>
                <c:pt idx="27">
                  <c:v>0.15490305</c:v>
                </c:pt>
                <c:pt idx="28">
                  <c:v>0.13602624</c:v>
                </c:pt>
                <c:pt idx="29">
                  <c:v>0.11682186</c:v>
                </c:pt>
                <c:pt idx="30">
                  <c:v>0.0971088</c:v>
                </c:pt>
                <c:pt idx="31">
                  <c:v>0.079202365</c:v>
                </c:pt>
                <c:pt idx="32">
                  <c:v>0.062797504</c:v>
                </c:pt>
                <c:pt idx="33">
                  <c:v>0.048921246</c:v>
                </c:pt>
                <c:pt idx="34">
                  <c:v>0.036717484</c:v>
                </c:pt>
                <c:pt idx="35">
                  <c:v>0.02670332</c:v>
                </c:pt>
                <c:pt idx="36">
                  <c:v>0.0193846572</c:v>
                </c:pt>
                <c:pt idx="37">
                  <c:v>0.0135669528</c:v>
                </c:pt>
                <c:pt idx="38">
                  <c:v>0.0094962494</c:v>
                </c:pt>
                <c:pt idx="39">
                  <c:v>0.0063371568</c:v>
                </c:pt>
                <c:pt idx="40">
                  <c:v>0.0042823648</c:v>
                </c:pt>
                <c:pt idx="41">
                  <c:v>0.00254774164</c:v>
                </c:pt>
                <c:pt idx="42">
                  <c:v>0.00157018302</c:v>
                </c:pt>
                <c:pt idx="43">
                  <c:v>0.000825613803</c:v>
                </c:pt>
                <c:pt idx="44">
                  <c:v>0.00045936286</c:v>
                </c:pt>
                <c:pt idx="45">
                  <c:v>0.000269649</c:v>
                </c:pt>
                <c:pt idx="46">
                  <c:v>0.00013763154</c:v>
                </c:pt>
                <c:pt idx="47">
                  <c:v>6.371978E-005</c:v>
                </c:pt>
                <c:pt idx="48">
                  <c:v>4.0391808E-005</c:v>
                </c:pt>
                <c:pt idx="49">
                  <c:v>1.6035201E-005</c:v>
                </c:pt>
                <c:pt idx="50">
                  <c:v>9.34995E-006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capture_depth_stats_ltc!$AK$1</c:f>
              <c:strCache>
                <c:ptCount val="1"/>
                <c:pt idx="0">
                  <c:v>w+128=-0,0108118138540503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0.5856</c:v>
                </c:pt>
                <c:pt idx="2">
                  <c:v>-0.28098</c:v>
                </c:pt>
                <c:pt idx="3">
                  <c:v>-0.2229</c:v>
                </c:pt>
                <c:pt idx="4">
                  <c:v>-0.158639999999998</c:v>
                </c:pt>
                <c:pt idx="5">
                  <c:v>-0.154399999999999</c:v>
                </c:pt>
                <c:pt idx="6">
                  <c:v>-0.177060000000001</c:v>
                </c:pt>
                <c:pt idx="7">
                  <c:v>-0.231070000000003</c:v>
                </c:pt>
                <c:pt idx="8">
                  <c:v>-0.291040000000002</c:v>
                </c:pt>
                <c:pt idx="9">
                  <c:v>-0.394469999999998</c:v>
                </c:pt>
                <c:pt idx="10">
                  <c:v>-0.379799999999999</c:v>
                </c:pt>
                <c:pt idx="11">
                  <c:v>-0.332640000000001</c:v>
                </c:pt>
                <c:pt idx="12">
                  <c:v>-0.233639999999999</c:v>
                </c:pt>
                <c:pt idx="13">
                  <c:v>-0.101256999999999</c:v>
                </c:pt>
                <c:pt idx="14">
                  <c:v>0.00184800000000029</c:v>
                </c:pt>
                <c:pt idx="15">
                  <c:v>0.0549749999999996</c:v>
                </c:pt>
                <c:pt idx="16">
                  <c:v>0.0859680000000003</c:v>
                </c:pt>
                <c:pt idx="17">
                  <c:v>0.102085000000001</c:v>
                </c:pt>
                <c:pt idx="18">
                  <c:v>0.10953</c:v>
                </c:pt>
                <c:pt idx="19">
                  <c:v>0.11951</c:v>
                </c:pt>
                <c:pt idx="20">
                  <c:v>0.1202</c:v>
                </c:pt>
                <c:pt idx="21">
                  <c:v>0.1130451</c:v>
                </c:pt>
                <c:pt idx="22">
                  <c:v>0.103455</c:v>
                </c:pt>
                <c:pt idx="23">
                  <c:v>0.0950176</c:v>
                </c:pt>
                <c:pt idx="24">
                  <c:v>0.0847224</c:v>
                </c:pt>
                <c:pt idx="25">
                  <c:v>0.070825</c:v>
                </c:pt>
                <c:pt idx="26">
                  <c:v>0.05710874</c:v>
                </c:pt>
                <c:pt idx="27">
                  <c:v>0.04573152</c:v>
                </c:pt>
                <c:pt idx="28">
                  <c:v>0.03592848</c:v>
                </c:pt>
                <c:pt idx="29">
                  <c:v>0.02699842</c:v>
                </c:pt>
                <c:pt idx="30">
                  <c:v>0.0202077</c:v>
                </c:pt>
                <c:pt idx="31">
                  <c:v>0.015048795</c:v>
                </c:pt>
                <c:pt idx="32">
                  <c:v>0.010509184</c:v>
                </c:pt>
                <c:pt idx="33">
                  <c:v>0.007504728</c:v>
                </c:pt>
                <c:pt idx="34">
                  <c:v>0.004765984</c:v>
                </c:pt>
                <c:pt idx="35">
                  <c:v>0.002754815</c:v>
                </c:pt>
                <c:pt idx="36">
                  <c:v>0.0016703892</c:v>
                </c:pt>
                <c:pt idx="37">
                  <c:v>0.0009810143</c:v>
                </c:pt>
                <c:pt idx="38">
                  <c:v>0.000492138</c:v>
                </c:pt>
                <c:pt idx="39">
                  <c:v>0.0001585857</c:v>
                </c:pt>
                <c:pt idx="40">
                  <c:v>4.70464000000001E-005</c:v>
                </c:pt>
                <c:pt idx="41">
                  <c:v>9.2004E-006</c:v>
                </c:pt>
                <c:pt idx="42">
                  <c:v>-2.35200000000089E-008</c:v>
                </c:pt>
                <c:pt idx="43">
                  <c:v>6.75577300000001E-006</c:v>
                </c:pt>
                <c:pt idx="44">
                  <c:v>4.427896E-006</c:v>
                </c:pt>
                <c:pt idx="45">
                  <c:v>2.13255E-007</c:v>
                </c:pt>
                <c:pt idx="46">
                  <c:v>4.236761E-006</c:v>
                </c:pt>
                <c:pt idx="47">
                  <c:v>2.1644299E-006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capture_depth_stats_ltc!$AI$1</c:f>
              <c:strCache>
                <c:ptCount val="1"/>
                <c:pt idx="0">
                  <c:v>w+128cap=-0,00902303334261978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0.102799999999998</c:v>
                </c:pt>
                <c:pt idx="2">
                  <c:v>0.0429999999999993</c:v>
                </c:pt>
                <c:pt idx="3">
                  <c:v>0.0970199999999988</c:v>
                </c:pt>
                <c:pt idx="4">
                  <c:v>-0.00275999999999854</c:v>
                </c:pt>
                <c:pt idx="5">
                  <c:v>-0.150250000000001</c:v>
                </c:pt>
                <c:pt idx="6">
                  <c:v>-0.25332</c:v>
                </c:pt>
                <c:pt idx="7">
                  <c:v>-0.290360000000003</c:v>
                </c:pt>
                <c:pt idx="8">
                  <c:v>-0.24456</c:v>
                </c:pt>
                <c:pt idx="9">
                  <c:v>-0.148679999999999</c:v>
                </c:pt>
                <c:pt idx="10">
                  <c:v>-0.0347999999999993</c:v>
                </c:pt>
                <c:pt idx="11">
                  <c:v>0.0931699999999998</c:v>
                </c:pt>
                <c:pt idx="12">
                  <c:v>0.114120000000002</c:v>
                </c:pt>
                <c:pt idx="13">
                  <c:v>0.0652600000000003</c:v>
                </c:pt>
                <c:pt idx="14">
                  <c:v>0.0214760000000005</c:v>
                </c:pt>
                <c:pt idx="15">
                  <c:v>-0.026265</c:v>
                </c:pt>
                <c:pt idx="16">
                  <c:v>-0.0463839999999998</c:v>
                </c:pt>
                <c:pt idx="17">
                  <c:v>-0.0495039999999995</c:v>
                </c:pt>
                <c:pt idx="18">
                  <c:v>-0.0475920000000001</c:v>
                </c:pt>
                <c:pt idx="19">
                  <c:v>-0.0345229999999997</c:v>
                </c:pt>
                <c:pt idx="20">
                  <c:v>-0.0256679999999998</c:v>
                </c:pt>
                <c:pt idx="21">
                  <c:v>-0.0220332</c:v>
                </c:pt>
                <c:pt idx="22">
                  <c:v>-0.0171996</c:v>
                </c:pt>
                <c:pt idx="23">
                  <c:v>-0.0106236999999999</c:v>
                </c:pt>
                <c:pt idx="24">
                  <c:v>-0.00705359999999999</c:v>
                </c:pt>
                <c:pt idx="25">
                  <c:v>-0.00782999999999999</c:v>
                </c:pt>
                <c:pt idx="26">
                  <c:v>-0.00574236</c:v>
                </c:pt>
                <c:pt idx="27">
                  <c:v>-0.00488051999999998</c:v>
                </c:pt>
                <c:pt idx="28">
                  <c:v>-0.00281512</c:v>
                </c:pt>
                <c:pt idx="29">
                  <c:v>-0.00186266999999999</c:v>
                </c:pt>
                <c:pt idx="30">
                  <c:v>-0.0006441</c:v>
                </c:pt>
                <c:pt idx="31">
                  <c:v>-0.000185938</c:v>
                </c:pt>
                <c:pt idx="32">
                  <c:v>-0.000580896000000001</c:v>
                </c:pt>
                <c:pt idx="33">
                  <c:v>-0.000425304000000001</c:v>
                </c:pt>
                <c:pt idx="34">
                  <c:v>-0.000572424</c:v>
                </c:pt>
                <c:pt idx="35">
                  <c:v>-0.00059073</c:v>
                </c:pt>
                <c:pt idx="36">
                  <c:v>-0.0004199256</c:v>
                </c:pt>
                <c:pt idx="37">
                  <c:v>-0.0002383688</c:v>
                </c:pt>
                <c:pt idx="38">
                  <c:v>-0.000181222</c:v>
                </c:pt>
                <c:pt idx="39">
                  <c:v>-0.00021979542</c:v>
                </c:pt>
                <c:pt idx="40">
                  <c:v>-0.0001687708</c:v>
                </c:pt>
                <c:pt idx="41">
                  <c:v>-9.946149E-005</c:v>
                </c:pt>
                <c:pt idx="42">
                  <c:v>-5.6632296E-005</c:v>
                </c:pt>
                <c:pt idx="43">
                  <c:v>-3.0986316E-005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capture_depth_stats_ltc!$AJ$1</c:f>
              <c:strCache>
                <c:ptCount val="1"/>
                <c:pt idx="0">
                  <c:v>w+128ncap=0,0318852054650982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capture_depth_stats_ltc!$AJ$2:$AJ$65</c:f>
              <c:numCache>
                <c:formatCode>0.00\ %</c:formatCode>
                <c:ptCount val="64"/>
                <c:pt idx="0">
                  <c:v>-0</c:v>
                </c:pt>
                <c:pt idx="1">
                  <c:v>0.351799999999997</c:v>
                </c:pt>
                <c:pt idx="2">
                  <c:v>-0.39678</c:v>
                </c:pt>
                <c:pt idx="3">
                  <c:v>-0.365190000000001</c:v>
                </c:pt>
                <c:pt idx="4">
                  <c:v>-0.316679999999998</c:v>
                </c:pt>
                <c:pt idx="5">
                  <c:v>-0.28905</c:v>
                </c:pt>
                <c:pt idx="6">
                  <c:v>-0.240239999999999</c:v>
                </c:pt>
                <c:pt idx="7">
                  <c:v>-0.182840000000001</c:v>
                </c:pt>
                <c:pt idx="8">
                  <c:v>-0.0671199999999992</c:v>
                </c:pt>
                <c:pt idx="9">
                  <c:v>0.0800100000000006</c:v>
                </c:pt>
                <c:pt idx="10">
                  <c:v>0.207299999999999</c:v>
                </c:pt>
                <c:pt idx="11">
                  <c:v>0.340559999999999</c:v>
                </c:pt>
                <c:pt idx="12">
                  <c:v>0.424920000000002</c:v>
                </c:pt>
                <c:pt idx="13">
                  <c:v>0.458913</c:v>
                </c:pt>
                <c:pt idx="14">
                  <c:v>0.438507999999999</c:v>
                </c:pt>
                <c:pt idx="15">
                  <c:v>0.368865</c:v>
                </c:pt>
                <c:pt idx="16">
                  <c:v>0.305328</c:v>
                </c:pt>
                <c:pt idx="17">
                  <c:v>0.248676000000001</c:v>
                </c:pt>
                <c:pt idx="18">
                  <c:v>0.21195</c:v>
                </c:pt>
                <c:pt idx="19">
                  <c:v>0.19114</c:v>
                </c:pt>
                <c:pt idx="20">
                  <c:v>0.178784</c:v>
                </c:pt>
                <c:pt idx="21">
                  <c:v>0.1689219</c:v>
                </c:pt>
                <c:pt idx="22">
                  <c:v>0.1574342</c:v>
                </c:pt>
                <c:pt idx="23">
                  <c:v>0.1500589</c:v>
                </c:pt>
                <c:pt idx="24">
                  <c:v>0.1388088</c:v>
                </c:pt>
                <c:pt idx="25">
                  <c:v>0.12533</c:v>
                </c:pt>
                <c:pt idx="26">
                  <c:v>0.11082994</c:v>
                </c:pt>
                <c:pt idx="27">
                  <c:v>0.09451998</c:v>
                </c:pt>
                <c:pt idx="28">
                  <c:v>0.07836472</c:v>
                </c:pt>
                <c:pt idx="29">
                  <c:v>0.06340879</c:v>
                </c:pt>
                <c:pt idx="30">
                  <c:v>0.0482904</c:v>
                </c:pt>
                <c:pt idx="31">
                  <c:v>0.035984335</c:v>
                </c:pt>
                <c:pt idx="32">
                  <c:v>0.024318144</c:v>
                </c:pt>
                <c:pt idx="33">
                  <c:v>0.016531152</c:v>
                </c:pt>
                <c:pt idx="34">
                  <c:v>0.010231382</c:v>
                </c:pt>
                <c:pt idx="35">
                  <c:v>0.00639702</c:v>
                </c:pt>
                <c:pt idx="36">
                  <c:v>0.0038633292</c:v>
                </c:pt>
                <c:pt idx="37">
                  <c:v>0.0025593788</c:v>
                </c:pt>
                <c:pt idx="38">
                  <c:v>0.0015262928</c:v>
                </c:pt>
                <c:pt idx="39">
                  <c:v>0.0009110127</c:v>
                </c:pt>
                <c:pt idx="40">
                  <c:v>0.0005367568</c:v>
                </c:pt>
                <c:pt idx="41">
                  <c:v>0.00034822284</c:v>
                </c:pt>
                <c:pt idx="42">
                  <c:v>0.00022008546</c:v>
                </c:pt>
                <c:pt idx="43">
                  <c:v>0.000155369363</c:v>
                </c:pt>
                <c:pt idx="44">
                  <c:v>8.14759E-005</c:v>
                </c:pt>
                <c:pt idx="45">
                  <c:v>2.033001E-005</c:v>
                </c:pt>
                <c:pt idx="46">
                  <c:v>1.0385236E-005</c:v>
                </c:pt>
                <c:pt idx="47">
                  <c:v>4.2444008E-006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capture_depth_stats_ltc!$AL$1</c:f>
              <c:strCache>
                <c:ptCount val="1"/>
                <c:pt idx="0">
                  <c:v>w+64=-0,0363865969172008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0.543199999999999</c:v>
                </c:pt>
                <c:pt idx="2">
                  <c:v>-0.135300000000001</c:v>
                </c:pt>
                <c:pt idx="3">
                  <c:v>-0.10896</c:v>
                </c:pt>
                <c:pt idx="4">
                  <c:v>-0.0938799999999986</c:v>
                </c:pt>
                <c:pt idx="5">
                  <c:v>-0.150899999999998</c:v>
                </c:pt>
                <c:pt idx="6">
                  <c:v>-0.228419999999999</c:v>
                </c:pt>
                <c:pt idx="7">
                  <c:v>-0.31507</c:v>
                </c:pt>
                <c:pt idx="8">
                  <c:v>-0.439440000000001</c:v>
                </c:pt>
                <c:pt idx="9">
                  <c:v>-0.62406</c:v>
                </c:pt>
                <c:pt idx="10">
                  <c:v>-0.624499999999999</c:v>
                </c:pt>
                <c:pt idx="11">
                  <c:v>-0.588060000000001</c:v>
                </c:pt>
                <c:pt idx="12">
                  <c:v>-0.441839999999998</c:v>
                </c:pt>
                <c:pt idx="13">
                  <c:v>-0.267071999999999</c:v>
                </c:pt>
                <c:pt idx="14">
                  <c:v>-0.136191999999999</c:v>
                </c:pt>
                <c:pt idx="15">
                  <c:v>-0.0579150000000001</c:v>
                </c:pt>
                <c:pt idx="16">
                  <c:v>-0.0164</c:v>
                </c:pt>
                <c:pt idx="17">
                  <c:v>-0.00623900000000011</c:v>
                </c:pt>
                <c:pt idx="18">
                  <c:v>-0.0010980000000001</c:v>
                </c:pt>
                <c:pt idx="19">
                  <c:v>0.00625099999999992</c:v>
                </c:pt>
                <c:pt idx="20">
                  <c:v>0.00895400000000018</c:v>
                </c:pt>
                <c:pt idx="21">
                  <c:v>0.00710009999999987</c:v>
                </c:pt>
                <c:pt idx="22">
                  <c:v>0.00602140000000004</c:v>
                </c:pt>
                <c:pt idx="23">
                  <c:v>0.00536820000000004</c:v>
                </c:pt>
                <c:pt idx="24">
                  <c:v>0.00655920000000002</c:v>
                </c:pt>
                <c:pt idx="25">
                  <c:v>0.00318250000000001</c:v>
                </c:pt>
                <c:pt idx="26">
                  <c:v>0.00280800000000001</c:v>
                </c:pt>
                <c:pt idx="27">
                  <c:v>0.00226449000000002</c:v>
                </c:pt>
                <c:pt idx="28">
                  <c:v>0.00102452</c:v>
                </c:pt>
                <c:pt idx="29">
                  <c:v>0.00117015000000001</c:v>
                </c:pt>
                <c:pt idx="30">
                  <c:v>0.0011808</c:v>
                </c:pt>
                <c:pt idx="31">
                  <c:v>0.001116403</c:v>
                </c:pt>
                <c:pt idx="32">
                  <c:v>0.000478368</c:v>
                </c:pt>
                <c:pt idx="33">
                  <c:v>0.000247268999999999</c:v>
                </c:pt>
                <c:pt idx="34">
                  <c:v>7.87779999999999E-005</c:v>
                </c:pt>
                <c:pt idx="35">
                  <c:v>-0.000199955</c:v>
                </c:pt>
                <c:pt idx="36">
                  <c:v>-0.0001401876</c:v>
                </c:pt>
                <c:pt idx="37">
                  <c:v>3.83135E-005</c:v>
                </c:pt>
                <c:pt idx="38">
                  <c:v>1.00092000000001E-005</c:v>
                </c:pt>
                <c:pt idx="39">
                  <c:v>-1.35252E-005</c:v>
                </c:pt>
                <c:pt idx="40">
                  <c:v>-1.69144E-005</c:v>
                </c:pt>
                <c:pt idx="41">
                  <c:v>-1.145745E-005</c:v>
                </c:pt>
                <c:pt idx="42">
                  <c:v>-1.154916E-005</c:v>
                </c:pt>
                <c:pt idx="43">
                  <c:v>3.780732E-006</c:v>
                </c:pt>
                <c:pt idx="44">
                  <c:v>3.918948E-006</c:v>
                </c:pt>
                <c:pt idx="45">
                  <c:v>4.026645E-006</c:v>
                </c:pt>
                <c:pt idx="46">
                  <c:v>8.280046E-006</c:v>
                </c:pt>
                <c:pt idx="47">
                  <c:v>4.2300141E-006</c:v>
                </c:pt>
                <c:pt idx="48">
                  <c:v>2.1600048E-006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capture_depth_stats_ltc!$AM$1</c:f>
              <c:strCache>
                <c:ptCount val="1"/>
                <c:pt idx="0">
                  <c:v>w+64cap=-0,02598558344418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0.231399999999997</c:v>
                </c:pt>
                <c:pt idx="2">
                  <c:v>0.0359599999999993</c:v>
                </c:pt>
                <c:pt idx="3">
                  <c:v>0.0973199999999981</c:v>
                </c:pt>
                <c:pt idx="4">
                  <c:v>0.0774000000000008</c:v>
                </c:pt>
                <c:pt idx="5">
                  <c:v>-0.0490499999999994</c:v>
                </c:pt>
                <c:pt idx="6">
                  <c:v>-0.153239999999999</c:v>
                </c:pt>
                <c:pt idx="7">
                  <c:v>-0.215110000000001</c:v>
                </c:pt>
                <c:pt idx="8">
                  <c:v>-0.233360000000001</c:v>
                </c:pt>
                <c:pt idx="9">
                  <c:v>-0.274319999999999</c:v>
                </c:pt>
                <c:pt idx="10">
                  <c:v>-0.266599999999999</c:v>
                </c:pt>
                <c:pt idx="11">
                  <c:v>-0.26477</c:v>
                </c:pt>
                <c:pt idx="12">
                  <c:v>-0.257759999999999</c:v>
                </c:pt>
                <c:pt idx="13">
                  <c:v>-0.239915</c:v>
                </c:pt>
                <c:pt idx="14">
                  <c:v>-0.217868</c:v>
                </c:pt>
                <c:pt idx="15">
                  <c:v>-0.19965</c:v>
                </c:pt>
                <c:pt idx="16">
                  <c:v>-0.173408</c:v>
                </c:pt>
                <c:pt idx="17">
                  <c:v>-0.149022</c:v>
                </c:pt>
                <c:pt idx="18">
                  <c:v>-0.121968</c:v>
                </c:pt>
                <c:pt idx="19">
                  <c:v>-0.0908959999999999</c:v>
                </c:pt>
                <c:pt idx="20">
                  <c:v>-0.0656359999999998</c:v>
                </c:pt>
                <c:pt idx="21">
                  <c:v>-0.0425964</c:v>
                </c:pt>
                <c:pt idx="22">
                  <c:v>-0.0261602</c:v>
                </c:pt>
                <c:pt idx="23">
                  <c:v>-0.0119163</c:v>
                </c:pt>
                <c:pt idx="24">
                  <c:v>-0.0045144</c:v>
                </c:pt>
                <c:pt idx="25">
                  <c:v>-0.00137499999999999</c:v>
                </c:pt>
                <c:pt idx="26">
                  <c:v>0.00142714</c:v>
                </c:pt>
                <c:pt idx="27">
                  <c:v>0.00292734000000002</c:v>
                </c:pt>
                <c:pt idx="28">
                  <c:v>0.00308196</c:v>
                </c:pt>
                <c:pt idx="29">
                  <c:v>0.00379755000000001</c:v>
                </c:pt>
                <c:pt idx="30">
                  <c:v>0.0034854</c:v>
                </c:pt>
                <c:pt idx="31">
                  <c:v>0.002689343</c:v>
                </c:pt>
                <c:pt idx="32">
                  <c:v>0.00151328</c:v>
                </c:pt>
                <c:pt idx="33">
                  <c:v>0.000979407</c:v>
                </c:pt>
                <c:pt idx="34">
                  <c:v>0.000310828</c:v>
                </c:pt>
                <c:pt idx="35">
                  <c:v>-0.000224735</c:v>
                </c:pt>
                <c:pt idx="36">
                  <c:v>-0.0003270204</c:v>
                </c:pt>
                <c:pt idx="37">
                  <c:v>-0.0002633253</c:v>
                </c:pt>
                <c:pt idx="38">
                  <c:v>-0.0002559414</c:v>
                </c:pt>
                <c:pt idx="39">
                  <c:v>-0.00023508069</c:v>
                </c:pt>
                <c:pt idx="40">
                  <c:v>-0.000175268</c:v>
                </c:pt>
                <c:pt idx="41">
                  <c:v>-0.00010999931</c:v>
                </c:pt>
                <c:pt idx="42">
                  <c:v>-6.6674412E-005</c:v>
                </c:pt>
                <c:pt idx="43">
                  <c:v>-2.9238366E-005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capture_depth_stats_ltc!$AN$1</c:f>
              <c:strCache>
                <c:ptCount val="1"/>
                <c:pt idx="0">
                  <c:v>w+64ncap=-0,0205002079725318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capture_depth_stats_ltc!$AN$2:$AN$65</c:f>
              <c:numCache>
                <c:formatCode>0.00\ %</c:formatCode>
                <c:ptCount val="64"/>
                <c:pt idx="0">
                  <c:v>-0</c:v>
                </c:pt>
                <c:pt idx="1">
                  <c:v>0.459699999999998</c:v>
                </c:pt>
                <c:pt idx="2">
                  <c:v>-0.153580000000002</c:v>
                </c:pt>
                <c:pt idx="3">
                  <c:v>-0.178859999999999</c:v>
                </c:pt>
                <c:pt idx="4">
                  <c:v>-0.134039999999999</c:v>
                </c:pt>
                <c:pt idx="5">
                  <c:v>-0.0822000000000012</c:v>
                </c:pt>
                <c:pt idx="6">
                  <c:v>-0.0894599999999999</c:v>
                </c:pt>
                <c:pt idx="7">
                  <c:v>-0.179690000000002</c:v>
                </c:pt>
                <c:pt idx="8">
                  <c:v>-0.325279999999999</c:v>
                </c:pt>
                <c:pt idx="9">
                  <c:v>-0.546120000000001</c:v>
                </c:pt>
                <c:pt idx="10">
                  <c:v>-0.5708</c:v>
                </c:pt>
                <c:pt idx="11">
                  <c:v>-0.548130000000001</c:v>
                </c:pt>
                <c:pt idx="12">
                  <c:v>-0.402719999999998</c:v>
                </c:pt>
                <c:pt idx="13">
                  <c:v>-0.218100999999999</c:v>
                </c:pt>
                <c:pt idx="14">
                  <c:v>-0.0720859999999994</c:v>
                </c:pt>
                <c:pt idx="15">
                  <c:v>0.00948000000000032</c:v>
                </c:pt>
                <c:pt idx="16">
                  <c:v>0.0494560000000002</c:v>
                </c:pt>
                <c:pt idx="17">
                  <c:v>0.0606560000000003</c:v>
                </c:pt>
                <c:pt idx="18">
                  <c:v>0.063918</c:v>
                </c:pt>
                <c:pt idx="19">
                  <c:v>0.0703950000000003</c:v>
                </c:pt>
                <c:pt idx="20">
                  <c:v>0.0726600000000002</c:v>
                </c:pt>
                <c:pt idx="21">
                  <c:v>0.0738927</c:v>
                </c:pt>
                <c:pt idx="22">
                  <c:v>0.073755</c:v>
                </c:pt>
                <c:pt idx="23">
                  <c:v>0.0740623000000001</c:v>
                </c:pt>
                <c:pt idx="24">
                  <c:v>0.0712776</c:v>
                </c:pt>
                <c:pt idx="25">
                  <c:v>0.06615</c:v>
                </c:pt>
                <c:pt idx="26">
                  <c:v>0.05980494</c:v>
                </c:pt>
                <c:pt idx="27">
                  <c:v>0.05383665</c:v>
                </c:pt>
                <c:pt idx="28">
                  <c:v>0.04600596</c:v>
                </c:pt>
                <c:pt idx="29">
                  <c:v>0.03879098</c:v>
                </c:pt>
                <c:pt idx="30">
                  <c:v>0.0314733</c:v>
                </c:pt>
                <c:pt idx="31">
                  <c:v>0.024120015</c:v>
                </c:pt>
                <c:pt idx="32">
                  <c:v>0.017601344</c:v>
                </c:pt>
                <c:pt idx="33">
                  <c:v>0.012671208</c:v>
                </c:pt>
                <c:pt idx="34">
                  <c:v>0.008604788</c:v>
                </c:pt>
                <c:pt idx="35">
                  <c:v>0.00535514</c:v>
                </c:pt>
                <c:pt idx="36">
                  <c:v>0.0032841972</c:v>
                </c:pt>
                <c:pt idx="37">
                  <c:v>0.0020360841</c:v>
                </c:pt>
                <c:pt idx="38">
                  <c:v>0.0010493928</c:v>
                </c:pt>
                <c:pt idx="39">
                  <c:v>0.0005303181</c:v>
                </c:pt>
                <c:pt idx="40">
                  <c:v>0.0002635968</c:v>
                </c:pt>
                <c:pt idx="41">
                  <c:v>0.00014102852</c:v>
                </c:pt>
                <c:pt idx="42">
                  <c:v>4.903122E-005</c:v>
                </c:pt>
                <c:pt idx="43">
                  <c:v>2.4896613E-005</c:v>
                </c:pt>
                <c:pt idx="44">
                  <c:v>2.503512E-006</c:v>
                </c:pt>
                <c:pt idx="45">
                  <c:v>-3.90015E-006</c:v>
                </c:pt>
                <c:pt idx="46">
                  <c:v>2.1290318E-006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capture_depth_stats_ltc!$AR$1</c:f>
              <c:strCache>
                <c:ptCount val="1"/>
                <c:pt idx="0">
                  <c:v>w+32=-2,96677045562377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tar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capture_depth_stats_ltc!$AS$1</c:f>
              <c:strCache>
                <c:ptCount val="1"/>
                <c:pt idx="0">
                  <c:v>w+32cap=-2,96677045562377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capture_depth_stats_ltc!$AS$2:$AS$65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1"/>
          <c:order val="11"/>
          <c:tx>
            <c:strRef>
              <c:f>capture_depth_stats_ltc!$AT$1</c:f>
              <c:strCache>
                <c:ptCount val="1"/>
                <c:pt idx="0">
                  <c:v>w+32ncap=-2,96677045562377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capture_depth_stats_ltc!$AT$2:$AT$65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2"/>
          <c:order val="12"/>
          <c:tx>
            <c:strRef>
              <c:f>capture_depth_stats_ltc!$BI$1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3"/>
          <c:order val="13"/>
          <c:tx>
            <c:strRef>
              <c:f>capture_depth_stats_ltc!$BG$1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tar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capture_depth_stats_ltc!$BJ$1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capture_depth_stats_ltc!$BK$1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capture_depth_stats_ltc!$BM$1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capture_depth_stats_ltc!$BL$1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capture_depth_stats_ltc!$BH$1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capture_depth_stats_ltc!$BF$1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capture_depth_stats_ltc!$BD$1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capture_depth_stats_ltc!$BE$1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capture_depth_stats_ltc!$BC$1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capture_depth_stats_ltc!$BB$1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capture_depth_stats_ltc!$AV$1</c:f>
              <c:strCache>
                <c:ptCount val="1"/>
                <c:pt idx="0">
                  <c:v>w+124cap-9=-2,96677045562377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capture_depth_stats_ltc!$AX$1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capture_depth_stats_ltc!$BA$1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capture_depth_stats_ltc!$AW$1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capture_depth_stats_ltc!$AZ$1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capture_depth_stats_ltc!$AY$1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capture_depth_stats_ltc!$AU$1</c:f>
              <c:strCache>
                <c:ptCount val="1"/>
                <c:pt idx="0">
                  <c:v>w+89ncap-83=-2,96677045562377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capture_depth_stats_ltc!$AU$2:$AU$65</c:f>
              <c:numCache>
                <c:formatCode>General</c:formatCode>
                <c:ptCount val="64"/>
              </c:numCache>
            </c:numRef>
          </c:yVal>
          <c:smooth val="0"/>
        </c:ser>
        <c:axId val="34406616"/>
        <c:axId val="86041073"/>
      </c:scatterChart>
      <c:valAx>
        <c:axId val="3440661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86041073"/>
        <c:crosses val="autoZero"/>
        <c:crossBetween val="between"/>
      </c:valAx>
      <c:valAx>
        <c:axId val="8604107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34406616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176316650311"/>
          <c:y val="0.0345482156416097"/>
          <c:w val="0.874386653581943"/>
          <c:h val="0.628810066167697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capture_depth_stats_stc!$AU$1</c:f>
              <c:strCache>
                <c:ptCount val="1"/>
                <c:pt idx="0">
                  <c:v>w+89ncap-83=0,01125664447942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-0.1143</c:v>
                </c:pt>
                <c:pt idx="2">
                  <c:v>0.0365199999999994</c:v>
                </c:pt>
                <c:pt idx="3">
                  <c:v>0.0749999999999984</c:v>
                </c:pt>
                <c:pt idx="4">
                  <c:v>0.14696</c:v>
                </c:pt>
                <c:pt idx="5">
                  <c:v>0.148250000000001</c:v>
                </c:pt>
                <c:pt idx="6">
                  <c:v>0.139379999999999</c:v>
                </c:pt>
                <c:pt idx="7">
                  <c:v>0.104019999999998</c:v>
                </c:pt>
                <c:pt idx="8">
                  <c:v>0.110479999999999</c:v>
                </c:pt>
                <c:pt idx="9">
                  <c:v>0.11349</c:v>
                </c:pt>
                <c:pt idx="10">
                  <c:v>0.133099999999999</c:v>
                </c:pt>
                <c:pt idx="11">
                  <c:v>0.137720000000001</c:v>
                </c:pt>
                <c:pt idx="12">
                  <c:v>0.0993480000000004</c:v>
                </c:pt>
                <c:pt idx="13">
                  <c:v>0.0484639999999994</c:v>
                </c:pt>
                <c:pt idx="14">
                  <c:v>0.0323679999999997</c:v>
                </c:pt>
                <c:pt idx="15">
                  <c:v>0.0153149999999999</c:v>
                </c:pt>
                <c:pt idx="16">
                  <c:v>0.0082399999999998</c:v>
                </c:pt>
                <c:pt idx="17">
                  <c:v>-0.0109140000000001</c:v>
                </c:pt>
                <c:pt idx="18">
                  <c:v>-0.0147546</c:v>
                </c:pt>
                <c:pt idx="19">
                  <c:v>-0.0141664</c:v>
                </c:pt>
                <c:pt idx="20">
                  <c:v>-0.018336</c:v>
                </c:pt>
                <c:pt idx="21">
                  <c:v>-0.0179445</c:v>
                </c:pt>
                <c:pt idx="22">
                  <c:v>-0.01541606</c:v>
                </c:pt>
                <c:pt idx="23">
                  <c:v>-0.01131416</c:v>
                </c:pt>
                <c:pt idx="24">
                  <c:v>-0.00711312</c:v>
                </c:pt>
                <c:pt idx="25">
                  <c:v>-0.002536025</c:v>
                </c:pt>
                <c:pt idx="26">
                  <c:v>-0.000568256</c:v>
                </c:pt>
                <c:pt idx="27">
                  <c:v>0.000951615</c:v>
                </c:pt>
                <c:pt idx="28">
                  <c:v>0.000968212</c:v>
                </c:pt>
                <c:pt idx="29">
                  <c:v>0.0009592678</c:v>
                </c:pt>
                <c:pt idx="30">
                  <c:v>0.000575691</c:v>
                </c:pt>
                <c:pt idx="31">
                  <c:v>0.00051015243</c:v>
                </c:pt>
                <c:pt idx="32">
                  <c:v>0.000207165184</c:v>
                </c:pt>
                <c:pt idx="33">
                  <c:v>0.000115016583</c:v>
                </c:pt>
                <c:pt idx="34">
                  <c:v>5.067326E-005</c:v>
                </c:pt>
                <c:pt idx="35">
                  <c:v>3.4775685E-005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capture_depth_stats_stc!$AV$1</c:f>
              <c:strCache>
                <c:ptCount val="1"/>
                <c:pt idx="0">
                  <c:v>w+124cap-9=-0,0224104296227798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0.2697</c:v>
                </c:pt>
                <c:pt idx="2">
                  <c:v>-0.0188800000000029</c:v>
                </c:pt>
                <c:pt idx="3">
                  <c:v>-0.0599699999999999</c:v>
                </c:pt>
                <c:pt idx="4">
                  <c:v>-0.105799999999999</c:v>
                </c:pt>
                <c:pt idx="5">
                  <c:v>-0.176399999999997</c:v>
                </c:pt>
                <c:pt idx="6">
                  <c:v>-0.1875</c:v>
                </c:pt>
                <c:pt idx="7">
                  <c:v>-0.233310000000002</c:v>
                </c:pt>
                <c:pt idx="8">
                  <c:v>-0.221119999999999</c:v>
                </c:pt>
                <c:pt idx="9">
                  <c:v>-0.23949</c:v>
                </c:pt>
                <c:pt idx="10">
                  <c:v>-0.217500000000002</c:v>
                </c:pt>
                <c:pt idx="11">
                  <c:v>-0.213509999999999</c:v>
                </c:pt>
                <c:pt idx="12">
                  <c:v>-0.1887</c:v>
                </c:pt>
                <c:pt idx="13">
                  <c:v>-0.189332</c:v>
                </c:pt>
                <c:pt idx="14">
                  <c:v>-0.161742000000001</c:v>
                </c:pt>
                <c:pt idx="15">
                  <c:v>-0.12399</c:v>
                </c:pt>
                <c:pt idx="16">
                  <c:v>-0.082144</c:v>
                </c:pt>
                <c:pt idx="17">
                  <c:v>-0.0682380000000001</c:v>
                </c:pt>
                <c:pt idx="18">
                  <c:v>-0.0350982</c:v>
                </c:pt>
                <c:pt idx="19">
                  <c:v>-0.0253004</c:v>
                </c:pt>
                <c:pt idx="20">
                  <c:v>-0.010186</c:v>
                </c:pt>
                <c:pt idx="21">
                  <c:v>0.000258299999999996</c:v>
                </c:pt>
                <c:pt idx="22">
                  <c:v>0.00576620000000001</c:v>
                </c:pt>
                <c:pt idx="23">
                  <c:v>0.00841386</c:v>
                </c:pt>
                <c:pt idx="24">
                  <c:v>0.00785952</c:v>
                </c:pt>
                <c:pt idx="25">
                  <c:v>0.00659825</c:v>
                </c:pt>
                <c:pt idx="26">
                  <c:v>0.00599079</c:v>
                </c:pt>
                <c:pt idx="27">
                  <c:v>0.004292109</c:v>
                </c:pt>
                <c:pt idx="28">
                  <c:v>0.00300846</c:v>
                </c:pt>
                <c:pt idx="29">
                  <c:v>0.0016300639</c:v>
                </c:pt>
                <c:pt idx="30">
                  <c:v>0.00121515</c:v>
                </c:pt>
                <c:pt idx="31">
                  <c:v>0.00105000193</c:v>
                </c:pt>
                <c:pt idx="32">
                  <c:v>0.000681737024</c:v>
                </c:pt>
                <c:pt idx="33">
                  <c:v>0.000367507503</c:v>
                </c:pt>
                <c:pt idx="34">
                  <c:v>0.00018116526</c:v>
                </c:pt>
                <c:pt idx="35">
                  <c:v>0.00010172365</c:v>
                </c:pt>
                <c:pt idx="36">
                  <c:v>3.4876692E-005</c:v>
                </c:pt>
                <c:pt idx="37">
                  <c:v>1.7922763E-005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capture_depth_stats_stc!$AJ$1</c:f>
              <c:strCache>
                <c:ptCount val="1"/>
                <c:pt idx="0">
                  <c:v>w+128ncap=-0,0243987147568796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0.6844</c:v>
                </c:pt>
                <c:pt idx="2">
                  <c:v>-0.420900000000003</c:v>
                </c:pt>
                <c:pt idx="3">
                  <c:v>-0.4002</c:v>
                </c:pt>
                <c:pt idx="4">
                  <c:v>-0.340079999999997</c:v>
                </c:pt>
                <c:pt idx="5">
                  <c:v>-0.316449999999997</c:v>
                </c:pt>
                <c:pt idx="6">
                  <c:v>-0.324839999999999</c:v>
                </c:pt>
                <c:pt idx="7">
                  <c:v>-0.33782</c:v>
                </c:pt>
                <c:pt idx="8">
                  <c:v>-0.272960000000001</c:v>
                </c:pt>
                <c:pt idx="9">
                  <c:v>-0.24255</c:v>
                </c:pt>
                <c:pt idx="10">
                  <c:v>-0.2067</c:v>
                </c:pt>
                <c:pt idx="11">
                  <c:v>-0.143659999999998</c:v>
                </c:pt>
                <c:pt idx="12">
                  <c:v>-0.114035999999999</c:v>
                </c:pt>
                <c:pt idx="13">
                  <c:v>-0.0902070000000004</c:v>
                </c:pt>
                <c:pt idx="14">
                  <c:v>-0.0561260000000006</c:v>
                </c:pt>
                <c:pt idx="15">
                  <c:v>-0.0428400000000004</c:v>
                </c:pt>
                <c:pt idx="16">
                  <c:v>-0.0072000000000001</c:v>
                </c:pt>
                <c:pt idx="17">
                  <c:v>0.00492999999999998</c:v>
                </c:pt>
                <c:pt idx="18">
                  <c:v>0.0158796</c:v>
                </c:pt>
                <c:pt idx="19">
                  <c:v>0.0182096</c:v>
                </c:pt>
                <c:pt idx="20">
                  <c:v>0.023002</c:v>
                </c:pt>
                <c:pt idx="21">
                  <c:v>0.0256641</c:v>
                </c:pt>
                <c:pt idx="22">
                  <c:v>0.0219901</c:v>
                </c:pt>
                <c:pt idx="23">
                  <c:v>0.02095622</c:v>
                </c:pt>
                <c:pt idx="24">
                  <c:v>0.01567896</c:v>
                </c:pt>
                <c:pt idx="25">
                  <c:v>0.012965</c:v>
                </c:pt>
                <c:pt idx="26">
                  <c:v>0.00994812</c:v>
                </c:pt>
                <c:pt idx="27">
                  <c:v>0.008694243</c:v>
                </c:pt>
                <c:pt idx="28">
                  <c:v>0.005890052</c:v>
                </c:pt>
                <c:pt idx="29">
                  <c:v>0.0036966329</c:v>
                </c:pt>
                <c:pt idx="30">
                  <c:v>0.00210345</c:v>
                </c:pt>
                <c:pt idx="31">
                  <c:v>0.00140769233</c:v>
                </c:pt>
                <c:pt idx="32">
                  <c:v>0.000797701824</c:v>
                </c:pt>
                <c:pt idx="33">
                  <c:v>0.000279791523</c:v>
                </c:pt>
                <c:pt idx="34">
                  <c:v>0.00016938698</c:v>
                </c:pt>
                <c:pt idx="35">
                  <c:v>3.4873755E-005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capture_depth_stats_stc!$AI$1</c:f>
              <c:strCache>
                <c:ptCount val="1"/>
                <c:pt idx="0">
                  <c:v>w+128cap=-0,0205460148952299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0.320500000000003</c:v>
                </c:pt>
                <c:pt idx="2">
                  <c:v>-0.119380000000003</c:v>
                </c:pt>
                <c:pt idx="3">
                  <c:v>-0.155430000000002</c:v>
                </c:pt>
                <c:pt idx="4">
                  <c:v>-0.190359999999998</c:v>
                </c:pt>
                <c:pt idx="5">
                  <c:v>-0.225549999999997</c:v>
                </c:pt>
                <c:pt idx="6">
                  <c:v>-0.23586</c:v>
                </c:pt>
                <c:pt idx="7">
                  <c:v>-0.24633</c:v>
                </c:pt>
                <c:pt idx="8">
                  <c:v>-0.219439999999999</c:v>
                </c:pt>
                <c:pt idx="9">
                  <c:v>-0.24615</c:v>
                </c:pt>
                <c:pt idx="10">
                  <c:v>-0.2024</c:v>
                </c:pt>
                <c:pt idx="11">
                  <c:v>-0.131339999999998</c:v>
                </c:pt>
                <c:pt idx="12">
                  <c:v>-0.0993360000000001</c:v>
                </c:pt>
                <c:pt idx="13">
                  <c:v>-0.0885170000000009</c:v>
                </c:pt>
                <c:pt idx="14">
                  <c:v>-0.0724500000000006</c:v>
                </c:pt>
                <c:pt idx="15">
                  <c:v>-0.0476550000000006</c:v>
                </c:pt>
                <c:pt idx="16">
                  <c:v>-0.02976</c:v>
                </c:pt>
                <c:pt idx="17">
                  <c:v>-0.0143140000000002</c:v>
                </c:pt>
                <c:pt idx="18">
                  <c:v>-0.0120474</c:v>
                </c:pt>
                <c:pt idx="19">
                  <c:v>-0.0121752000000001</c:v>
                </c:pt>
                <c:pt idx="20">
                  <c:v>-0.00557000000000002</c:v>
                </c:pt>
                <c:pt idx="21">
                  <c:v>-0.0082572</c:v>
                </c:pt>
                <c:pt idx="22">
                  <c:v>-0.00548899999999999</c:v>
                </c:pt>
                <c:pt idx="23">
                  <c:v>-0.00437713</c:v>
                </c:pt>
                <c:pt idx="24">
                  <c:v>-0.00230160000000001</c:v>
                </c:pt>
                <c:pt idx="25">
                  <c:v>-0.00168525</c:v>
                </c:pt>
                <c:pt idx="26">
                  <c:v>-0.000142792000000002</c:v>
                </c:pt>
                <c:pt idx="27">
                  <c:v>0.000394550999999999</c:v>
                </c:pt>
                <c:pt idx="28">
                  <c:v>0.000133028</c:v>
                </c:pt>
                <c:pt idx="29">
                  <c:v>0.0003236197</c:v>
                </c:pt>
                <c:pt idx="30">
                  <c:v>0.000125247</c:v>
                </c:pt>
                <c:pt idx="31">
                  <c:v>0.00019406713</c:v>
                </c:pt>
                <c:pt idx="32">
                  <c:v>6.1706944E-005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capture_depth_stats_stc!$AR$1</c:f>
              <c:strCache>
                <c:ptCount val="1"/>
                <c:pt idx="0">
                  <c:v>w+32=-0,00715680710879019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tar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capture_depth_stats_stc!$AR$2:$AR$65</c:f>
              <c:numCache>
                <c:formatCode>0.00\ %</c:formatCode>
                <c:ptCount val="64"/>
                <c:pt idx="0">
                  <c:v>-0</c:v>
                </c:pt>
                <c:pt idx="1">
                  <c:v>0.263000000000002</c:v>
                </c:pt>
                <c:pt idx="2">
                  <c:v>-0.0906200000000013</c:v>
                </c:pt>
                <c:pt idx="3">
                  <c:v>-0.0661500000000004</c:v>
                </c:pt>
                <c:pt idx="4">
                  <c:v>-0.012159999999998</c:v>
                </c:pt>
                <c:pt idx="5">
                  <c:v>-0.055799999999997</c:v>
                </c:pt>
                <c:pt idx="6">
                  <c:v>-0.0802200000000006</c:v>
                </c:pt>
                <c:pt idx="7">
                  <c:v>-0.154420000000001</c:v>
                </c:pt>
                <c:pt idx="8">
                  <c:v>-0.11928</c:v>
                </c:pt>
                <c:pt idx="9">
                  <c:v>-0.1233</c:v>
                </c:pt>
                <c:pt idx="10">
                  <c:v>-0.1285</c:v>
                </c:pt>
                <c:pt idx="11">
                  <c:v>-0.0668799999999985</c:v>
                </c:pt>
                <c:pt idx="12">
                  <c:v>-0.0668640000000003</c:v>
                </c:pt>
                <c:pt idx="13">
                  <c:v>-0.0542490000000012</c:v>
                </c:pt>
                <c:pt idx="14">
                  <c:v>-0.00957600000000025</c:v>
                </c:pt>
                <c:pt idx="15">
                  <c:v>-0.000719999999999887</c:v>
                </c:pt>
                <c:pt idx="16">
                  <c:v>0.0058720000000001</c:v>
                </c:pt>
                <c:pt idx="17">
                  <c:v>0.00722499999999991</c:v>
                </c:pt>
                <c:pt idx="18">
                  <c:v>0.00830880000000012</c:v>
                </c:pt>
                <c:pt idx="19">
                  <c:v>0.00396150000000001</c:v>
                </c:pt>
                <c:pt idx="20">
                  <c:v>0.00716000000000001</c:v>
                </c:pt>
                <c:pt idx="21">
                  <c:v>0.0045759</c:v>
                </c:pt>
                <c:pt idx="22">
                  <c:v>0.00410850000000001</c:v>
                </c:pt>
                <c:pt idx="23">
                  <c:v>0.00316526</c:v>
                </c:pt>
                <c:pt idx="24">
                  <c:v>0.00156095999999999</c:v>
                </c:pt>
                <c:pt idx="25">
                  <c:v>0.001029</c:v>
                </c:pt>
                <c:pt idx="26">
                  <c:v>0.00161083</c:v>
                </c:pt>
                <c:pt idx="27">
                  <c:v>0.001083996</c:v>
                </c:pt>
                <c:pt idx="28">
                  <c:v>0.000344316</c:v>
                </c:pt>
                <c:pt idx="29">
                  <c:v>4.85372999999999E-005</c:v>
                </c:pt>
                <c:pt idx="30">
                  <c:v>-5.2089E-005</c:v>
                </c:pt>
                <c:pt idx="31">
                  <c:v>8.779727E-005</c:v>
                </c:pt>
                <c:pt idx="32">
                  <c:v>-1.5881152E-005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capture_depth_stats_stc!$AS$1</c:f>
              <c:strCache>
                <c:ptCount val="1"/>
                <c:pt idx="0">
                  <c:v>w+32cap=-0,0127733109221295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capture_depth_stats_stc!$AS$2:$AS$65</c:f>
              <c:numCache>
                <c:formatCode>0.00\ %</c:formatCode>
                <c:ptCount val="64"/>
                <c:pt idx="0">
                  <c:v>-0</c:v>
                </c:pt>
                <c:pt idx="1">
                  <c:v>0.157400000000003</c:v>
                </c:pt>
                <c:pt idx="2">
                  <c:v>0.0203999999999986</c:v>
                </c:pt>
                <c:pt idx="3">
                  <c:v>-0.0226799999999994</c:v>
                </c:pt>
                <c:pt idx="4">
                  <c:v>-0.0358399999999968</c:v>
                </c:pt>
                <c:pt idx="5">
                  <c:v>-0.0611000000000006</c:v>
                </c:pt>
                <c:pt idx="6">
                  <c:v>-0.092880000000001</c:v>
                </c:pt>
                <c:pt idx="7">
                  <c:v>-0.139860000000002</c:v>
                </c:pt>
                <c:pt idx="8">
                  <c:v>-0.129999999999999</c:v>
                </c:pt>
                <c:pt idx="9">
                  <c:v>-0.14184</c:v>
                </c:pt>
                <c:pt idx="10">
                  <c:v>-0.107699999999999</c:v>
                </c:pt>
                <c:pt idx="11">
                  <c:v>-0.084479999999999</c:v>
                </c:pt>
                <c:pt idx="12">
                  <c:v>-0.0623879999999994</c:v>
                </c:pt>
                <c:pt idx="13">
                  <c:v>-0.0683540000000013</c:v>
                </c:pt>
                <c:pt idx="14">
                  <c:v>-0.0694400000000003</c:v>
                </c:pt>
                <c:pt idx="15">
                  <c:v>-0.0705300000000006</c:v>
                </c:pt>
                <c:pt idx="16">
                  <c:v>-0.0660799999999999</c:v>
                </c:pt>
                <c:pt idx="17">
                  <c:v>-0.073576</c:v>
                </c:pt>
                <c:pt idx="18">
                  <c:v>-0.0639503999999999</c:v>
                </c:pt>
                <c:pt idx="19">
                  <c:v>-0.0509580000000001</c:v>
                </c:pt>
                <c:pt idx="20">
                  <c:v>-0.040052</c:v>
                </c:pt>
                <c:pt idx="21">
                  <c:v>-0.0275709</c:v>
                </c:pt>
                <c:pt idx="22">
                  <c:v>-0.0201795</c:v>
                </c:pt>
                <c:pt idx="23">
                  <c:v>-0.01269646</c:v>
                </c:pt>
                <c:pt idx="24">
                  <c:v>-0.00811872000000001</c:v>
                </c:pt>
                <c:pt idx="25">
                  <c:v>-0.003756575</c:v>
                </c:pt>
                <c:pt idx="26">
                  <c:v>-0.001807364</c:v>
                </c:pt>
                <c:pt idx="27">
                  <c:v>-0.000469719000000001</c:v>
                </c:pt>
                <c:pt idx="28">
                  <c:v>5.76520000000001E-005</c:v>
                </c:pt>
                <c:pt idx="29">
                  <c:v>0.0002567834</c:v>
                </c:pt>
                <c:pt idx="30">
                  <c:v>0.00030888</c:v>
                </c:pt>
                <c:pt idx="31">
                  <c:v>0.00036426023</c:v>
                </c:pt>
                <c:pt idx="32">
                  <c:v>0.000156651904</c:v>
                </c:pt>
                <c:pt idx="33">
                  <c:v>3.2318253E-005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capture_depth_stats_stc!$AT$1</c:f>
              <c:strCache>
                <c:ptCount val="1"/>
                <c:pt idx="0">
                  <c:v>w+32ncap=-0,0121037452993997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capture_depth_stats_stc!$AT$2:$AT$65</c:f>
              <c:numCache>
                <c:formatCode>0.00\ %</c:formatCode>
                <c:ptCount val="64"/>
                <c:pt idx="0">
                  <c:v>-0</c:v>
                </c:pt>
                <c:pt idx="1">
                  <c:v>0.266100000000002</c:v>
                </c:pt>
                <c:pt idx="2">
                  <c:v>-0.0662800000000026</c:v>
                </c:pt>
                <c:pt idx="3">
                  <c:v>-0.0606300000000015</c:v>
                </c:pt>
                <c:pt idx="4">
                  <c:v>0.0397600000000011</c:v>
                </c:pt>
                <c:pt idx="5">
                  <c:v>0.00105000000000022</c:v>
                </c:pt>
                <c:pt idx="6">
                  <c:v>-0.0282000000000009</c:v>
                </c:pt>
                <c:pt idx="7">
                  <c:v>-0.0889700000000016</c:v>
                </c:pt>
                <c:pt idx="8">
                  <c:v>-0.0788000000000011</c:v>
                </c:pt>
                <c:pt idx="9">
                  <c:v>-0.0679500000000015</c:v>
                </c:pt>
                <c:pt idx="10">
                  <c:v>-0.0941000000000014</c:v>
                </c:pt>
                <c:pt idx="11">
                  <c:v>-0.0772200000000003</c:v>
                </c:pt>
                <c:pt idx="12">
                  <c:v>-0.110868</c:v>
                </c:pt>
                <c:pt idx="13">
                  <c:v>-0.109408000000001</c:v>
                </c:pt>
                <c:pt idx="14">
                  <c:v>-0.118594</c:v>
                </c:pt>
                <c:pt idx="15">
                  <c:v>-0.127905</c:v>
                </c:pt>
                <c:pt idx="16">
                  <c:v>-0.0893600000000001</c:v>
                </c:pt>
                <c:pt idx="17">
                  <c:v>-0.0869822</c:v>
                </c:pt>
                <c:pt idx="18">
                  <c:v>-0.0789156</c:v>
                </c:pt>
                <c:pt idx="19">
                  <c:v>-0.0627019</c:v>
                </c:pt>
                <c:pt idx="20">
                  <c:v>-0.045862</c:v>
                </c:pt>
                <c:pt idx="21">
                  <c:v>-0.0373422</c:v>
                </c:pt>
                <c:pt idx="22">
                  <c:v>-0.0288904</c:v>
                </c:pt>
                <c:pt idx="23">
                  <c:v>-0.02173684</c:v>
                </c:pt>
                <c:pt idx="24">
                  <c:v>-0.01479312</c:v>
                </c:pt>
                <c:pt idx="25">
                  <c:v>-0.0098131</c:v>
                </c:pt>
                <c:pt idx="26">
                  <c:v>-0.005887908</c:v>
                </c:pt>
                <c:pt idx="27">
                  <c:v>-0.003063987</c:v>
                </c:pt>
                <c:pt idx="28">
                  <c:v>-0.0016211888</c:v>
                </c:pt>
                <c:pt idx="29">
                  <c:v>-0.0008424297</c:v>
                </c:pt>
                <c:pt idx="30">
                  <c:v>-0.0003933279</c:v>
                </c:pt>
                <c:pt idx="31">
                  <c:v>-0.000105894667</c:v>
                </c:pt>
                <c:pt idx="32">
                  <c:v>-3.1296576E-005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capture_depth_stats_stc!$AO$1</c:f>
              <c:strCache>
                <c:ptCount val="1"/>
                <c:pt idx="0">
                  <c:v>w+256=-0,00228393041070962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1.0027</c:v>
                </c:pt>
                <c:pt idx="2">
                  <c:v>-0.913220000000003</c:v>
                </c:pt>
                <c:pt idx="3">
                  <c:v>-0.822869999999999</c:v>
                </c:pt>
                <c:pt idx="4">
                  <c:v>-0.625879999999999</c:v>
                </c:pt>
                <c:pt idx="5">
                  <c:v>-0.465999999999998</c:v>
                </c:pt>
                <c:pt idx="6">
                  <c:v>-0.381600000000001</c:v>
                </c:pt>
                <c:pt idx="7">
                  <c:v>-0.338660000000002</c:v>
                </c:pt>
                <c:pt idx="8">
                  <c:v>-0.235679999999999</c:v>
                </c:pt>
                <c:pt idx="9">
                  <c:v>-0.111420000000001</c:v>
                </c:pt>
                <c:pt idx="10">
                  <c:v>0.0320999999999994</c:v>
                </c:pt>
                <c:pt idx="11">
                  <c:v>0.184030000000001</c:v>
                </c:pt>
                <c:pt idx="12">
                  <c:v>0.282492</c:v>
                </c:pt>
                <c:pt idx="13">
                  <c:v>0.285700999999999</c:v>
                </c:pt>
                <c:pt idx="14">
                  <c:v>0.27587</c:v>
                </c:pt>
                <c:pt idx="15">
                  <c:v>0.25215</c:v>
                </c:pt>
                <c:pt idx="16">
                  <c:v>0.228112</c:v>
                </c:pt>
                <c:pt idx="17">
                  <c:v>0.188275</c:v>
                </c:pt>
                <c:pt idx="18">
                  <c:v>0.1579842</c:v>
                </c:pt>
                <c:pt idx="19">
                  <c:v>0.1333002</c:v>
                </c:pt>
                <c:pt idx="20">
                  <c:v>0.10678</c:v>
                </c:pt>
                <c:pt idx="21">
                  <c:v>0.0883428</c:v>
                </c:pt>
                <c:pt idx="22">
                  <c:v>0.07448826</c:v>
                </c:pt>
                <c:pt idx="23">
                  <c:v>0.06442208</c:v>
                </c:pt>
                <c:pt idx="24">
                  <c:v>0.0558096</c:v>
                </c:pt>
                <c:pt idx="25">
                  <c:v>0.04575875</c:v>
                </c:pt>
                <c:pt idx="26">
                  <c:v>0.03847805</c:v>
                </c:pt>
                <c:pt idx="27">
                  <c:v>0.032644674</c:v>
                </c:pt>
                <c:pt idx="28">
                  <c:v>0.025680984</c:v>
                </c:pt>
                <c:pt idx="29">
                  <c:v>0.0222383049</c:v>
                </c:pt>
                <c:pt idx="30">
                  <c:v>0.017423418</c:v>
                </c:pt>
                <c:pt idx="31">
                  <c:v>0.01485274883</c:v>
                </c:pt>
                <c:pt idx="32">
                  <c:v>0.012255487424</c:v>
                </c:pt>
                <c:pt idx="33">
                  <c:v>0.010962995703</c:v>
                </c:pt>
                <c:pt idx="34">
                  <c:v>0.008010468</c:v>
                </c:pt>
                <c:pt idx="35">
                  <c:v>0.00653821</c:v>
                </c:pt>
                <c:pt idx="36">
                  <c:v>0.005305464</c:v>
                </c:pt>
                <c:pt idx="37">
                  <c:v>0.004030373</c:v>
                </c:pt>
                <c:pt idx="38">
                  <c:v>0.0033901054</c:v>
                </c:pt>
                <c:pt idx="39">
                  <c:v>0.0026335179</c:v>
                </c:pt>
                <c:pt idx="40">
                  <c:v>0.001833556</c:v>
                </c:pt>
                <c:pt idx="41">
                  <c:v>0.0009700108</c:v>
                </c:pt>
                <c:pt idx="42">
                  <c:v>0.000662445</c:v>
                </c:pt>
                <c:pt idx="43">
                  <c:v>0.00036030345</c:v>
                </c:pt>
                <c:pt idx="44">
                  <c:v>0.00026024636</c:v>
                </c:pt>
                <c:pt idx="45">
                  <c:v>4.436019E-005</c:v>
                </c:pt>
                <c:pt idx="46">
                  <c:v>4.5345972E-005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capture_depth_stats_stc!$AP$1</c:f>
              <c:strCache>
                <c:ptCount val="1"/>
                <c:pt idx="0">
                  <c:v>w+256cap=-0,00102896052276025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capture_depth_stats_stc!$AP$2:$AP$65</c:f>
              <c:numCache>
                <c:formatCode>0.00\ %</c:formatCode>
                <c:ptCount val="64"/>
                <c:pt idx="0">
                  <c:v>-0</c:v>
                </c:pt>
                <c:pt idx="1">
                  <c:v>0.1204</c:v>
                </c:pt>
                <c:pt idx="2">
                  <c:v>-0.0816000000000017</c:v>
                </c:pt>
                <c:pt idx="3">
                  <c:v>-0.0597599999999998</c:v>
                </c:pt>
                <c:pt idx="4">
                  <c:v>-0.0609599999999979</c:v>
                </c:pt>
                <c:pt idx="5">
                  <c:v>-0.0663999999999998</c:v>
                </c:pt>
                <c:pt idx="6">
                  <c:v>-0.054240000000001</c:v>
                </c:pt>
                <c:pt idx="7">
                  <c:v>-0.0543200000000015</c:v>
                </c:pt>
                <c:pt idx="8">
                  <c:v>-0.0197600000000016</c:v>
                </c:pt>
                <c:pt idx="9">
                  <c:v>0.0281699999999987</c:v>
                </c:pt>
                <c:pt idx="10">
                  <c:v>0.0668999999999986</c:v>
                </c:pt>
                <c:pt idx="11">
                  <c:v>0.0872299999999999</c:v>
                </c:pt>
                <c:pt idx="12">
                  <c:v>0.0795720000000006</c:v>
                </c:pt>
                <c:pt idx="13">
                  <c:v>0.057369</c:v>
                </c:pt>
                <c:pt idx="14">
                  <c:v>0.0284759999999997</c:v>
                </c:pt>
                <c:pt idx="15">
                  <c:v>0.0156749999999994</c:v>
                </c:pt>
                <c:pt idx="16">
                  <c:v>-0.000912000000000024</c:v>
                </c:pt>
                <c:pt idx="17">
                  <c:v>-0.0250580000000001</c:v>
                </c:pt>
                <c:pt idx="18">
                  <c:v>-0.0339264</c:v>
                </c:pt>
                <c:pt idx="19">
                  <c:v>-0.0328415</c:v>
                </c:pt>
                <c:pt idx="20">
                  <c:v>-0.027588</c:v>
                </c:pt>
                <c:pt idx="21">
                  <c:v>-0.0246183</c:v>
                </c:pt>
                <c:pt idx="22">
                  <c:v>-0.01835328</c:v>
                </c:pt>
                <c:pt idx="23">
                  <c:v>-0.01255087</c:v>
                </c:pt>
                <c:pt idx="24">
                  <c:v>-0.00967296</c:v>
                </c:pt>
                <c:pt idx="25">
                  <c:v>-0.00415915</c:v>
                </c:pt>
                <c:pt idx="26">
                  <c:v>-0.001200342</c:v>
                </c:pt>
                <c:pt idx="27">
                  <c:v>-9.36899999999998E-005</c:v>
                </c:pt>
                <c:pt idx="28">
                  <c:v>0.000455532</c:v>
                </c:pt>
                <c:pt idx="29">
                  <c:v>0.00026738</c:v>
                </c:pt>
                <c:pt idx="30">
                  <c:v>0.000224709</c:v>
                </c:pt>
                <c:pt idx="31">
                  <c:v>0.00031354113</c:v>
                </c:pt>
                <c:pt idx="32">
                  <c:v>6.4883904E-005</c:v>
                </c:pt>
                <c:pt idx="33">
                  <c:v>3.93689999999997E-007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capture_depth_stats_stc!$AQ$1</c:f>
              <c:strCache>
                <c:ptCount val="1"/>
                <c:pt idx="0">
                  <c:v>w+256ncap=-0,000845453650609507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0.884</c:v>
                </c:pt>
                <c:pt idx="2">
                  <c:v>-0.78914</c:v>
                </c:pt>
                <c:pt idx="3">
                  <c:v>-0.692400000000001</c:v>
                </c:pt>
                <c:pt idx="4">
                  <c:v>-0.484199999999998</c:v>
                </c:pt>
                <c:pt idx="5">
                  <c:v>-0.342349999999998</c:v>
                </c:pt>
                <c:pt idx="6">
                  <c:v>-0.281639999999999</c:v>
                </c:pt>
                <c:pt idx="7">
                  <c:v>-0.25669</c:v>
                </c:pt>
                <c:pt idx="8">
                  <c:v>-0.14696</c:v>
                </c:pt>
                <c:pt idx="9">
                  <c:v>-0.0246599999999997</c:v>
                </c:pt>
                <c:pt idx="10">
                  <c:v>0.0947999999999993</c:v>
                </c:pt>
                <c:pt idx="11">
                  <c:v>0.192610000000002</c:v>
                </c:pt>
                <c:pt idx="12">
                  <c:v>0.213732</c:v>
                </c:pt>
                <c:pt idx="13">
                  <c:v>0.225068999999999</c:v>
                </c:pt>
                <c:pt idx="14">
                  <c:v>0.203014</c:v>
                </c:pt>
                <c:pt idx="15">
                  <c:v>0.17493</c:v>
                </c:pt>
                <c:pt idx="16">
                  <c:v>0.162128</c:v>
                </c:pt>
                <c:pt idx="17">
                  <c:v>0.143786</c:v>
                </c:pt>
                <c:pt idx="18">
                  <c:v>0.1189566</c:v>
                </c:pt>
                <c:pt idx="19">
                  <c:v>0.1005119</c:v>
                </c:pt>
                <c:pt idx="20">
                  <c:v>0.079212</c:v>
                </c:pt>
                <c:pt idx="21">
                  <c:v>0.0675948</c:v>
                </c:pt>
                <c:pt idx="22">
                  <c:v>0.05801444</c:v>
                </c:pt>
                <c:pt idx="23">
                  <c:v>0.04741197</c:v>
                </c:pt>
                <c:pt idx="24">
                  <c:v>0.03960624</c:v>
                </c:pt>
                <c:pt idx="25">
                  <c:v>0.032781</c:v>
                </c:pt>
                <c:pt idx="26">
                  <c:v>0.02760095</c:v>
                </c:pt>
                <c:pt idx="27">
                  <c:v>0.020788704</c:v>
                </c:pt>
                <c:pt idx="28">
                  <c:v>0.014816116</c:v>
                </c:pt>
                <c:pt idx="29">
                  <c:v>0.0104632029</c:v>
                </c:pt>
                <c:pt idx="30">
                  <c:v>0.007449888</c:v>
                </c:pt>
                <c:pt idx="31">
                  <c:v>0.00493367883</c:v>
                </c:pt>
                <c:pt idx="32">
                  <c:v>0.003857919424</c:v>
                </c:pt>
                <c:pt idx="33">
                  <c:v>0.002407023003</c:v>
                </c:pt>
                <c:pt idx="34">
                  <c:v>0.001584043</c:v>
                </c:pt>
                <c:pt idx="35">
                  <c:v>0.0006912465</c:v>
                </c:pt>
                <c:pt idx="36">
                  <c:v>0.000346383</c:v>
                </c:pt>
                <c:pt idx="37">
                  <c:v>0.00026231927</c:v>
                </c:pt>
                <c:pt idx="38">
                  <c:v>0.0001154611</c:v>
                </c:pt>
                <c:pt idx="39">
                  <c:v>1.9749912E-005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capture_depth_stats_stc!$AK$1</c:f>
              <c:strCache>
                <c:ptCount val="1"/>
                <c:pt idx="0">
                  <c:v>w+128=-0,00895402385923028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0.654</c:v>
                </c:pt>
                <c:pt idx="2">
                  <c:v>-0.361780000000003</c:v>
                </c:pt>
                <c:pt idx="3">
                  <c:v>-0.325889999999999</c:v>
                </c:pt>
                <c:pt idx="4">
                  <c:v>-0.249599999999997</c:v>
                </c:pt>
                <c:pt idx="5">
                  <c:v>-0.257899999999998</c:v>
                </c:pt>
                <c:pt idx="6">
                  <c:v>-0.26196</c:v>
                </c:pt>
                <c:pt idx="7">
                  <c:v>-0.254450000000001</c:v>
                </c:pt>
                <c:pt idx="8">
                  <c:v>-0.16488</c:v>
                </c:pt>
                <c:pt idx="9">
                  <c:v>-0.13113</c:v>
                </c:pt>
                <c:pt idx="10">
                  <c:v>-0.0861000000000001</c:v>
                </c:pt>
                <c:pt idx="11">
                  <c:v>-0.00890999999999975</c:v>
                </c:pt>
                <c:pt idx="12">
                  <c:v>0.00631200000000032</c:v>
                </c:pt>
                <c:pt idx="13">
                  <c:v>0.0213069999999993</c:v>
                </c:pt>
                <c:pt idx="14">
                  <c:v>0.0185359999999999</c:v>
                </c:pt>
                <c:pt idx="15">
                  <c:v>0.0118349999999998</c:v>
                </c:pt>
                <c:pt idx="16">
                  <c:v>0.0329920000000001</c:v>
                </c:pt>
                <c:pt idx="17">
                  <c:v>0.0277099999999999</c:v>
                </c:pt>
                <c:pt idx="18">
                  <c:v>0.0331758</c:v>
                </c:pt>
                <c:pt idx="19">
                  <c:v>0.0349467</c:v>
                </c:pt>
                <c:pt idx="20">
                  <c:v>0.048472</c:v>
                </c:pt>
                <c:pt idx="21">
                  <c:v>0.0471975</c:v>
                </c:pt>
                <c:pt idx="22">
                  <c:v>0.04448532</c:v>
                </c:pt>
                <c:pt idx="23">
                  <c:v>0.04070563</c:v>
                </c:pt>
                <c:pt idx="24">
                  <c:v>0.03723264</c:v>
                </c:pt>
                <c:pt idx="25">
                  <c:v>0.03356525</c:v>
                </c:pt>
                <c:pt idx="26">
                  <c:v>0.02940275</c:v>
                </c:pt>
                <c:pt idx="27">
                  <c:v>0.024223644</c:v>
                </c:pt>
                <c:pt idx="28">
                  <c:v>0.01914864</c:v>
                </c:pt>
                <c:pt idx="29">
                  <c:v>0.0141384599</c:v>
                </c:pt>
                <c:pt idx="30">
                  <c:v>0.009815448</c:v>
                </c:pt>
                <c:pt idx="31">
                  <c:v>0.00666099883</c:v>
                </c:pt>
                <c:pt idx="32">
                  <c:v>0.004657503424</c:v>
                </c:pt>
                <c:pt idx="33">
                  <c:v>0.003163247703</c:v>
                </c:pt>
                <c:pt idx="34">
                  <c:v>0.0017743546</c:v>
                </c:pt>
                <c:pt idx="35">
                  <c:v>0.000930832</c:v>
                </c:pt>
                <c:pt idx="36">
                  <c:v>0.0005058108</c:v>
                </c:pt>
                <c:pt idx="37">
                  <c:v>0.00014853169</c:v>
                </c:pt>
                <c:pt idx="38">
                  <c:v>9.534124E-005</c:v>
                </c:pt>
                <c:pt idx="39">
                  <c:v>3.914001E-005</c:v>
                </c:pt>
                <c:pt idx="40">
                  <c:v>2.007188E-005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capture_depth_stats_stc!$AL$1</c:f>
              <c:strCache>
                <c:ptCount val="1"/>
                <c:pt idx="0">
                  <c:v>w+64=-0,00630822696203026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0.354500000000002</c:v>
                </c:pt>
                <c:pt idx="2">
                  <c:v>-0.305380000000003</c:v>
                </c:pt>
                <c:pt idx="3">
                  <c:v>-0.310290000000001</c:v>
                </c:pt>
                <c:pt idx="4">
                  <c:v>-0.240119999999997</c:v>
                </c:pt>
                <c:pt idx="5">
                  <c:v>-0.186299999999999</c:v>
                </c:pt>
                <c:pt idx="6">
                  <c:v>-0.17976</c:v>
                </c:pt>
                <c:pt idx="7">
                  <c:v>-0.151620000000002</c:v>
                </c:pt>
                <c:pt idx="8">
                  <c:v>-0.10568</c:v>
                </c:pt>
                <c:pt idx="9">
                  <c:v>-0.0960299999999996</c:v>
                </c:pt>
                <c:pt idx="10">
                  <c:v>-0.0380000000000003</c:v>
                </c:pt>
                <c:pt idx="11">
                  <c:v>0.0334400000000017</c:v>
                </c:pt>
                <c:pt idx="12">
                  <c:v>0.0453360000000007</c:v>
                </c:pt>
                <c:pt idx="13">
                  <c:v>0.0757769999999997</c:v>
                </c:pt>
                <c:pt idx="14">
                  <c:v>0.0658279999999998</c:v>
                </c:pt>
                <c:pt idx="15">
                  <c:v>0.0602849999999999</c:v>
                </c:pt>
                <c:pt idx="16">
                  <c:v>0.0743679999999998</c:v>
                </c:pt>
                <c:pt idx="17">
                  <c:v>0.0658919999999998</c:v>
                </c:pt>
                <c:pt idx="18">
                  <c:v>0.0498564000000001</c:v>
                </c:pt>
                <c:pt idx="19">
                  <c:v>0.0438083</c:v>
                </c:pt>
                <c:pt idx="20">
                  <c:v>0.03037</c:v>
                </c:pt>
                <c:pt idx="21">
                  <c:v>0.0236481</c:v>
                </c:pt>
                <c:pt idx="22">
                  <c:v>0.01536876</c:v>
                </c:pt>
                <c:pt idx="23">
                  <c:v>0.01350836</c:v>
                </c:pt>
                <c:pt idx="24">
                  <c:v>0.0095868</c:v>
                </c:pt>
                <c:pt idx="25">
                  <c:v>0.00778475</c:v>
                </c:pt>
                <c:pt idx="26">
                  <c:v>0.005311072</c:v>
                </c:pt>
                <c:pt idx="27">
                  <c:v>0.003674322</c:v>
                </c:pt>
                <c:pt idx="28">
                  <c:v>0.001864912</c:v>
                </c:pt>
                <c:pt idx="29">
                  <c:v>0.0010015701</c:v>
                </c:pt>
                <c:pt idx="30">
                  <c:v>0.00065745</c:v>
                </c:pt>
                <c:pt idx="31">
                  <c:v>0.00030226333</c:v>
                </c:pt>
                <c:pt idx="32">
                  <c:v>0.000156074944</c:v>
                </c:pt>
                <c:pt idx="33">
                  <c:v>3.2169423E-005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capture_depth_stats_stc!$AM$1</c:f>
              <c:strCache>
                <c:ptCount val="1"/>
                <c:pt idx="0">
                  <c:v>w+64cap=0,00433362291091965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0.0379000000000005</c:v>
                </c:pt>
                <c:pt idx="2">
                  <c:v>-0.00936000000000092</c:v>
                </c:pt>
                <c:pt idx="3">
                  <c:v>0.00164999999999882</c:v>
                </c:pt>
                <c:pt idx="4">
                  <c:v>0.0013600000000018</c:v>
                </c:pt>
                <c:pt idx="5">
                  <c:v>-0.0303499999999968</c:v>
                </c:pt>
                <c:pt idx="6">
                  <c:v>-0.00995999999999864</c:v>
                </c:pt>
                <c:pt idx="7">
                  <c:v>-0.0173600000000018</c:v>
                </c:pt>
                <c:pt idx="8">
                  <c:v>0.0297599999999996</c:v>
                </c:pt>
                <c:pt idx="9">
                  <c:v>0.025469999999999</c:v>
                </c:pt>
                <c:pt idx="10">
                  <c:v>0.0639999999999996</c:v>
                </c:pt>
                <c:pt idx="11">
                  <c:v>0.0965800000000001</c:v>
                </c:pt>
                <c:pt idx="12">
                  <c:v>0.09192</c:v>
                </c:pt>
                <c:pt idx="13">
                  <c:v>0.0831739999999988</c:v>
                </c:pt>
                <c:pt idx="14">
                  <c:v>0.0509740000000001</c:v>
                </c:pt>
                <c:pt idx="15">
                  <c:v>0.0326999999999994</c:v>
                </c:pt>
                <c:pt idx="16">
                  <c:v>0.0264799999999998</c:v>
                </c:pt>
                <c:pt idx="17">
                  <c:v>0.00785399999999983</c:v>
                </c:pt>
                <c:pt idx="18">
                  <c:v>-0.00610020000000006</c:v>
                </c:pt>
                <c:pt idx="19">
                  <c:v>-0.0109535</c:v>
                </c:pt>
                <c:pt idx="20">
                  <c:v>-0.00889000000000001</c:v>
                </c:pt>
                <c:pt idx="21">
                  <c:v>-0.00812910000000003</c:v>
                </c:pt>
                <c:pt idx="22">
                  <c:v>-0.00961004</c:v>
                </c:pt>
                <c:pt idx="23">
                  <c:v>-0.00640274</c:v>
                </c:pt>
                <c:pt idx="24">
                  <c:v>-0.00395928</c:v>
                </c:pt>
                <c:pt idx="25">
                  <c:v>-0.0003305</c:v>
                </c:pt>
                <c:pt idx="26">
                  <c:v>0.000556659999999998</c:v>
                </c:pt>
                <c:pt idx="27">
                  <c:v>0.000639657</c:v>
                </c:pt>
                <c:pt idx="28">
                  <c:v>0.000619444</c:v>
                </c:pt>
                <c:pt idx="29">
                  <c:v>0.0006813695</c:v>
                </c:pt>
                <c:pt idx="30">
                  <c:v>0.000564777</c:v>
                </c:pt>
                <c:pt idx="31">
                  <c:v>0.00072225133</c:v>
                </c:pt>
                <c:pt idx="32">
                  <c:v>0.000466268224</c:v>
                </c:pt>
                <c:pt idx="33">
                  <c:v>0.000240419223</c:v>
                </c:pt>
                <c:pt idx="34">
                  <c:v>0.00013216548</c:v>
                </c:pt>
                <c:pt idx="35">
                  <c:v>6.802635E-005</c:v>
                </c:pt>
                <c:pt idx="36">
                  <c:v>6.996996E-005</c:v>
                </c:pt>
                <c:pt idx="37">
                  <c:v>7.191357E-005</c:v>
                </c:pt>
                <c:pt idx="38">
                  <c:v>5.539298E-005</c:v>
                </c:pt>
                <c:pt idx="39">
                  <c:v>3.7900395E-005</c:v>
                </c:pt>
                <c:pt idx="40">
                  <c:v>1.943608E-005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capture_depth_stats_stc!$AN$1</c:f>
              <c:strCache>
                <c:ptCount val="1"/>
                <c:pt idx="0">
                  <c:v>w+64ncap=-0,0103818530642603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0.3917</c:v>
                </c:pt>
                <c:pt idx="2">
                  <c:v>-0.314300000000003</c:v>
                </c:pt>
                <c:pt idx="3">
                  <c:v>-0.328139999999999</c:v>
                </c:pt>
                <c:pt idx="4">
                  <c:v>-0.272079999999999</c:v>
                </c:pt>
                <c:pt idx="5">
                  <c:v>-0.2406</c:v>
                </c:pt>
                <c:pt idx="6">
                  <c:v>-0.227520000000001</c:v>
                </c:pt>
                <c:pt idx="7">
                  <c:v>-0.260889999999999</c:v>
                </c:pt>
                <c:pt idx="8">
                  <c:v>-0.212879999999998</c:v>
                </c:pt>
                <c:pt idx="9">
                  <c:v>-0.182880000000001</c:v>
                </c:pt>
                <c:pt idx="10">
                  <c:v>-0.141900000000001</c:v>
                </c:pt>
                <c:pt idx="11">
                  <c:v>-0.0510399999999998</c:v>
                </c:pt>
                <c:pt idx="12">
                  <c:v>0.0219720000000003</c:v>
                </c:pt>
                <c:pt idx="13">
                  <c:v>0.0604889999999988</c:v>
                </c:pt>
                <c:pt idx="14">
                  <c:v>0.0818719999999995</c:v>
                </c:pt>
                <c:pt idx="15">
                  <c:v>0.0946050000000001</c:v>
                </c:pt>
                <c:pt idx="16">
                  <c:v>0.112592</c:v>
                </c:pt>
                <c:pt idx="17">
                  <c:v>0.0978009999999999</c:v>
                </c:pt>
                <c:pt idx="18">
                  <c:v>0.0826254000000001</c:v>
                </c:pt>
                <c:pt idx="19">
                  <c:v>0.0698459</c:v>
                </c:pt>
                <c:pt idx="20">
                  <c:v>0.055998</c:v>
                </c:pt>
                <c:pt idx="21">
                  <c:v>0.0406266</c:v>
                </c:pt>
                <c:pt idx="22">
                  <c:v>0.02601698</c:v>
                </c:pt>
                <c:pt idx="23">
                  <c:v>0.01781304</c:v>
                </c:pt>
                <c:pt idx="24">
                  <c:v>0.0129396</c:v>
                </c:pt>
                <c:pt idx="25">
                  <c:v>0.00826075</c:v>
                </c:pt>
                <c:pt idx="26">
                  <c:v>0.006309888</c:v>
                </c:pt>
                <c:pt idx="27">
                  <c:v>0.004212999</c:v>
                </c:pt>
                <c:pt idx="28">
                  <c:v>0.003402812</c:v>
                </c:pt>
                <c:pt idx="29">
                  <c:v>0.0020025979</c:v>
                </c:pt>
                <c:pt idx="30">
                  <c:v>0.00127653</c:v>
                </c:pt>
                <c:pt idx="31">
                  <c:v>0.00087876723</c:v>
                </c:pt>
                <c:pt idx="32">
                  <c:v>0.000446335424</c:v>
                </c:pt>
                <c:pt idx="33">
                  <c:v>0.000174530103</c:v>
                </c:pt>
                <c:pt idx="34">
                  <c:v>0.00011459326</c:v>
                </c:pt>
                <c:pt idx="35">
                  <c:v>3.3703845E-005</c:v>
                </c:pt>
                <c:pt idx="36">
                  <c:v>3.4666812E-005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capture_depth_stats_stc!$BI$1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capture_depth_stats_stc!$BG$1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tar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capture_depth_stats_stc!$BJ$1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capture_depth_stats_stc!$BK$1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capture_depth_stats_stc!$BM$1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capture_depth_stats_stc!$BL$1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capture_depth_stats_stc!$BH$1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capture_depth_stats_stc!$BF$1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capture_depth_stats_stc!$BD$1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capture_depth_stats_stc!$BE$1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capture_depth_stats_stc!$BC$1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capture_depth_stats_stc!$BB$1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capture_depth_stats_stc!$AX$1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capture_depth_stats_stc!$BA$1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capture_depth_stats_stc!$AW$1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capture_depth_stats_stc!$AZ$1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capture_depth_stats_stc!$AY$1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capture_depth_stats_stc!$AY$2:$AY$65</c:f>
              <c:numCache>
                <c:formatCode>General</c:formatCode>
                <c:ptCount val="64"/>
              </c:numCache>
            </c:numRef>
          </c:yVal>
          <c:smooth val="0"/>
        </c:ser>
        <c:axId val="27346122"/>
        <c:axId val="45379253"/>
      </c:scatterChart>
      <c:valAx>
        <c:axId val="2734612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45379253"/>
        <c:crosses val="autoZero"/>
        <c:crossBetween val="between"/>
      </c:valAx>
      <c:valAx>
        <c:axId val="4537925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27346122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4864687551255"/>
          <c:y val="0.0346044683793028"/>
          <c:w val="0.87424143021158"/>
          <c:h val="0.662906629794047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depth_stats_ltc_new2!$AS$1</c:f>
              <c:strCache>
                <c:ptCount val="1"/>
                <c:pt idx="0">
                  <c:v>p/(4(p+d))=-0,0471293046087551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depth_stats_ltc_new2!$AS$2:$AS$65</c:f>
              <c:numCache>
                <c:formatCode>0.00\ %</c:formatCode>
                <c:ptCount val="64"/>
                <c:pt idx="0">
                  <c:v>-0</c:v>
                </c:pt>
                <c:pt idx="1">
                  <c:v>0.593799999999998</c:v>
                </c:pt>
                <c:pt idx="2">
                  <c:v>0.21434</c:v>
                </c:pt>
                <c:pt idx="3">
                  <c:v>0.0159000000000002</c:v>
                </c:pt>
                <c:pt idx="4">
                  <c:v>-0.149319999999999</c:v>
                </c:pt>
                <c:pt idx="5">
                  <c:v>-0.277799999999999</c:v>
                </c:pt>
                <c:pt idx="6">
                  <c:v>-0.382919999999999</c:v>
                </c:pt>
                <c:pt idx="7">
                  <c:v>-0.511770000000002</c:v>
                </c:pt>
                <c:pt idx="8">
                  <c:v>-0.651520000000001</c:v>
                </c:pt>
                <c:pt idx="9">
                  <c:v>-0.851940000000002</c:v>
                </c:pt>
                <c:pt idx="10">
                  <c:v>-0.843</c:v>
                </c:pt>
                <c:pt idx="11">
                  <c:v>-0.769670000000001</c:v>
                </c:pt>
                <c:pt idx="12">
                  <c:v>-0.58764</c:v>
                </c:pt>
                <c:pt idx="13">
                  <c:v>-0.376817999999999</c:v>
                </c:pt>
                <c:pt idx="14">
                  <c:v>-0.201292</c:v>
                </c:pt>
                <c:pt idx="15">
                  <c:v>-0.0978750000000001</c:v>
                </c:pt>
                <c:pt idx="16">
                  <c:v>-0.0427359999999997</c:v>
                </c:pt>
                <c:pt idx="17">
                  <c:v>-0.0219299999999993</c:v>
                </c:pt>
                <c:pt idx="18">
                  <c:v>-0.00988199999999989</c:v>
                </c:pt>
                <c:pt idx="19">
                  <c:v>0.00216600000000006</c:v>
                </c:pt>
                <c:pt idx="20">
                  <c:v>0.0128640000000002</c:v>
                </c:pt>
                <c:pt idx="21">
                  <c:v>0.0166067999999999</c:v>
                </c:pt>
                <c:pt idx="22">
                  <c:v>0.0225059999999999</c:v>
                </c:pt>
                <c:pt idx="23">
                  <c:v>0.0257324</c:v>
                </c:pt>
                <c:pt idx="24">
                  <c:v>0.027936</c:v>
                </c:pt>
                <c:pt idx="25">
                  <c:v>0.0263375</c:v>
                </c:pt>
                <c:pt idx="26">
                  <c:v>0.02428686</c:v>
                </c:pt>
                <c:pt idx="27">
                  <c:v>0.02116962</c:v>
                </c:pt>
                <c:pt idx="28">
                  <c:v>0.01754116</c:v>
                </c:pt>
                <c:pt idx="29">
                  <c:v>0.01435181</c:v>
                </c:pt>
                <c:pt idx="30">
                  <c:v>0.0111297</c:v>
                </c:pt>
                <c:pt idx="31">
                  <c:v>0.007443875</c:v>
                </c:pt>
                <c:pt idx="32">
                  <c:v>0.004580256</c:v>
                </c:pt>
                <c:pt idx="33">
                  <c:v>0.003029895</c:v>
                </c:pt>
                <c:pt idx="34">
                  <c:v>0.001325354</c:v>
                </c:pt>
                <c:pt idx="35">
                  <c:v>0.00045017</c:v>
                </c:pt>
                <c:pt idx="36">
                  <c:v>0.0001002528</c:v>
                </c:pt>
                <c:pt idx="37">
                  <c:v>-1.17363999999999E-005</c:v>
                </c:pt>
                <c:pt idx="38">
                  <c:v>-3.85433999999999E-005</c:v>
                </c:pt>
                <c:pt idx="39">
                  <c:v>-0.0001181349</c:v>
                </c:pt>
                <c:pt idx="40">
                  <c:v>-9.10484E-005</c:v>
                </c:pt>
                <c:pt idx="41">
                  <c:v>-6.470292E-005</c:v>
                </c:pt>
                <c:pt idx="42">
                  <c:v>-4.488372E-005</c:v>
                </c:pt>
                <c:pt idx="43">
                  <c:v>-2.6491397E-005</c:v>
                </c:pt>
                <c:pt idx="44">
                  <c:v>-1.156914E-005</c:v>
                </c:pt>
                <c:pt idx="45">
                  <c:v>-8.0033985E-006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depth_stats_ltc_new2!$AR$1</c:f>
              <c:strCache>
                <c:ptCount val="1"/>
                <c:pt idx="0">
                  <c:v>45p/(256rd)=-0,0594907069424506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0.571999999999999</c:v>
                </c:pt>
                <c:pt idx="2">
                  <c:v>0.299499999999998</c:v>
                </c:pt>
                <c:pt idx="3">
                  <c:v>0.0492299999999988</c:v>
                </c:pt>
                <c:pt idx="4">
                  <c:v>-0.13072</c:v>
                </c:pt>
                <c:pt idx="5">
                  <c:v>-0.263100000000001</c:v>
                </c:pt>
                <c:pt idx="6">
                  <c:v>-0.400439999999999</c:v>
                </c:pt>
                <c:pt idx="7">
                  <c:v>-0.555940000000002</c:v>
                </c:pt>
                <c:pt idx="8">
                  <c:v>-0.73</c:v>
                </c:pt>
                <c:pt idx="9">
                  <c:v>-0.955889999999999</c:v>
                </c:pt>
                <c:pt idx="10">
                  <c:v>-0.9375</c:v>
                </c:pt>
                <c:pt idx="11">
                  <c:v>-0.858330000000001</c:v>
                </c:pt>
                <c:pt idx="12">
                  <c:v>-0.673439999999999</c:v>
                </c:pt>
                <c:pt idx="13">
                  <c:v>-0.466257999999999</c:v>
                </c:pt>
                <c:pt idx="14">
                  <c:v>-0.279034</c:v>
                </c:pt>
                <c:pt idx="15">
                  <c:v>-0.1776</c:v>
                </c:pt>
                <c:pt idx="16">
                  <c:v>-0.12024</c:v>
                </c:pt>
                <c:pt idx="17">
                  <c:v>-0.100249</c:v>
                </c:pt>
                <c:pt idx="18">
                  <c:v>-0.0831420000000002</c:v>
                </c:pt>
                <c:pt idx="19">
                  <c:v>-0.06593</c:v>
                </c:pt>
                <c:pt idx="20">
                  <c:v>-0.0510839999999999</c:v>
                </c:pt>
                <c:pt idx="21">
                  <c:v>-0.0379323000000001</c:v>
                </c:pt>
                <c:pt idx="22">
                  <c:v>-0.025135</c:v>
                </c:pt>
                <c:pt idx="23">
                  <c:v>-0.0113574</c:v>
                </c:pt>
                <c:pt idx="24">
                  <c:v>-0.00164399999999998</c:v>
                </c:pt>
                <c:pt idx="25">
                  <c:v>0.00226500000000004</c:v>
                </c:pt>
                <c:pt idx="26">
                  <c:v>0.00698568000000001</c:v>
                </c:pt>
                <c:pt idx="27">
                  <c:v>0.00863217</c:v>
                </c:pt>
                <c:pt idx="28">
                  <c:v>0.00845292</c:v>
                </c:pt>
                <c:pt idx="29">
                  <c:v>0.00820149</c:v>
                </c:pt>
                <c:pt idx="30">
                  <c:v>0.0073185</c:v>
                </c:pt>
                <c:pt idx="31">
                  <c:v>0.005613356</c:v>
                </c:pt>
                <c:pt idx="32">
                  <c:v>0.00397024</c:v>
                </c:pt>
                <c:pt idx="33">
                  <c:v>0.002545026</c:v>
                </c:pt>
                <c:pt idx="34">
                  <c:v>0.001430754</c:v>
                </c:pt>
                <c:pt idx="35">
                  <c:v>0.00035105</c:v>
                </c:pt>
                <c:pt idx="36">
                  <c:v>4.62744E-005</c:v>
                </c:pt>
                <c:pt idx="37">
                  <c:v>-4.40374E-005</c:v>
                </c:pt>
                <c:pt idx="38">
                  <c:v>-8.87186E-005</c:v>
                </c:pt>
                <c:pt idx="39">
                  <c:v>-0.00015780687</c:v>
                </c:pt>
                <c:pt idx="40">
                  <c:v>-0.000137096</c:v>
                </c:pt>
                <c:pt idx="41">
                  <c:v>-9.414133E-005</c:v>
                </c:pt>
                <c:pt idx="42">
                  <c:v>-6.2948046E-005</c:v>
                </c:pt>
                <c:pt idx="43">
                  <c:v>-3.46968591E-005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depth_stats_ltc_new2!$AE$1</c:f>
              <c:strCache>
                <c:ptCount val="1"/>
                <c:pt idx="0">
                  <c:v>r+653=-0,0281370151157647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depth_stats_ltc_new2!$AE$2:$AE$65</c:f>
              <c:numCache>
                <c:formatCode>0.00\ %</c:formatCode>
                <c:ptCount val="64"/>
                <c:pt idx="0">
                  <c:v>0</c:v>
                </c:pt>
                <c:pt idx="1">
                  <c:v>0.446400000000001</c:v>
                </c:pt>
                <c:pt idx="2">
                  <c:v>-0.127760000000002</c:v>
                </c:pt>
                <c:pt idx="3">
                  <c:v>-0.150930000000002</c:v>
                </c:pt>
                <c:pt idx="4">
                  <c:v>-0.173079999999999</c:v>
                </c:pt>
                <c:pt idx="5">
                  <c:v>-0.207899999999999</c:v>
                </c:pt>
                <c:pt idx="6">
                  <c:v>-0.23352</c:v>
                </c:pt>
                <c:pt idx="7">
                  <c:v>-0.29232</c:v>
                </c:pt>
                <c:pt idx="8">
                  <c:v>-0.38936</c:v>
                </c:pt>
                <c:pt idx="9">
                  <c:v>-0.544410000000001</c:v>
                </c:pt>
                <c:pt idx="10">
                  <c:v>-0.5427</c:v>
                </c:pt>
                <c:pt idx="11">
                  <c:v>-0.48807</c:v>
                </c:pt>
                <c:pt idx="12">
                  <c:v>-0.362879999999998</c:v>
                </c:pt>
                <c:pt idx="13">
                  <c:v>-0.201669</c:v>
                </c:pt>
                <c:pt idx="14">
                  <c:v>-0.0814379999999995</c:v>
                </c:pt>
                <c:pt idx="15">
                  <c:v>-0.0176549999999998</c:v>
                </c:pt>
                <c:pt idx="16">
                  <c:v>0.0117919999999998</c:v>
                </c:pt>
                <c:pt idx="17">
                  <c:v>0.0213010000000001</c:v>
                </c:pt>
                <c:pt idx="18">
                  <c:v>0.0281699999999997</c:v>
                </c:pt>
                <c:pt idx="19">
                  <c:v>0.0369930000000001</c:v>
                </c:pt>
                <c:pt idx="20">
                  <c:v>0.0460500000000003</c:v>
                </c:pt>
                <c:pt idx="21">
                  <c:v>0.0519686999999999</c:v>
                </c:pt>
                <c:pt idx="22">
                  <c:v>0.0544896</c:v>
                </c:pt>
                <c:pt idx="23">
                  <c:v>0.0557359</c:v>
                </c:pt>
                <c:pt idx="24">
                  <c:v>0.0532848000000001</c:v>
                </c:pt>
                <c:pt idx="25">
                  <c:v>0.0457775</c:v>
                </c:pt>
                <c:pt idx="26">
                  <c:v>0.03869346</c:v>
                </c:pt>
                <c:pt idx="27">
                  <c:v>0.03227526</c:v>
                </c:pt>
                <c:pt idx="28">
                  <c:v>0.02419564</c:v>
                </c:pt>
                <c:pt idx="29">
                  <c:v>0.01800059</c:v>
                </c:pt>
                <c:pt idx="30">
                  <c:v>0.0127326</c:v>
                </c:pt>
                <c:pt idx="31">
                  <c:v>0.008921645</c:v>
                </c:pt>
                <c:pt idx="32">
                  <c:v>0.005589088</c:v>
                </c:pt>
                <c:pt idx="33">
                  <c:v>0.003296337</c:v>
                </c:pt>
                <c:pt idx="34">
                  <c:v>0.001899342</c:v>
                </c:pt>
                <c:pt idx="35">
                  <c:v>0.000927745</c:v>
                </c:pt>
                <c:pt idx="36">
                  <c:v>0.000642834</c:v>
                </c:pt>
                <c:pt idx="37">
                  <c:v>0.0004324856</c:v>
                </c:pt>
                <c:pt idx="38">
                  <c:v>0.0002428314</c:v>
                </c:pt>
                <c:pt idx="39">
                  <c:v>0.0001052064</c:v>
                </c:pt>
                <c:pt idx="40">
                  <c:v>4.28608000000001E-005</c:v>
                </c:pt>
                <c:pt idx="41">
                  <c:v>4.197293E-005</c:v>
                </c:pt>
                <c:pt idx="42">
                  <c:v>6.46128E-006</c:v>
                </c:pt>
                <c:pt idx="43">
                  <c:v>-8.109456E-006</c:v>
                </c:pt>
                <c:pt idx="44">
                  <c:v>-4.126496E-006</c:v>
                </c:pt>
                <c:pt idx="45">
                  <c:v>-6.1350345E-006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depth_stats_ltc_new2!$AT$1</c:f>
              <c:strCache>
                <c:ptCount val="1"/>
                <c:pt idx="0">
                  <c:v>(184+21p)/(256d+85p+179)=-0,0368152463710656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depth_stats_ltc_new2!$AT$2:$AT$65</c:f>
              <c:numCache>
                <c:formatCode>0.00\ %</c:formatCode>
                <c:ptCount val="64"/>
                <c:pt idx="0">
                  <c:v>-0</c:v>
                </c:pt>
                <c:pt idx="1">
                  <c:v>0.430499999999999</c:v>
                </c:pt>
                <c:pt idx="2">
                  <c:v>0.103759999999998</c:v>
                </c:pt>
                <c:pt idx="3">
                  <c:v>0.0307799999999991</c:v>
                </c:pt>
                <c:pt idx="4">
                  <c:v>-0.039159999999999</c:v>
                </c:pt>
                <c:pt idx="5">
                  <c:v>-0.133399999999999</c:v>
                </c:pt>
                <c:pt idx="6">
                  <c:v>-0.246659999999999</c:v>
                </c:pt>
                <c:pt idx="7">
                  <c:v>-0.359310000000001</c:v>
                </c:pt>
                <c:pt idx="8">
                  <c:v>-0.500160000000001</c:v>
                </c:pt>
                <c:pt idx="9">
                  <c:v>-0.68202</c:v>
                </c:pt>
                <c:pt idx="10">
                  <c:v>-0.704100000000001</c:v>
                </c:pt>
                <c:pt idx="11">
                  <c:v>-0.66132</c:v>
                </c:pt>
                <c:pt idx="12">
                  <c:v>-0.5442</c:v>
                </c:pt>
                <c:pt idx="13">
                  <c:v>-0.398735999999999</c:v>
                </c:pt>
                <c:pt idx="14">
                  <c:v>-0.255583999999999</c:v>
                </c:pt>
                <c:pt idx="15">
                  <c:v>-0.16542</c:v>
                </c:pt>
                <c:pt idx="16">
                  <c:v>-0.101760000000001</c:v>
                </c:pt>
                <c:pt idx="17">
                  <c:v>-0.063189</c:v>
                </c:pt>
                <c:pt idx="18">
                  <c:v>-0.0297720000000003</c:v>
                </c:pt>
                <c:pt idx="19">
                  <c:v>0.00150099999999992</c:v>
                </c:pt>
                <c:pt idx="20">
                  <c:v>0.023532</c:v>
                </c:pt>
                <c:pt idx="21">
                  <c:v>0.0404753999999999</c:v>
                </c:pt>
                <c:pt idx="22">
                  <c:v>0.0536469999999999</c:v>
                </c:pt>
                <c:pt idx="23">
                  <c:v>0.0634455000000001</c:v>
                </c:pt>
                <c:pt idx="24">
                  <c:v>0.066972</c:v>
                </c:pt>
                <c:pt idx="25">
                  <c:v>0.0641125</c:v>
                </c:pt>
                <c:pt idx="26">
                  <c:v>0.06026254</c:v>
                </c:pt>
                <c:pt idx="27">
                  <c:v>0.05334552</c:v>
                </c:pt>
                <c:pt idx="28">
                  <c:v>0.04664884</c:v>
                </c:pt>
                <c:pt idx="29">
                  <c:v>0.03927238</c:v>
                </c:pt>
                <c:pt idx="30">
                  <c:v>0.0318252</c:v>
                </c:pt>
                <c:pt idx="31">
                  <c:v>0.024878275</c:v>
                </c:pt>
                <c:pt idx="32">
                  <c:v>0.018809024</c:v>
                </c:pt>
                <c:pt idx="33">
                  <c:v>0.014498154</c:v>
                </c:pt>
                <c:pt idx="34">
                  <c:v>0.010949394</c:v>
                </c:pt>
                <c:pt idx="35">
                  <c:v>0.00797517</c:v>
                </c:pt>
                <c:pt idx="36">
                  <c:v>0.0060426252</c:v>
                </c:pt>
                <c:pt idx="37">
                  <c:v>0.0041150808</c:v>
                </c:pt>
                <c:pt idx="38">
                  <c:v>0.0026637582</c:v>
                </c:pt>
                <c:pt idx="39">
                  <c:v>0.0015800499</c:v>
                </c:pt>
                <c:pt idx="40">
                  <c:v>0.0008918648</c:v>
                </c:pt>
                <c:pt idx="41">
                  <c:v>0.00044604884</c:v>
                </c:pt>
                <c:pt idx="42">
                  <c:v>0.00022006908</c:v>
                </c:pt>
                <c:pt idx="43">
                  <c:v>7.9207333E-005</c:v>
                </c:pt>
                <c:pt idx="44">
                  <c:v>2.813514E-005</c:v>
                </c:pt>
                <c:pt idx="45">
                  <c:v>3.572145E-006</c:v>
                </c:pt>
                <c:pt idx="46">
                  <c:v>4.007267E-006</c:v>
                </c:pt>
                <c:pt idx="47">
                  <c:v>2.0471884E-006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depth_stats_ltc_new2!$AU$1</c:f>
              <c:strCache>
                <c:ptCount val="1"/>
                <c:pt idx="0">
                  <c:v>(r276/(256d+268)+r*p/(4(p+d)))/2=0,0058409013559082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squar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0.136799999999997</c:v>
                </c:pt>
                <c:pt idx="2">
                  <c:v>0.0661400000000008</c:v>
                </c:pt>
                <c:pt idx="3">
                  <c:v>0.0167699999999993</c:v>
                </c:pt>
                <c:pt idx="4">
                  <c:v>-0.0548800000000007</c:v>
                </c:pt>
                <c:pt idx="5">
                  <c:v>-0.0856999999999974</c:v>
                </c:pt>
                <c:pt idx="6">
                  <c:v>-0.0974999999999993</c:v>
                </c:pt>
                <c:pt idx="7">
                  <c:v>-0.136500000000002</c:v>
                </c:pt>
                <c:pt idx="8">
                  <c:v>-0.230319999999999</c:v>
                </c:pt>
                <c:pt idx="9">
                  <c:v>-0.390150000000002</c:v>
                </c:pt>
                <c:pt idx="10">
                  <c:v>-0.3911</c:v>
                </c:pt>
                <c:pt idx="11">
                  <c:v>-0.352989999999999</c:v>
                </c:pt>
                <c:pt idx="12">
                  <c:v>-0.213719999999999</c:v>
                </c:pt>
                <c:pt idx="13">
                  <c:v>-0.0481909999999988</c:v>
                </c:pt>
                <c:pt idx="14">
                  <c:v>0.0762019999999997</c:v>
                </c:pt>
                <c:pt idx="15">
                  <c:v>0.135075</c:v>
                </c:pt>
                <c:pt idx="16">
                  <c:v>0.14832</c:v>
                </c:pt>
                <c:pt idx="17">
                  <c:v>0.140335</c:v>
                </c:pt>
                <c:pt idx="18">
                  <c:v>0.134874</c:v>
                </c:pt>
                <c:pt idx="19">
                  <c:v>0.135907</c:v>
                </c:pt>
                <c:pt idx="20">
                  <c:v>0.138744</c:v>
                </c:pt>
                <c:pt idx="21">
                  <c:v>0.1431024</c:v>
                </c:pt>
                <c:pt idx="22">
                  <c:v>0.1450174</c:v>
                </c:pt>
                <c:pt idx="23">
                  <c:v>0.1467446</c:v>
                </c:pt>
                <c:pt idx="24">
                  <c:v>0.1438968</c:v>
                </c:pt>
                <c:pt idx="25">
                  <c:v>0.13966</c:v>
                </c:pt>
                <c:pt idx="26">
                  <c:v>0.13040014</c:v>
                </c:pt>
                <c:pt idx="27">
                  <c:v>0.11900169</c:v>
                </c:pt>
                <c:pt idx="28">
                  <c:v>0.10518368</c:v>
                </c:pt>
                <c:pt idx="29">
                  <c:v>0.09047768</c:v>
                </c:pt>
                <c:pt idx="30">
                  <c:v>0.0748416</c:v>
                </c:pt>
                <c:pt idx="31">
                  <c:v>0.060297635</c:v>
                </c:pt>
                <c:pt idx="32">
                  <c:v>0.046089664</c:v>
                </c:pt>
                <c:pt idx="33">
                  <c:v>0.034288056</c:v>
                </c:pt>
                <c:pt idx="34">
                  <c:v>0.024345938</c:v>
                </c:pt>
                <c:pt idx="35">
                  <c:v>0.017002195</c:v>
                </c:pt>
                <c:pt idx="36">
                  <c:v>0.0119291292</c:v>
                </c:pt>
                <c:pt idx="37">
                  <c:v>0.0082375838</c:v>
                </c:pt>
                <c:pt idx="38">
                  <c:v>0.0056515234</c:v>
                </c:pt>
                <c:pt idx="39">
                  <c:v>0.0036716238</c:v>
                </c:pt>
                <c:pt idx="40">
                  <c:v>0.0024584768</c:v>
                </c:pt>
                <c:pt idx="41">
                  <c:v>0.00152509504</c:v>
                </c:pt>
                <c:pt idx="42">
                  <c:v>0.00097151502</c:v>
                </c:pt>
                <c:pt idx="43">
                  <c:v>0.000580234303</c:v>
                </c:pt>
                <c:pt idx="44">
                  <c:v>0.00031200246</c:v>
                </c:pt>
                <c:pt idx="45">
                  <c:v>0.0001678455</c:v>
                </c:pt>
                <c:pt idx="46">
                  <c:v>8.039604E-005</c:v>
                </c:pt>
                <c:pt idx="47">
                  <c:v>2.5940193E-005</c:v>
                </c:pt>
                <c:pt idx="48">
                  <c:v>1.1038368E-005</c:v>
                </c:pt>
                <c:pt idx="49">
                  <c:v>2.2536668E-006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depth_stats_ltc_new2!$AW$1</c:f>
              <c:strCache>
                <c:ptCount val="1"/>
                <c:pt idx="0">
                  <c:v>67p/(256rd)=-0,0445638809812898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depth_stats_ltc_new2!$AW$2:$AW$65</c:f>
              <c:numCache>
                <c:formatCode>0.00\ %</c:formatCode>
                <c:ptCount val="64"/>
                <c:pt idx="0">
                  <c:v>-0</c:v>
                </c:pt>
                <c:pt idx="1">
                  <c:v>1.019</c:v>
                </c:pt>
                <c:pt idx="2">
                  <c:v>0.0524799999999992</c:v>
                </c:pt>
                <c:pt idx="3">
                  <c:v>-0.2151</c:v>
                </c:pt>
                <c:pt idx="4">
                  <c:v>-0.418599999999998</c:v>
                </c:pt>
                <c:pt idx="5">
                  <c:v>-0.549149999999998</c:v>
                </c:pt>
                <c:pt idx="6">
                  <c:v>-0.649019999999999</c:v>
                </c:pt>
                <c:pt idx="7">
                  <c:v>-0.7868</c:v>
                </c:pt>
                <c:pt idx="8">
                  <c:v>-0.862159999999999</c:v>
                </c:pt>
                <c:pt idx="9">
                  <c:v>-0.999540000000001</c:v>
                </c:pt>
                <c:pt idx="10">
                  <c:v>-0.902499999999999</c:v>
                </c:pt>
                <c:pt idx="11">
                  <c:v>-0.766700000000001</c:v>
                </c:pt>
                <c:pt idx="12">
                  <c:v>-0.526439999999998</c:v>
                </c:pt>
                <c:pt idx="13">
                  <c:v>-0.279278999999999</c:v>
                </c:pt>
                <c:pt idx="14">
                  <c:v>-0.0797860000000001</c:v>
                </c:pt>
                <c:pt idx="15">
                  <c:v>0.023715</c:v>
                </c:pt>
                <c:pt idx="16">
                  <c:v>0.0837120000000002</c:v>
                </c:pt>
                <c:pt idx="17">
                  <c:v>0.0955569999999998</c:v>
                </c:pt>
                <c:pt idx="18">
                  <c:v>0.0988379999999999</c:v>
                </c:pt>
                <c:pt idx="19">
                  <c:v>0.102144</c:v>
                </c:pt>
                <c:pt idx="20">
                  <c:v>0.106026</c:v>
                </c:pt>
                <c:pt idx="21">
                  <c:v>0.1077972</c:v>
                </c:pt>
                <c:pt idx="22">
                  <c:v>0.11055</c:v>
                </c:pt>
                <c:pt idx="23">
                  <c:v>0.1119732</c:v>
                </c:pt>
                <c:pt idx="24">
                  <c:v>0.1092624</c:v>
                </c:pt>
                <c:pt idx="25">
                  <c:v>0.1005775</c:v>
                </c:pt>
                <c:pt idx="26">
                  <c:v>0.09025354</c:v>
                </c:pt>
                <c:pt idx="27">
                  <c:v>0.07912998</c:v>
                </c:pt>
                <c:pt idx="28">
                  <c:v>0.06770904</c:v>
                </c:pt>
                <c:pt idx="29">
                  <c:v>0.05612747</c:v>
                </c:pt>
                <c:pt idx="30">
                  <c:v>0.0452451</c:v>
                </c:pt>
                <c:pt idx="31">
                  <c:v>0.035512825</c:v>
                </c:pt>
                <c:pt idx="32">
                  <c:v>0.026239424</c:v>
                </c:pt>
                <c:pt idx="33">
                  <c:v>0.019483068</c:v>
                </c:pt>
                <c:pt idx="34">
                  <c:v>0.013713322</c:v>
                </c:pt>
                <c:pt idx="35">
                  <c:v>0.00919436</c:v>
                </c:pt>
                <c:pt idx="36">
                  <c:v>0.0060128172</c:v>
                </c:pt>
                <c:pt idx="37">
                  <c:v>0.0037497058</c:v>
                </c:pt>
                <c:pt idx="38">
                  <c:v>0.0022115506</c:v>
                </c:pt>
                <c:pt idx="39">
                  <c:v>0.0011493768</c:v>
                </c:pt>
                <c:pt idx="40">
                  <c:v>0.0006325448</c:v>
                </c:pt>
                <c:pt idx="41">
                  <c:v>0.00033038784</c:v>
                </c:pt>
                <c:pt idx="42">
                  <c:v>0.0001771518</c:v>
                </c:pt>
                <c:pt idx="43">
                  <c:v>7.5750993E-005</c:v>
                </c:pt>
                <c:pt idx="44">
                  <c:v>4.184642E-005</c:v>
                </c:pt>
                <c:pt idx="45">
                  <c:v>3.50847E-005</c:v>
                </c:pt>
                <c:pt idx="46">
                  <c:v>2.0807226E-005</c:v>
                </c:pt>
                <c:pt idx="47">
                  <c:v>9.448692E-006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depth_stats_ltc_new2!$AV$1</c:f>
              <c:strCache>
                <c:ptCount val="1"/>
                <c:pt idx="0">
                  <c:v>p85/(256(p+d))=-0,0805086889907289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0.990499999999997</c:v>
                </c:pt>
                <c:pt idx="2">
                  <c:v>-0.0187600000000003</c:v>
                </c:pt>
                <c:pt idx="3">
                  <c:v>-0.242310000000001</c:v>
                </c:pt>
                <c:pt idx="4">
                  <c:v>-0.499599999999997</c:v>
                </c:pt>
                <c:pt idx="5">
                  <c:v>-0.6887</c:v>
                </c:pt>
                <c:pt idx="6">
                  <c:v>-0.793680000000001</c:v>
                </c:pt>
                <c:pt idx="7">
                  <c:v>-0.92295</c:v>
                </c:pt>
                <c:pt idx="8">
                  <c:v>-1.02032</c:v>
                </c:pt>
                <c:pt idx="9">
                  <c:v>-1.15812</c:v>
                </c:pt>
                <c:pt idx="10">
                  <c:v>-1.0852</c:v>
                </c:pt>
                <c:pt idx="11">
                  <c:v>-0.9548</c:v>
                </c:pt>
                <c:pt idx="12">
                  <c:v>-0.728639999999999</c:v>
                </c:pt>
                <c:pt idx="13">
                  <c:v>-0.473186999999999</c:v>
                </c:pt>
                <c:pt idx="14">
                  <c:v>-0.257963999999999</c:v>
                </c:pt>
                <c:pt idx="15">
                  <c:v>-0.124155</c:v>
                </c:pt>
                <c:pt idx="16">
                  <c:v>-0.061712</c:v>
                </c:pt>
                <c:pt idx="17">
                  <c:v>-0.0360400000000002</c:v>
                </c:pt>
                <c:pt idx="18">
                  <c:v>-0.0228779999999999</c:v>
                </c:pt>
                <c:pt idx="19">
                  <c:v>-0.0125779999999999</c:v>
                </c:pt>
                <c:pt idx="20">
                  <c:v>-0.000127999999999795</c:v>
                </c:pt>
                <c:pt idx="21">
                  <c:v>-0.00034020000000002</c:v>
                </c:pt>
                <c:pt idx="22">
                  <c:v>0.00476740000000001</c:v>
                </c:pt>
                <c:pt idx="23">
                  <c:v>0.00600530000000001</c:v>
                </c:pt>
                <c:pt idx="24">
                  <c:v>0.00784079999999998</c:v>
                </c:pt>
                <c:pt idx="25">
                  <c:v>0.00656000000000003</c:v>
                </c:pt>
                <c:pt idx="26">
                  <c:v>0.00715156000000002</c:v>
                </c:pt>
                <c:pt idx="27">
                  <c:v>0.00572508</c:v>
                </c:pt>
                <c:pt idx="28">
                  <c:v>0.0052178</c:v>
                </c:pt>
                <c:pt idx="29">
                  <c:v>0.00503904000000001</c:v>
                </c:pt>
                <c:pt idx="30">
                  <c:v>0.0042021</c:v>
                </c:pt>
                <c:pt idx="31">
                  <c:v>0.003351286</c:v>
                </c:pt>
                <c:pt idx="32">
                  <c:v>0.002159936</c:v>
                </c:pt>
                <c:pt idx="33">
                  <c:v>0.001532652</c:v>
                </c:pt>
                <c:pt idx="34">
                  <c:v>0.000899266</c:v>
                </c:pt>
                <c:pt idx="35">
                  <c:v>0.00034013</c:v>
                </c:pt>
                <c:pt idx="36">
                  <c:v>0.0001088856</c:v>
                </c:pt>
                <c:pt idx="37">
                  <c:v>8.52961E-005</c:v>
                </c:pt>
                <c:pt idx="38">
                  <c:v>-1.31669999999999E-005</c:v>
                </c:pt>
                <c:pt idx="39">
                  <c:v>-3.07515E-005</c:v>
                </c:pt>
                <c:pt idx="40">
                  <c:v>-7.579E-005</c:v>
                </c:pt>
                <c:pt idx="41">
                  <c:v>-7.251834E-005</c:v>
                </c:pt>
                <c:pt idx="42">
                  <c:v>-5.4892782E-005</c:v>
                </c:pt>
                <c:pt idx="43">
                  <c:v>-2.4441415E-005</c:v>
                </c:pt>
                <c:pt idx="44">
                  <c:v>-1.36663824E-005</c:v>
                </c:pt>
                <c:pt idx="45">
                  <c:v>-8.0033535E-006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depth_stats_ltc_new2!$AQ$1</c:f>
              <c:strCache>
                <c:ptCount val="1"/>
                <c:pt idx="0">
                  <c:v>p/(2(p+d))=0,0100551939490807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1.2198</c:v>
                </c:pt>
                <c:pt idx="2">
                  <c:v>-0.62378</c:v>
                </c:pt>
                <c:pt idx="3">
                  <c:v>-0.816330000000002</c:v>
                </c:pt>
                <c:pt idx="4">
                  <c:v>-0.788239999999998</c:v>
                </c:pt>
                <c:pt idx="5">
                  <c:v>-0.6338</c:v>
                </c:pt>
                <c:pt idx="6">
                  <c:v>-0.5124</c:v>
                </c:pt>
                <c:pt idx="7">
                  <c:v>-0.521920000000003</c:v>
                </c:pt>
                <c:pt idx="8">
                  <c:v>-0.537200000000002</c:v>
                </c:pt>
                <c:pt idx="9">
                  <c:v>-0.562050000000001</c:v>
                </c:pt>
                <c:pt idx="10">
                  <c:v>-0.4847</c:v>
                </c:pt>
                <c:pt idx="11">
                  <c:v>-0.33374</c:v>
                </c:pt>
                <c:pt idx="12">
                  <c:v>-0.174239999999998</c:v>
                </c:pt>
                <c:pt idx="13">
                  <c:v>0.0157560000000013</c:v>
                </c:pt>
                <c:pt idx="14">
                  <c:v>0.176932000000001</c:v>
                </c:pt>
                <c:pt idx="15">
                  <c:v>0.26223</c:v>
                </c:pt>
                <c:pt idx="16">
                  <c:v>0.307792</c:v>
                </c:pt>
                <c:pt idx="17">
                  <c:v>0.316897</c:v>
                </c:pt>
                <c:pt idx="18">
                  <c:v>0.321066</c:v>
                </c:pt>
                <c:pt idx="19">
                  <c:v>0.33041</c:v>
                </c:pt>
                <c:pt idx="20">
                  <c:v>0.33866</c:v>
                </c:pt>
                <c:pt idx="21">
                  <c:v>0.3406032</c:v>
                </c:pt>
                <c:pt idx="22">
                  <c:v>0.3441086</c:v>
                </c:pt>
                <c:pt idx="23">
                  <c:v>0.3488732</c:v>
                </c:pt>
                <c:pt idx="24">
                  <c:v>0.3428256</c:v>
                </c:pt>
                <c:pt idx="25">
                  <c:v>0.3280275</c:v>
                </c:pt>
                <c:pt idx="26">
                  <c:v>0.30980274</c:v>
                </c:pt>
                <c:pt idx="27">
                  <c:v>0.28639305</c:v>
                </c:pt>
                <c:pt idx="28">
                  <c:v>0.260946</c:v>
                </c:pt>
                <c:pt idx="29">
                  <c:v>0.22957792</c:v>
                </c:pt>
                <c:pt idx="30">
                  <c:v>0.1992321</c:v>
                </c:pt>
                <c:pt idx="31">
                  <c:v>0.167596075</c:v>
                </c:pt>
                <c:pt idx="32">
                  <c:v>0.137628864</c:v>
                </c:pt>
                <c:pt idx="33">
                  <c:v>0.110632566</c:v>
                </c:pt>
                <c:pt idx="34">
                  <c:v>0.086934804</c:v>
                </c:pt>
                <c:pt idx="35">
                  <c:v>0.06582352</c:v>
                </c:pt>
                <c:pt idx="36">
                  <c:v>0.0488079252</c:v>
                </c:pt>
                <c:pt idx="37">
                  <c:v>0.0350216248</c:v>
                </c:pt>
                <c:pt idx="38">
                  <c:v>0.0237848954</c:v>
                </c:pt>
                <c:pt idx="39">
                  <c:v>0.0157101438</c:v>
                </c:pt>
                <c:pt idx="40">
                  <c:v>0.0096973248</c:v>
                </c:pt>
                <c:pt idx="41">
                  <c:v>0.00582763914</c:v>
                </c:pt>
                <c:pt idx="42">
                  <c:v>0.00335492682</c:v>
                </c:pt>
                <c:pt idx="43">
                  <c:v>0.001733571703</c:v>
                </c:pt>
                <c:pt idx="44">
                  <c:v>0.00082761646</c:v>
                </c:pt>
                <c:pt idx="45">
                  <c:v>0.00042329745</c:v>
                </c:pt>
                <c:pt idx="46">
                  <c:v>0.00012145288</c:v>
                </c:pt>
                <c:pt idx="47">
                  <c:v>3.9066353E-005</c:v>
                </c:pt>
                <c:pt idx="48">
                  <c:v>1.8775296E-005</c:v>
                </c:pt>
                <c:pt idx="49">
                  <c:v>2.395806E-006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depth_stats_ltc_new2!$AP$1</c:f>
              <c:strCache>
                <c:ptCount val="1"/>
                <c:pt idx="0">
                  <c:v>p/(2rd)=-0,15537010137645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depth_stats_ltc_new2!$AP$2:$AP$65</c:f>
              <c:numCache>
                <c:formatCode>0.00\ %</c:formatCode>
                <c:ptCount val="64"/>
                <c:pt idx="0">
                  <c:v>0</c:v>
                </c:pt>
                <c:pt idx="1">
                  <c:v>2.8529</c:v>
                </c:pt>
                <c:pt idx="2">
                  <c:v>-0.643740000000001</c:v>
                </c:pt>
                <c:pt idx="3">
                  <c:v>-1.11426</c:v>
                </c:pt>
                <c:pt idx="4">
                  <c:v>-1.41216</c:v>
                </c:pt>
                <c:pt idx="5">
                  <c:v>-1.6151</c:v>
                </c:pt>
                <c:pt idx="6">
                  <c:v>-1.77354</c:v>
                </c:pt>
                <c:pt idx="7">
                  <c:v>-1.93263</c:v>
                </c:pt>
                <c:pt idx="8">
                  <c:v>-1.96816</c:v>
                </c:pt>
                <c:pt idx="9">
                  <c:v>-2.00502</c:v>
                </c:pt>
                <c:pt idx="10">
                  <c:v>-1.7463</c:v>
                </c:pt>
                <c:pt idx="11">
                  <c:v>-1.47609</c:v>
                </c:pt>
                <c:pt idx="12">
                  <c:v>-1.103652</c:v>
                </c:pt>
                <c:pt idx="13">
                  <c:v>-0.733407999999999</c:v>
                </c:pt>
                <c:pt idx="14">
                  <c:v>-0.424522</c:v>
                </c:pt>
                <c:pt idx="15">
                  <c:v>-0.231975</c:v>
                </c:pt>
                <c:pt idx="16">
                  <c:v>-0.117648</c:v>
                </c:pt>
                <c:pt idx="17">
                  <c:v>-0.0707029999999999</c:v>
                </c:pt>
                <c:pt idx="18">
                  <c:v>-0.042462</c:v>
                </c:pt>
                <c:pt idx="19">
                  <c:v>-0.0227620000000001</c:v>
                </c:pt>
                <c:pt idx="20">
                  <c:v>-0.0111459999999999</c:v>
                </c:pt>
                <c:pt idx="21">
                  <c:v>-0.00783720000000009</c:v>
                </c:pt>
                <c:pt idx="22">
                  <c:v>-0.00387200000000006</c:v>
                </c:pt>
                <c:pt idx="23">
                  <c:v>0.000671600000000001</c:v>
                </c:pt>
                <c:pt idx="24">
                  <c:v>0.00405840000000005</c:v>
                </c:pt>
                <c:pt idx="25">
                  <c:v>0.00490250000000003</c:v>
                </c:pt>
                <c:pt idx="26">
                  <c:v>0.00602810000000001</c:v>
                </c:pt>
                <c:pt idx="27">
                  <c:v>0.00706860000000001</c:v>
                </c:pt>
                <c:pt idx="28">
                  <c:v>0.00768656</c:v>
                </c:pt>
                <c:pt idx="29">
                  <c:v>0.00757074</c:v>
                </c:pt>
                <c:pt idx="30">
                  <c:v>0.0075219</c:v>
                </c:pt>
                <c:pt idx="31">
                  <c:v>0.006385845</c:v>
                </c:pt>
                <c:pt idx="32">
                  <c:v>0.004828512</c:v>
                </c:pt>
                <c:pt idx="33">
                  <c:v>0.00384252</c:v>
                </c:pt>
                <c:pt idx="34">
                  <c:v>0.002638842</c:v>
                </c:pt>
                <c:pt idx="35">
                  <c:v>0.001624105</c:v>
                </c:pt>
                <c:pt idx="36">
                  <c:v>0.0010675512</c:v>
                </c:pt>
                <c:pt idx="37">
                  <c:v>0.0006429712</c:v>
                </c:pt>
                <c:pt idx="38">
                  <c:v>0.000294386</c:v>
                </c:pt>
                <c:pt idx="39">
                  <c:v>0.0001075425</c:v>
                </c:pt>
                <c:pt idx="40">
                  <c:v>5.09796E-005</c:v>
                </c:pt>
                <c:pt idx="41">
                  <c:v>6.488619E-005</c:v>
                </c:pt>
                <c:pt idx="42">
                  <c:v>7.42307999999999E-006</c:v>
                </c:pt>
                <c:pt idx="43">
                  <c:v>1.3955263E-005</c:v>
                </c:pt>
                <c:pt idx="44">
                  <c:v>1.764752E-006</c:v>
                </c:pt>
                <c:pt idx="45">
                  <c:v>-2.62143E-006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depth_stats_ltc_new2!$AO$1</c:f>
              <c:strCache>
                <c:ptCount val="1"/>
                <c:pt idx="0">
                  <c:v>w+128ncap=0,0318852054650982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0.351799999999997</c:v>
                </c:pt>
                <c:pt idx="2">
                  <c:v>-0.39678</c:v>
                </c:pt>
                <c:pt idx="3">
                  <c:v>-0.365190000000001</c:v>
                </c:pt>
                <c:pt idx="4">
                  <c:v>-0.316679999999998</c:v>
                </c:pt>
                <c:pt idx="5">
                  <c:v>-0.28905</c:v>
                </c:pt>
                <c:pt idx="6">
                  <c:v>-0.240239999999999</c:v>
                </c:pt>
                <c:pt idx="7">
                  <c:v>-0.182840000000001</c:v>
                </c:pt>
                <c:pt idx="8">
                  <c:v>-0.0671199999999992</c:v>
                </c:pt>
                <c:pt idx="9">
                  <c:v>0.0800100000000006</c:v>
                </c:pt>
                <c:pt idx="10">
                  <c:v>0.207299999999999</c:v>
                </c:pt>
                <c:pt idx="11">
                  <c:v>0.340559999999999</c:v>
                </c:pt>
                <c:pt idx="12">
                  <c:v>0.424920000000002</c:v>
                </c:pt>
                <c:pt idx="13">
                  <c:v>0.458913</c:v>
                </c:pt>
                <c:pt idx="14">
                  <c:v>0.438507999999999</c:v>
                </c:pt>
                <c:pt idx="15">
                  <c:v>0.368865</c:v>
                </c:pt>
                <c:pt idx="16">
                  <c:v>0.305328</c:v>
                </c:pt>
                <c:pt idx="17">
                  <c:v>0.248676000000001</c:v>
                </c:pt>
                <c:pt idx="18">
                  <c:v>0.21195</c:v>
                </c:pt>
                <c:pt idx="19">
                  <c:v>0.19114</c:v>
                </c:pt>
                <c:pt idx="20">
                  <c:v>0.178784</c:v>
                </c:pt>
                <c:pt idx="21">
                  <c:v>0.1689219</c:v>
                </c:pt>
                <c:pt idx="22">
                  <c:v>0.1574342</c:v>
                </c:pt>
                <c:pt idx="23">
                  <c:v>0.1500589</c:v>
                </c:pt>
                <c:pt idx="24">
                  <c:v>0.1388088</c:v>
                </c:pt>
                <c:pt idx="25">
                  <c:v>0.12533</c:v>
                </c:pt>
                <c:pt idx="26">
                  <c:v>0.11082994</c:v>
                </c:pt>
                <c:pt idx="27">
                  <c:v>0.09451998</c:v>
                </c:pt>
                <c:pt idx="28">
                  <c:v>0.07836472</c:v>
                </c:pt>
                <c:pt idx="29">
                  <c:v>0.06340879</c:v>
                </c:pt>
                <c:pt idx="30">
                  <c:v>0.0482904</c:v>
                </c:pt>
                <c:pt idx="31">
                  <c:v>0.035984335</c:v>
                </c:pt>
                <c:pt idx="32">
                  <c:v>0.024318144</c:v>
                </c:pt>
                <c:pt idx="33">
                  <c:v>0.016531152</c:v>
                </c:pt>
                <c:pt idx="34">
                  <c:v>0.010231382</c:v>
                </c:pt>
                <c:pt idx="35">
                  <c:v>0.00639702</c:v>
                </c:pt>
                <c:pt idx="36">
                  <c:v>0.0038633292</c:v>
                </c:pt>
                <c:pt idx="37">
                  <c:v>0.0025593788</c:v>
                </c:pt>
                <c:pt idx="38">
                  <c:v>0.0015262928</c:v>
                </c:pt>
                <c:pt idx="39">
                  <c:v>0.0009110127</c:v>
                </c:pt>
                <c:pt idx="40">
                  <c:v>0.0005367568</c:v>
                </c:pt>
                <c:pt idx="41">
                  <c:v>0.00034822284</c:v>
                </c:pt>
                <c:pt idx="42">
                  <c:v>0.00022008546</c:v>
                </c:pt>
                <c:pt idx="43">
                  <c:v>0.000155369363</c:v>
                </c:pt>
                <c:pt idx="44">
                  <c:v>8.14759E-005</c:v>
                </c:pt>
                <c:pt idx="45">
                  <c:v>2.033001E-005</c:v>
                </c:pt>
                <c:pt idx="46">
                  <c:v>1.0385236E-005</c:v>
                </c:pt>
                <c:pt idx="47">
                  <c:v>4.2444008E-006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depth_stats_ltc_new2!$AM$1</c:f>
              <c:strCache>
                <c:ptCount val="1"/>
                <c:pt idx="0">
                  <c:v>w+d=-0,0635742758553097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0.401</c:v>
                </c:pt>
                <c:pt idx="2">
                  <c:v>0.0183800000000005</c:v>
                </c:pt>
                <c:pt idx="3">
                  <c:v>-0.0175500000000017</c:v>
                </c:pt>
                <c:pt idx="4">
                  <c:v>-0.0771599999999992</c:v>
                </c:pt>
                <c:pt idx="5">
                  <c:v>-0.175199999999998</c:v>
                </c:pt>
                <c:pt idx="6">
                  <c:v>-0.25662</c:v>
                </c:pt>
                <c:pt idx="7">
                  <c:v>-0.400190000000001</c:v>
                </c:pt>
                <c:pt idx="8">
                  <c:v>-0.593679999999999</c:v>
                </c:pt>
                <c:pt idx="9">
                  <c:v>-0.868950000000001</c:v>
                </c:pt>
                <c:pt idx="10">
                  <c:v>-0.899399999999999</c:v>
                </c:pt>
                <c:pt idx="11">
                  <c:v>-0.880000000000001</c:v>
                </c:pt>
                <c:pt idx="12">
                  <c:v>-0.735599999999999</c:v>
                </c:pt>
                <c:pt idx="13">
                  <c:v>-0.533429</c:v>
                </c:pt>
                <c:pt idx="14">
                  <c:v>-0.367934</c:v>
                </c:pt>
                <c:pt idx="15">
                  <c:v>-0.263295</c:v>
                </c:pt>
                <c:pt idx="16">
                  <c:v>-0.189504</c:v>
                </c:pt>
                <c:pt idx="17">
                  <c:v>-0.152337</c:v>
                </c:pt>
                <c:pt idx="18">
                  <c:v>-0.120888</c:v>
                </c:pt>
                <c:pt idx="19">
                  <c:v>-0.0878369999999998</c:v>
                </c:pt>
                <c:pt idx="20">
                  <c:v>-0.0637279999999998</c:v>
                </c:pt>
                <c:pt idx="21">
                  <c:v>-0.0449883</c:v>
                </c:pt>
                <c:pt idx="22">
                  <c:v>-0.0288948</c:v>
                </c:pt>
                <c:pt idx="23">
                  <c:v>-0.0137402</c:v>
                </c:pt>
                <c:pt idx="24">
                  <c:v>-0.00645119999999999</c:v>
                </c:pt>
                <c:pt idx="25">
                  <c:v>-0.0030225</c:v>
                </c:pt>
                <c:pt idx="26">
                  <c:v>-0.000458639999999982</c:v>
                </c:pt>
                <c:pt idx="27">
                  <c:v>0.000494370000000015</c:v>
                </c:pt>
                <c:pt idx="28">
                  <c:v>0.000612079999999996</c:v>
                </c:pt>
                <c:pt idx="29">
                  <c:v>0.00109417</c:v>
                </c:pt>
                <c:pt idx="30">
                  <c:v>0.0011955</c:v>
                </c:pt>
                <c:pt idx="31">
                  <c:v>0.001254074</c:v>
                </c:pt>
                <c:pt idx="32">
                  <c:v>0.000222592000000001</c:v>
                </c:pt>
                <c:pt idx="33">
                  <c:v>-3.10860000000011E-005</c:v>
                </c:pt>
                <c:pt idx="34">
                  <c:v>-0.000278086</c:v>
                </c:pt>
                <c:pt idx="35">
                  <c:v>-0.000398755</c:v>
                </c:pt>
                <c:pt idx="36">
                  <c:v>-0.0001622124</c:v>
                </c:pt>
                <c:pt idx="37">
                  <c:v>1.86221E-005</c:v>
                </c:pt>
                <c:pt idx="38">
                  <c:v>1.8677E-005</c:v>
                </c:pt>
                <c:pt idx="39">
                  <c:v>-2.79864000000001E-005</c:v>
                </c:pt>
                <c:pt idx="40">
                  <c:v>-1.64648E-005</c:v>
                </c:pt>
                <c:pt idx="41">
                  <c:v>-6.09997999999998E-006</c:v>
                </c:pt>
                <c:pt idx="42">
                  <c:v>-8.77296000000001E-006</c:v>
                </c:pt>
                <c:pt idx="43">
                  <c:v>1.7285613E-005</c:v>
                </c:pt>
                <c:pt idx="44">
                  <c:v>2.039158E-005</c:v>
                </c:pt>
                <c:pt idx="45">
                  <c:v>9.41265E-006</c:v>
                </c:pt>
                <c:pt idx="46">
                  <c:v>9.99787E-006</c:v>
                </c:pt>
                <c:pt idx="47">
                  <c:v>8.172172E-006</c:v>
                </c:pt>
                <c:pt idx="48">
                  <c:v>4.173024E-006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depth_stats_ltc_new2!$AN$1</c:f>
              <c:strCache>
                <c:ptCount val="1"/>
                <c:pt idx="0">
                  <c:v>w+2d=-0,0570698649328039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0.511099999999999</c:v>
                </c:pt>
                <c:pt idx="2">
                  <c:v>-0.0287800000000011</c:v>
                </c:pt>
                <c:pt idx="3">
                  <c:v>-0.0949800000000014</c:v>
                </c:pt>
                <c:pt idx="4">
                  <c:v>-0.143079999999998</c:v>
                </c:pt>
                <c:pt idx="5">
                  <c:v>-0.192999999999999</c:v>
                </c:pt>
                <c:pt idx="6">
                  <c:v>-0.242940000000001</c:v>
                </c:pt>
                <c:pt idx="7">
                  <c:v>-0.35875</c:v>
                </c:pt>
                <c:pt idx="8">
                  <c:v>-0.549199999999999</c:v>
                </c:pt>
                <c:pt idx="9">
                  <c:v>-0.80469</c:v>
                </c:pt>
                <c:pt idx="10">
                  <c:v>-0.847899999999999</c:v>
                </c:pt>
                <c:pt idx="11">
                  <c:v>-0.82841</c:v>
                </c:pt>
                <c:pt idx="12">
                  <c:v>-0.68688</c:v>
                </c:pt>
                <c:pt idx="13">
                  <c:v>-0.494078</c:v>
                </c:pt>
                <c:pt idx="14">
                  <c:v>-0.330386000000001</c:v>
                </c:pt>
                <c:pt idx="15">
                  <c:v>-0.22224</c:v>
                </c:pt>
                <c:pt idx="16">
                  <c:v>-0.154832</c:v>
                </c:pt>
                <c:pt idx="17">
                  <c:v>-0.11424</c:v>
                </c:pt>
                <c:pt idx="18">
                  <c:v>-0.083898</c:v>
                </c:pt>
                <c:pt idx="19">
                  <c:v>-0.0540739999999998</c:v>
                </c:pt>
                <c:pt idx="20">
                  <c:v>-0.030086</c:v>
                </c:pt>
                <c:pt idx="21">
                  <c:v>-0.0149226000000001</c:v>
                </c:pt>
                <c:pt idx="22">
                  <c:v>-0.00393140000000009</c:v>
                </c:pt>
                <c:pt idx="23">
                  <c:v>0.00345459999999999</c:v>
                </c:pt>
                <c:pt idx="24">
                  <c:v>0.00924960000000002</c:v>
                </c:pt>
                <c:pt idx="25">
                  <c:v>0.00833750000000001</c:v>
                </c:pt>
                <c:pt idx="26">
                  <c:v>0.00886366</c:v>
                </c:pt>
                <c:pt idx="27">
                  <c:v>0.00796014000000001</c:v>
                </c:pt>
                <c:pt idx="28">
                  <c:v>0.00694148</c:v>
                </c:pt>
                <c:pt idx="29">
                  <c:v>0.00602533000000001</c:v>
                </c:pt>
                <c:pt idx="30">
                  <c:v>0.0045876</c:v>
                </c:pt>
                <c:pt idx="31">
                  <c:v>0.003557839</c:v>
                </c:pt>
                <c:pt idx="32">
                  <c:v>0.002197792</c:v>
                </c:pt>
                <c:pt idx="33">
                  <c:v>0.001332837</c:v>
                </c:pt>
                <c:pt idx="34">
                  <c:v>0.00076347</c:v>
                </c:pt>
                <c:pt idx="35">
                  <c:v>0.000105945</c:v>
                </c:pt>
                <c:pt idx="36">
                  <c:v>4.68936000000004E-005</c:v>
                </c:pt>
                <c:pt idx="37">
                  <c:v>1.07633E-005</c:v>
                </c:pt>
                <c:pt idx="38">
                  <c:v>-2.43959999999994E-006</c:v>
                </c:pt>
                <c:pt idx="39">
                  <c:v>-0.0001132716</c:v>
                </c:pt>
                <c:pt idx="40">
                  <c:v>-6.66256E-005</c:v>
                </c:pt>
                <c:pt idx="41">
                  <c:v>-3.459662E-005</c:v>
                </c:pt>
                <c:pt idx="42">
                  <c:v>-1.705032E-005</c:v>
                </c:pt>
                <c:pt idx="43">
                  <c:v>-4.79019999999974E-008</c:v>
                </c:pt>
                <c:pt idx="44">
                  <c:v>6.679464E-006</c:v>
                </c:pt>
                <c:pt idx="45">
                  <c:v>1.435455E-006</c:v>
                </c:pt>
                <c:pt idx="46">
                  <c:v>1.9735426E-006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depth_stats_ltc_new2!$AL$1</c:f>
              <c:strCache>
                <c:ptCount val="1"/>
                <c:pt idx="0">
                  <c:v>w+128cap=-0,00902303334261978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0.102799999999998</c:v>
                </c:pt>
                <c:pt idx="2">
                  <c:v>0.0429999999999993</c:v>
                </c:pt>
                <c:pt idx="3">
                  <c:v>0.0970199999999988</c:v>
                </c:pt>
                <c:pt idx="4">
                  <c:v>-0.00275999999999854</c:v>
                </c:pt>
                <c:pt idx="5">
                  <c:v>-0.150250000000001</c:v>
                </c:pt>
                <c:pt idx="6">
                  <c:v>-0.25332</c:v>
                </c:pt>
                <c:pt idx="7">
                  <c:v>-0.290360000000003</c:v>
                </c:pt>
                <c:pt idx="8">
                  <c:v>-0.24456</c:v>
                </c:pt>
                <c:pt idx="9">
                  <c:v>-0.148679999999999</c:v>
                </c:pt>
                <c:pt idx="10">
                  <c:v>-0.0347999999999993</c:v>
                </c:pt>
                <c:pt idx="11">
                  <c:v>0.0931699999999998</c:v>
                </c:pt>
                <c:pt idx="12">
                  <c:v>0.114120000000002</c:v>
                </c:pt>
                <c:pt idx="13">
                  <c:v>0.0652600000000003</c:v>
                </c:pt>
                <c:pt idx="14">
                  <c:v>0.0214760000000005</c:v>
                </c:pt>
                <c:pt idx="15">
                  <c:v>-0.026265</c:v>
                </c:pt>
                <c:pt idx="16">
                  <c:v>-0.0463839999999998</c:v>
                </c:pt>
                <c:pt idx="17">
                  <c:v>-0.0495039999999995</c:v>
                </c:pt>
                <c:pt idx="18">
                  <c:v>-0.0475920000000001</c:v>
                </c:pt>
                <c:pt idx="19">
                  <c:v>-0.0345229999999997</c:v>
                </c:pt>
                <c:pt idx="20">
                  <c:v>-0.0256679999999998</c:v>
                </c:pt>
                <c:pt idx="21">
                  <c:v>-0.0220332</c:v>
                </c:pt>
                <c:pt idx="22">
                  <c:v>-0.0171996</c:v>
                </c:pt>
                <c:pt idx="23">
                  <c:v>-0.0106236999999999</c:v>
                </c:pt>
                <c:pt idx="24">
                  <c:v>-0.00705359999999999</c:v>
                </c:pt>
                <c:pt idx="25">
                  <c:v>-0.00782999999999999</c:v>
                </c:pt>
                <c:pt idx="26">
                  <c:v>-0.00574236</c:v>
                </c:pt>
                <c:pt idx="27">
                  <c:v>-0.00488051999999998</c:v>
                </c:pt>
                <c:pt idx="28">
                  <c:v>-0.00281512</c:v>
                </c:pt>
                <c:pt idx="29">
                  <c:v>-0.00186266999999999</c:v>
                </c:pt>
                <c:pt idx="30">
                  <c:v>-0.0006441</c:v>
                </c:pt>
                <c:pt idx="31">
                  <c:v>-0.000185938</c:v>
                </c:pt>
                <c:pt idx="32">
                  <c:v>-0.000580896000000001</c:v>
                </c:pt>
                <c:pt idx="33">
                  <c:v>-0.000425304000000001</c:v>
                </c:pt>
                <c:pt idx="34">
                  <c:v>-0.000572424</c:v>
                </c:pt>
                <c:pt idx="35">
                  <c:v>-0.00059073</c:v>
                </c:pt>
                <c:pt idx="36">
                  <c:v>-0.0004199256</c:v>
                </c:pt>
                <c:pt idx="37">
                  <c:v>-0.0002383688</c:v>
                </c:pt>
                <c:pt idx="38">
                  <c:v>-0.000181222</c:v>
                </c:pt>
                <c:pt idx="39">
                  <c:v>-0.00021979542</c:v>
                </c:pt>
                <c:pt idx="40">
                  <c:v>-0.0001687708</c:v>
                </c:pt>
                <c:pt idx="41">
                  <c:v>-9.946149E-005</c:v>
                </c:pt>
                <c:pt idx="42">
                  <c:v>-5.6632296E-005</c:v>
                </c:pt>
                <c:pt idx="43">
                  <c:v>-3.0986316E-005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depth_stats_ltc_new2!$AK$1</c:f>
              <c:strCache>
                <c:ptCount val="1"/>
                <c:pt idx="0">
                  <c:v>w+5=-0,0111585008185968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depth_stats_ltc_new2!$AK$2:$AK$65</c:f>
              <c:numCache>
                <c:formatCode>0.00\ %</c:formatCode>
                <c:ptCount val="64"/>
                <c:pt idx="0">
                  <c:v>0</c:v>
                </c:pt>
                <c:pt idx="1">
                  <c:v>0.2043</c:v>
                </c:pt>
                <c:pt idx="2">
                  <c:v>-0.0472000000000001</c:v>
                </c:pt>
                <c:pt idx="3">
                  <c:v>-0.0446999999999997</c:v>
                </c:pt>
                <c:pt idx="4">
                  <c:v>-0.0435999999999979</c:v>
                </c:pt>
                <c:pt idx="5">
                  <c:v>-0.0415999999999972</c:v>
                </c:pt>
                <c:pt idx="6">
                  <c:v>-0.0668999999999986</c:v>
                </c:pt>
                <c:pt idx="7">
                  <c:v>-0.14525</c:v>
                </c:pt>
                <c:pt idx="8">
                  <c:v>-0.25928</c:v>
                </c:pt>
                <c:pt idx="9">
                  <c:v>-0.45639</c:v>
                </c:pt>
                <c:pt idx="10">
                  <c:v>-0.458000000000001</c:v>
                </c:pt>
                <c:pt idx="11">
                  <c:v>-0.422180000000001</c:v>
                </c:pt>
                <c:pt idx="12">
                  <c:v>-0.28992</c:v>
                </c:pt>
                <c:pt idx="13">
                  <c:v>-0.128543999999999</c:v>
                </c:pt>
                <c:pt idx="14">
                  <c:v>-0.00298200000000026</c:v>
                </c:pt>
                <c:pt idx="15">
                  <c:v>0.0623550000000003</c:v>
                </c:pt>
                <c:pt idx="16">
                  <c:v>0.0859040000000002</c:v>
                </c:pt>
                <c:pt idx="17">
                  <c:v>0.0875160000000007</c:v>
                </c:pt>
                <c:pt idx="18">
                  <c:v>0.08739</c:v>
                </c:pt>
                <c:pt idx="19">
                  <c:v>0.0863170000000004</c:v>
                </c:pt>
                <c:pt idx="20">
                  <c:v>0.0855160000000002</c:v>
                </c:pt>
                <c:pt idx="21">
                  <c:v>0.0829310999999999</c:v>
                </c:pt>
                <c:pt idx="22">
                  <c:v>0.0775456</c:v>
                </c:pt>
                <c:pt idx="23">
                  <c:v>0.0740623000000001</c:v>
                </c:pt>
                <c:pt idx="24">
                  <c:v>0.0669264000000001</c:v>
                </c:pt>
                <c:pt idx="25">
                  <c:v>0.05758</c:v>
                </c:pt>
                <c:pt idx="26">
                  <c:v>0.04856254</c:v>
                </c:pt>
                <c:pt idx="27">
                  <c:v>0.04089879</c:v>
                </c:pt>
                <c:pt idx="28">
                  <c:v>0.03362044</c:v>
                </c:pt>
                <c:pt idx="29">
                  <c:v>0.0281996</c:v>
                </c:pt>
                <c:pt idx="30">
                  <c:v>0.0227196</c:v>
                </c:pt>
                <c:pt idx="31">
                  <c:v>0.018187545</c:v>
                </c:pt>
                <c:pt idx="32">
                  <c:v>0.013065632</c:v>
                </c:pt>
                <c:pt idx="33">
                  <c:v>0.00990759</c:v>
                </c:pt>
                <c:pt idx="34">
                  <c:v>0.00676447</c:v>
                </c:pt>
                <c:pt idx="35">
                  <c:v>0.00440216</c:v>
                </c:pt>
                <c:pt idx="36">
                  <c:v>0.0027311652</c:v>
                </c:pt>
                <c:pt idx="37">
                  <c:v>0.0016609226</c:v>
                </c:pt>
                <c:pt idx="38">
                  <c:v>0.0008858674</c:v>
                </c:pt>
                <c:pt idx="39">
                  <c:v>0.0003525717</c:v>
                </c:pt>
                <c:pt idx="40">
                  <c:v>0.0001867568</c:v>
                </c:pt>
                <c:pt idx="41">
                  <c:v>9.563086E-005</c:v>
                </c:pt>
                <c:pt idx="42">
                  <c:v>4.800054E-005</c:v>
                </c:pt>
                <c:pt idx="43">
                  <c:v>2.0796993E-005</c:v>
                </c:pt>
                <c:pt idx="44">
                  <c:v>1.3608276E-005</c:v>
                </c:pt>
                <c:pt idx="45">
                  <c:v>9.967005E-006</c:v>
                </c:pt>
                <c:pt idx="46">
                  <c:v>8.224938E-006</c:v>
                </c:pt>
                <c:pt idx="47">
                  <c:v>6.302841E-006</c:v>
                </c:pt>
                <c:pt idx="48">
                  <c:v>2.1456432E-006</c:v>
                </c:pt>
                <c:pt idx="49">
                  <c:v>2.1903441E-006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depth_stats_ltc_new2!$AJ$1</c:f>
              <c:strCache>
                <c:ptCount val="1"/>
                <c:pt idx="0">
                  <c:v>w+(ss+1)-&gt;cuttoffCnt=-0,029311443031192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tar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0.2822</c:v>
                </c:pt>
                <c:pt idx="2">
                  <c:v>-0.00220000000000198</c:v>
                </c:pt>
                <c:pt idx="3">
                  <c:v>-0.0104400000000018</c:v>
                </c:pt>
                <c:pt idx="4">
                  <c:v>-0.0459599999999973</c:v>
                </c:pt>
                <c:pt idx="5">
                  <c:v>-0.0936000000000004</c:v>
                </c:pt>
                <c:pt idx="6">
                  <c:v>-0.159299999999999</c:v>
                </c:pt>
                <c:pt idx="7">
                  <c:v>-0.272720000000002</c:v>
                </c:pt>
                <c:pt idx="8">
                  <c:v>-0.407360000000001</c:v>
                </c:pt>
                <c:pt idx="9">
                  <c:v>-0.630089999999999</c:v>
                </c:pt>
                <c:pt idx="10">
                  <c:v>-0.6457</c:v>
                </c:pt>
                <c:pt idx="11">
                  <c:v>-0.608300000000001</c:v>
                </c:pt>
                <c:pt idx="12">
                  <c:v>-0.454559999999999</c:v>
                </c:pt>
                <c:pt idx="13">
                  <c:v>-0.269269</c:v>
                </c:pt>
                <c:pt idx="14">
                  <c:v>-0.113259999999999</c:v>
                </c:pt>
                <c:pt idx="15">
                  <c:v>-0.0318149999999998</c:v>
                </c:pt>
                <c:pt idx="16">
                  <c:v>0.0162399999999998</c:v>
                </c:pt>
                <c:pt idx="17">
                  <c:v>0.0289000000000006</c:v>
                </c:pt>
                <c:pt idx="18">
                  <c:v>0.0381419999999997</c:v>
                </c:pt>
                <c:pt idx="19">
                  <c:v>0.0436050000000004</c:v>
                </c:pt>
                <c:pt idx="20">
                  <c:v>0.0460920000000001</c:v>
                </c:pt>
                <c:pt idx="21">
                  <c:v>0.0442448999999999</c:v>
                </c:pt>
                <c:pt idx="22">
                  <c:v>0.0458788</c:v>
                </c:pt>
                <c:pt idx="23">
                  <c:v>0.043723</c:v>
                </c:pt>
                <c:pt idx="24">
                  <c:v>0.0407088</c:v>
                </c:pt>
                <c:pt idx="25">
                  <c:v>0.037145</c:v>
                </c:pt>
                <c:pt idx="26">
                  <c:v>0.03288142</c:v>
                </c:pt>
                <c:pt idx="27">
                  <c:v>0.02810214</c:v>
                </c:pt>
                <c:pt idx="28">
                  <c:v>0.0235606</c:v>
                </c:pt>
                <c:pt idx="29">
                  <c:v>0.01874734</c:v>
                </c:pt>
                <c:pt idx="30">
                  <c:v>0.0146253</c:v>
                </c:pt>
                <c:pt idx="31">
                  <c:v>0.010551625</c:v>
                </c:pt>
                <c:pt idx="32">
                  <c:v>0.00700032</c:v>
                </c:pt>
                <c:pt idx="33">
                  <c:v>0.004575747</c:v>
                </c:pt>
                <c:pt idx="34">
                  <c:v>0.002768892</c:v>
                </c:pt>
                <c:pt idx="35">
                  <c:v>0.001537585</c:v>
                </c:pt>
                <c:pt idx="36">
                  <c:v>0.0007970652</c:v>
                </c:pt>
                <c:pt idx="37">
                  <c:v>0.0005690193</c:v>
                </c:pt>
                <c:pt idx="38">
                  <c:v>0.0003570518</c:v>
                </c:pt>
                <c:pt idx="39">
                  <c:v>0.0001716858</c:v>
                </c:pt>
                <c:pt idx="40">
                  <c:v>0.0001032528</c:v>
                </c:pt>
                <c:pt idx="41">
                  <c:v>7.627804E-005</c:v>
                </c:pt>
                <c:pt idx="42">
                  <c:v>4.825128E-005</c:v>
                </c:pt>
                <c:pt idx="43">
                  <c:v>2.5808213E-005</c:v>
                </c:pt>
                <c:pt idx="44">
                  <c:v>2.4909368E-005</c:v>
                </c:pt>
                <c:pt idx="45">
                  <c:v>1.5699465E-005</c:v>
                </c:pt>
                <c:pt idx="46">
                  <c:v>8.129948E-006</c:v>
                </c:pt>
                <c:pt idx="47">
                  <c:v>2.0766668E-006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depth_stats_ltc_new2!$AH$1</c:f>
              <c:strCache>
                <c:ptCount val="1"/>
                <c:pt idx="0">
                  <c:v>w+p-14=-0,0430313246934433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depth_stats_ltc_new2!$AH$2:$AH$65</c:f>
              <c:numCache>
                <c:formatCode>0.00\ %</c:formatCode>
                <c:ptCount val="64"/>
                <c:pt idx="0">
                  <c:v>0</c:v>
                </c:pt>
                <c:pt idx="1">
                  <c:v>0.438099999999999</c:v>
                </c:pt>
                <c:pt idx="2">
                  <c:v>-0.00100000000000122</c:v>
                </c:pt>
                <c:pt idx="3">
                  <c:v>-0.0540300000000009</c:v>
                </c:pt>
                <c:pt idx="4">
                  <c:v>-0.0655999999999999</c:v>
                </c:pt>
                <c:pt idx="5">
                  <c:v>-0.0760000000000005</c:v>
                </c:pt>
                <c:pt idx="6">
                  <c:v>-0.126659999999998</c:v>
                </c:pt>
                <c:pt idx="7">
                  <c:v>-0.238840000000001</c:v>
                </c:pt>
                <c:pt idx="8">
                  <c:v>-0.437200000000001</c:v>
                </c:pt>
                <c:pt idx="9">
                  <c:v>-0.709919999999999</c:v>
                </c:pt>
                <c:pt idx="10">
                  <c:v>-0.752299999999999</c:v>
                </c:pt>
                <c:pt idx="11">
                  <c:v>-0.736999999999999</c:v>
                </c:pt>
                <c:pt idx="12">
                  <c:v>-0.593879999999998</c:v>
                </c:pt>
                <c:pt idx="13">
                  <c:v>-0.407394</c:v>
                </c:pt>
                <c:pt idx="14">
                  <c:v>-0.242941999999999</c:v>
                </c:pt>
                <c:pt idx="15">
                  <c:v>-0.14712</c:v>
                </c:pt>
                <c:pt idx="16">
                  <c:v>-0.0895359999999998</c:v>
                </c:pt>
                <c:pt idx="17">
                  <c:v>-0.0614039999999996</c:v>
                </c:pt>
                <c:pt idx="18">
                  <c:v>-0.0418859999999999</c:v>
                </c:pt>
                <c:pt idx="19">
                  <c:v>-0.020083</c:v>
                </c:pt>
                <c:pt idx="20">
                  <c:v>-0.00715799999999989</c:v>
                </c:pt>
                <c:pt idx="21">
                  <c:v>0.00094290000000001</c:v>
                </c:pt>
                <c:pt idx="22">
                  <c:v>0.00775720000000003</c:v>
                </c:pt>
                <c:pt idx="23">
                  <c:v>0.0117553</c:v>
                </c:pt>
                <c:pt idx="24">
                  <c:v>0.0135744</c:v>
                </c:pt>
                <c:pt idx="25">
                  <c:v>0.0107275</c:v>
                </c:pt>
                <c:pt idx="26">
                  <c:v>0.00900171999999999</c:v>
                </c:pt>
                <c:pt idx="27">
                  <c:v>0.00647379000000001</c:v>
                </c:pt>
                <c:pt idx="28">
                  <c:v>0.00408352</c:v>
                </c:pt>
                <c:pt idx="29">
                  <c:v>0.00261609000000001</c:v>
                </c:pt>
                <c:pt idx="30">
                  <c:v>0.0014223</c:v>
                </c:pt>
                <c:pt idx="31">
                  <c:v>0.000365396999999999</c:v>
                </c:pt>
                <c:pt idx="32">
                  <c:v>-1.31839999999994E-005</c:v>
                </c:pt>
                <c:pt idx="33">
                  <c:v>-4.35930000000012E-005</c:v>
                </c:pt>
                <c:pt idx="34">
                  <c:v>-0.000196962</c:v>
                </c:pt>
                <c:pt idx="35">
                  <c:v>-0.00014847</c:v>
                </c:pt>
                <c:pt idx="36">
                  <c:v>-3.95783999999999E-005</c:v>
                </c:pt>
                <c:pt idx="37">
                  <c:v>0.0001213489</c:v>
                </c:pt>
                <c:pt idx="38">
                  <c:v>0.000152209</c:v>
                </c:pt>
                <c:pt idx="39">
                  <c:v>0.0001033734</c:v>
                </c:pt>
                <c:pt idx="40">
                  <c:v>5.44988E-005</c:v>
                </c:pt>
                <c:pt idx="41">
                  <c:v>3.151547E-005</c:v>
                </c:pt>
                <c:pt idx="42">
                  <c:v>-6.4323E-006</c:v>
                </c:pt>
                <c:pt idx="43">
                  <c:v>-6.10815E-006</c:v>
                </c:pt>
                <c:pt idx="44">
                  <c:v>-2.124056E-006</c:v>
                </c:pt>
                <c:pt idx="45">
                  <c:v>-8.136558E-006</c:v>
                </c:pt>
                <c:pt idx="46">
                  <c:v>2.0565496E-006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depth_stats_ltc_new2!$AI$1</c:f>
              <c:strCache>
                <c:ptCount val="1"/>
                <c:pt idx="0">
                  <c:v>w-d+7=0,0283973412917904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-0.1416</c:v>
                </c:pt>
                <c:pt idx="2">
                  <c:v>-0.0498000000000012</c:v>
                </c:pt>
                <c:pt idx="3">
                  <c:v>0.0207600000000001</c:v>
                </c:pt>
                <c:pt idx="4">
                  <c:v>0.078120000000002</c:v>
                </c:pt>
                <c:pt idx="5">
                  <c:v>0.105300000000002</c:v>
                </c:pt>
                <c:pt idx="6">
                  <c:v>0.144239999999999</c:v>
                </c:pt>
                <c:pt idx="7">
                  <c:v>0.141679999999999</c:v>
                </c:pt>
                <c:pt idx="8">
                  <c:v>0.0986399999999996</c:v>
                </c:pt>
                <c:pt idx="9">
                  <c:v>-0.0210600000000021</c:v>
                </c:pt>
                <c:pt idx="10">
                  <c:v>-0.0543000000000005</c:v>
                </c:pt>
                <c:pt idx="11">
                  <c:v>-0.0714999999999995</c:v>
                </c:pt>
                <c:pt idx="12">
                  <c:v>-0.0155999999999983</c:v>
                </c:pt>
                <c:pt idx="13">
                  <c:v>0.0740610000000008</c:v>
                </c:pt>
                <c:pt idx="14">
                  <c:v>0.14021</c:v>
                </c:pt>
                <c:pt idx="15">
                  <c:v>0.16137</c:v>
                </c:pt>
                <c:pt idx="16">
                  <c:v>0.161744</c:v>
                </c:pt>
                <c:pt idx="17">
                  <c:v>0.157896</c:v>
                </c:pt>
                <c:pt idx="18">
                  <c:v>0.156906</c:v>
                </c:pt>
                <c:pt idx="19">
                  <c:v>0.162374</c:v>
                </c:pt>
                <c:pt idx="20">
                  <c:v>0.161556</c:v>
                </c:pt>
                <c:pt idx="21">
                  <c:v>0.1612674</c:v>
                </c:pt>
                <c:pt idx="22">
                  <c:v>0.159016</c:v>
                </c:pt>
                <c:pt idx="23">
                  <c:v>0.156538</c:v>
                </c:pt>
                <c:pt idx="24">
                  <c:v>0.149868</c:v>
                </c:pt>
                <c:pt idx="25">
                  <c:v>0.1398525</c:v>
                </c:pt>
                <c:pt idx="26">
                  <c:v>0.12676794</c:v>
                </c:pt>
                <c:pt idx="27">
                  <c:v>0.11341809</c:v>
                </c:pt>
                <c:pt idx="28">
                  <c:v>0.0984228</c:v>
                </c:pt>
                <c:pt idx="29">
                  <c:v>0.08308442</c:v>
                </c:pt>
                <c:pt idx="30">
                  <c:v>0.0676119</c:v>
                </c:pt>
                <c:pt idx="31">
                  <c:v>0.053131365</c:v>
                </c:pt>
                <c:pt idx="32">
                  <c:v>0.039748864</c:v>
                </c:pt>
                <c:pt idx="33">
                  <c:v>0.028421316</c:v>
                </c:pt>
                <c:pt idx="34">
                  <c:v>0.019777528</c:v>
                </c:pt>
                <c:pt idx="35">
                  <c:v>0.012591705</c:v>
                </c:pt>
                <c:pt idx="36">
                  <c:v>0.0080476452</c:v>
                </c:pt>
                <c:pt idx="37">
                  <c:v>0.0049772548</c:v>
                </c:pt>
                <c:pt idx="38">
                  <c:v>0.0029350706</c:v>
                </c:pt>
                <c:pt idx="39">
                  <c:v>0.001552746</c:v>
                </c:pt>
                <c:pt idx="40">
                  <c:v>0.0009036608</c:v>
                </c:pt>
                <c:pt idx="41">
                  <c:v>0.00047869304</c:v>
                </c:pt>
                <c:pt idx="42">
                  <c:v>0.0002140887</c:v>
                </c:pt>
                <c:pt idx="43">
                  <c:v>8.2652923E-005</c:v>
                </c:pt>
                <c:pt idx="44">
                  <c:v>2.5533596E-005</c:v>
                </c:pt>
                <c:pt idx="45">
                  <c:v>1.95552E-006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depth_stats_ltc_new2!$AG$1</c:f>
              <c:strCache>
                <c:ptCount val="1"/>
                <c:pt idx="0">
                  <c:v>w2=-0,0177378419111993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depth_stats_ltc_new2!$AG$2:$AG$65</c:f>
              <c:numCache>
                <c:formatCode>0.00\ %</c:formatCode>
                <c:ptCount val="64"/>
                <c:pt idx="0">
                  <c:v>-0</c:v>
                </c:pt>
                <c:pt idx="1">
                  <c:v>1.1324</c:v>
                </c:pt>
                <c:pt idx="2">
                  <c:v>-0.71996</c:v>
                </c:pt>
                <c:pt idx="3">
                  <c:v>-0.697830000000001</c:v>
                </c:pt>
                <c:pt idx="4">
                  <c:v>-0.5656</c:v>
                </c:pt>
                <c:pt idx="5">
                  <c:v>-0.439699999999998</c:v>
                </c:pt>
                <c:pt idx="6">
                  <c:v>-0.394200000000001</c:v>
                </c:pt>
                <c:pt idx="7">
                  <c:v>-0.41615</c:v>
                </c:pt>
                <c:pt idx="8">
                  <c:v>-0.45336</c:v>
                </c:pt>
                <c:pt idx="9">
                  <c:v>-0.53073</c:v>
                </c:pt>
                <c:pt idx="10">
                  <c:v>-0.447599999999999</c:v>
                </c:pt>
                <c:pt idx="11">
                  <c:v>-0.34331</c:v>
                </c:pt>
                <c:pt idx="12">
                  <c:v>-0.16716</c:v>
                </c:pt>
                <c:pt idx="13">
                  <c:v>0.017199000000001</c:v>
                </c:pt>
                <c:pt idx="14">
                  <c:v>0.158130000000001</c:v>
                </c:pt>
                <c:pt idx="15">
                  <c:v>0.20307</c:v>
                </c:pt>
                <c:pt idx="16">
                  <c:v>0.213232</c:v>
                </c:pt>
                <c:pt idx="17">
                  <c:v>0.19992</c:v>
                </c:pt>
                <c:pt idx="18">
                  <c:v>0.176904</c:v>
                </c:pt>
                <c:pt idx="19">
                  <c:v>0.163476</c:v>
                </c:pt>
                <c:pt idx="20">
                  <c:v>0.153602</c:v>
                </c:pt>
                <c:pt idx="21">
                  <c:v>0.1428966</c:v>
                </c:pt>
                <c:pt idx="22">
                  <c:v>0.1333024</c:v>
                </c:pt>
                <c:pt idx="23">
                  <c:v>0.1259112</c:v>
                </c:pt>
                <c:pt idx="24">
                  <c:v>0.1137816</c:v>
                </c:pt>
                <c:pt idx="25">
                  <c:v>0.0996875</c:v>
                </c:pt>
                <c:pt idx="26">
                  <c:v>0.08626254</c:v>
                </c:pt>
                <c:pt idx="27">
                  <c:v>0.0710451</c:v>
                </c:pt>
                <c:pt idx="28">
                  <c:v>0.05742604</c:v>
                </c:pt>
                <c:pt idx="29">
                  <c:v>0.0451762</c:v>
                </c:pt>
                <c:pt idx="30">
                  <c:v>0.0343209</c:v>
                </c:pt>
                <c:pt idx="31">
                  <c:v>0.025417985</c:v>
                </c:pt>
                <c:pt idx="32">
                  <c:v>0.017484224</c:v>
                </c:pt>
                <c:pt idx="33">
                  <c:v>0.011992101</c:v>
                </c:pt>
                <c:pt idx="34">
                  <c:v>0.007776854</c:v>
                </c:pt>
                <c:pt idx="35">
                  <c:v>0.00490987</c:v>
                </c:pt>
                <c:pt idx="36">
                  <c:v>0.0028795932</c:v>
                </c:pt>
                <c:pt idx="37">
                  <c:v>0.0018448422</c:v>
                </c:pt>
                <c:pt idx="38">
                  <c:v>0.0010089608</c:v>
                </c:pt>
                <c:pt idx="39">
                  <c:v>0.0004563585</c:v>
                </c:pt>
                <c:pt idx="40">
                  <c:v>0.0002149208</c:v>
                </c:pt>
                <c:pt idx="41">
                  <c:v>6.494482E-005</c:v>
                </c:pt>
                <c:pt idx="42">
                  <c:v>1.658244E-005</c:v>
                </c:pt>
                <c:pt idx="43">
                  <c:v>1.978E-006</c:v>
                </c:pt>
                <c:pt idx="44">
                  <c:v>5.082396E-006</c:v>
                </c:pt>
                <c:pt idx="45">
                  <c:v>-3.74886E-006</c:v>
                </c:pt>
                <c:pt idx="46">
                  <c:v>2.180584E-006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depth_stats_ltc_new2!$AF$1</c:f>
              <c:strCache>
                <c:ptCount val="1"/>
                <c:pt idx="0">
                  <c:v>no_scale=0,00128746583786032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depth_stats_ltc_new2!$AF$2:$AF$65</c:f>
              <c:numCache>
                <c:formatCode>0.00\ %</c:formatCode>
                <c:ptCount val="64"/>
                <c:pt idx="0">
                  <c:v>0</c:v>
                </c:pt>
                <c:pt idx="1">
                  <c:v>-0.8886</c:v>
                </c:pt>
                <c:pt idx="2">
                  <c:v>0.81026</c:v>
                </c:pt>
                <c:pt idx="3">
                  <c:v>0.671759999999999</c:v>
                </c:pt>
                <c:pt idx="4">
                  <c:v>0.486840000000001</c:v>
                </c:pt>
                <c:pt idx="5">
                  <c:v>0.417800000000002</c:v>
                </c:pt>
                <c:pt idx="6">
                  <c:v>0.38148</c:v>
                </c:pt>
                <c:pt idx="7">
                  <c:v>0.285739999999997</c:v>
                </c:pt>
                <c:pt idx="8">
                  <c:v>0.11552</c:v>
                </c:pt>
                <c:pt idx="9">
                  <c:v>-0.1782</c:v>
                </c:pt>
                <c:pt idx="10">
                  <c:v>-0.293300000000001</c:v>
                </c:pt>
                <c:pt idx="11">
                  <c:v>-0.350350000000002</c:v>
                </c:pt>
                <c:pt idx="12">
                  <c:v>-0.318959999999998</c:v>
                </c:pt>
                <c:pt idx="13">
                  <c:v>-0.225797</c:v>
                </c:pt>
                <c:pt idx="14">
                  <c:v>-0.152068000000001</c:v>
                </c:pt>
                <c:pt idx="15">
                  <c:v>-0.113475</c:v>
                </c:pt>
                <c:pt idx="16">
                  <c:v>-0.0993120000000003</c:v>
                </c:pt>
                <c:pt idx="17">
                  <c:v>-0.0976649999999995</c:v>
                </c:pt>
                <c:pt idx="18">
                  <c:v>-0.0862739999999999</c:v>
                </c:pt>
                <c:pt idx="19">
                  <c:v>-0.0710409999999999</c:v>
                </c:pt>
                <c:pt idx="20">
                  <c:v>-0.0559999999999999</c:v>
                </c:pt>
                <c:pt idx="21">
                  <c:v>-0.0479304000000001</c:v>
                </c:pt>
                <c:pt idx="22">
                  <c:v>-0.0347446</c:v>
                </c:pt>
                <c:pt idx="23">
                  <c:v>-0.0248423</c:v>
                </c:pt>
                <c:pt idx="24">
                  <c:v>-0.0145944</c:v>
                </c:pt>
                <c:pt idx="25">
                  <c:v>-0.010335</c:v>
                </c:pt>
                <c:pt idx="26">
                  <c:v>-0.00586689999999998</c:v>
                </c:pt>
                <c:pt idx="27">
                  <c:v>-0.00293409</c:v>
                </c:pt>
                <c:pt idx="28">
                  <c:v>-0.000266279999999997</c:v>
                </c:pt>
                <c:pt idx="29">
                  <c:v>0.00186122</c:v>
                </c:pt>
                <c:pt idx="30">
                  <c:v>0.003603</c:v>
                </c:pt>
                <c:pt idx="31">
                  <c:v>0.00426963</c:v>
                </c:pt>
                <c:pt idx="32">
                  <c:v>0.004067488</c:v>
                </c:pt>
                <c:pt idx="33">
                  <c:v>0.003983067</c:v>
                </c:pt>
                <c:pt idx="34">
                  <c:v>0.003211368</c:v>
                </c:pt>
                <c:pt idx="35">
                  <c:v>0.00255983</c:v>
                </c:pt>
                <c:pt idx="36">
                  <c:v>0.0021942612</c:v>
                </c:pt>
                <c:pt idx="37">
                  <c:v>0.0018378381</c:v>
                </c:pt>
                <c:pt idx="38">
                  <c:v>0.0014373804</c:v>
                </c:pt>
                <c:pt idx="39">
                  <c:v>0.001056432</c:v>
                </c:pt>
                <c:pt idx="40">
                  <c:v>0.0006944568</c:v>
                </c:pt>
                <c:pt idx="41">
                  <c:v>0.00048547444</c:v>
                </c:pt>
                <c:pt idx="42">
                  <c:v>0.00027786486</c:v>
                </c:pt>
                <c:pt idx="43">
                  <c:v>0.000182871733</c:v>
                </c:pt>
                <c:pt idx="44">
                  <c:v>0.00010323566</c:v>
                </c:pt>
                <c:pt idx="45">
                  <c:v>4.882725E-005</c:v>
                </c:pt>
                <c:pt idx="46">
                  <c:v>2.0095422E-005</c:v>
                </c:pt>
                <c:pt idx="47">
                  <c:v>8.212921E-006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depth_stats_ltc_new2!$AC$1</c:f>
              <c:strCache>
                <c:ptCount val="1"/>
                <c:pt idx="0">
                  <c:v>w+28m=-0,0560743079518766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depth_stats_ltc_new2!$AC$2:$AC$65</c:f>
              <c:numCache>
                <c:formatCode>0.00\ %</c:formatCode>
                <c:ptCount val="64"/>
                <c:pt idx="0">
                  <c:v>0</c:v>
                </c:pt>
                <c:pt idx="1">
                  <c:v>1.1314</c:v>
                </c:pt>
                <c:pt idx="2">
                  <c:v>-0.3994</c:v>
                </c:pt>
                <c:pt idx="3">
                  <c:v>-0.45438</c:v>
                </c:pt>
                <c:pt idx="4">
                  <c:v>-0.480159999999998</c:v>
                </c:pt>
                <c:pt idx="5">
                  <c:v>-0.495999999999999</c:v>
                </c:pt>
                <c:pt idx="6">
                  <c:v>-0.488160000000001</c:v>
                </c:pt>
                <c:pt idx="7">
                  <c:v>-0.578340000000003</c:v>
                </c:pt>
                <c:pt idx="8">
                  <c:v>-0.69624</c:v>
                </c:pt>
                <c:pt idx="9">
                  <c:v>-0.878399999999999</c:v>
                </c:pt>
                <c:pt idx="10">
                  <c:v>-0.863799999999999</c:v>
                </c:pt>
                <c:pt idx="11">
                  <c:v>-0.781660000000001</c:v>
                </c:pt>
                <c:pt idx="12">
                  <c:v>-0.586319999999999</c:v>
                </c:pt>
                <c:pt idx="13">
                  <c:v>-0.359189999999999</c:v>
                </c:pt>
                <c:pt idx="14">
                  <c:v>-0.165718</c:v>
                </c:pt>
                <c:pt idx="15">
                  <c:v>-0.05493</c:v>
                </c:pt>
                <c:pt idx="16">
                  <c:v>0.00707199999999997</c:v>
                </c:pt>
                <c:pt idx="17">
                  <c:v>0.0299370000000002</c:v>
                </c:pt>
                <c:pt idx="18">
                  <c:v>0.0412739999999998</c:v>
                </c:pt>
                <c:pt idx="19">
                  <c:v>0.0508250000000002</c:v>
                </c:pt>
                <c:pt idx="20">
                  <c:v>0.0557640000000001</c:v>
                </c:pt>
                <c:pt idx="21">
                  <c:v>0.0556982999999999</c:v>
                </c:pt>
                <c:pt idx="22">
                  <c:v>0.0518209999999999</c:v>
                </c:pt>
                <c:pt idx="23">
                  <c:v>0.0480792000000001</c:v>
                </c:pt>
                <c:pt idx="24">
                  <c:v>0.0435456</c:v>
                </c:pt>
                <c:pt idx="25">
                  <c:v>0.0361825</c:v>
                </c:pt>
                <c:pt idx="26">
                  <c:v>0.02913586</c:v>
                </c:pt>
                <c:pt idx="27">
                  <c:v>0.02296269</c:v>
                </c:pt>
                <c:pt idx="28">
                  <c:v>0.01869224</c:v>
                </c:pt>
                <c:pt idx="29">
                  <c:v>0.01489556</c:v>
                </c:pt>
                <c:pt idx="30">
                  <c:v>0.0113049</c:v>
                </c:pt>
                <c:pt idx="31">
                  <c:v>0.008281185</c:v>
                </c:pt>
                <c:pt idx="32">
                  <c:v>0.005703328</c:v>
                </c:pt>
                <c:pt idx="33">
                  <c:v>0.003986499</c:v>
                </c:pt>
                <c:pt idx="34">
                  <c:v>0.0028679</c:v>
                </c:pt>
                <c:pt idx="35">
                  <c:v>0.00186487</c:v>
                </c:pt>
                <c:pt idx="36">
                  <c:v>0.0013823892</c:v>
                </c:pt>
                <c:pt idx="37">
                  <c:v>0.0010133449</c:v>
                </c:pt>
                <c:pt idx="38">
                  <c:v>0.0007184584</c:v>
                </c:pt>
                <c:pt idx="39">
                  <c:v>0.0003560583</c:v>
                </c:pt>
                <c:pt idx="40">
                  <c:v>0.0002419128</c:v>
                </c:pt>
                <c:pt idx="41">
                  <c:v>0.00014447457</c:v>
                </c:pt>
                <c:pt idx="42">
                  <c:v>5.452146E-005</c:v>
                </c:pt>
                <c:pt idx="43">
                  <c:v>2.7618513E-005</c:v>
                </c:pt>
                <c:pt idx="44">
                  <c:v>1.5085312E-005</c:v>
                </c:pt>
                <c:pt idx="45">
                  <c:v>6.69924E-006</c:v>
                </c:pt>
                <c:pt idx="46">
                  <c:v>8.611016E-006</c:v>
                </c:pt>
                <c:pt idx="47">
                  <c:v>4.3991013E-006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depth_stats_ltc_new2!$AA$1</c:f>
              <c:strCache>
                <c:ptCount val="1"/>
                <c:pt idx="0">
                  <c:v>w+p=-0,0375693279095839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depth_stats_ltc_new2!$AA$2:$AA$65</c:f>
              <c:numCache>
                <c:formatCode>0.00\ %</c:formatCode>
                <c:ptCount val="64"/>
                <c:pt idx="0">
                  <c:v>0</c:v>
                </c:pt>
                <c:pt idx="1">
                  <c:v>0.320499999999999</c:v>
                </c:pt>
                <c:pt idx="2">
                  <c:v>-0.0532199999999996</c:v>
                </c:pt>
                <c:pt idx="3">
                  <c:v>-0.0936600000000007</c:v>
                </c:pt>
                <c:pt idx="4">
                  <c:v>-0.139759999999999</c:v>
                </c:pt>
                <c:pt idx="5">
                  <c:v>-0.183149999999999</c:v>
                </c:pt>
                <c:pt idx="6">
                  <c:v>-0.22818</c:v>
                </c:pt>
                <c:pt idx="7">
                  <c:v>-0.310100000000002</c:v>
                </c:pt>
                <c:pt idx="8">
                  <c:v>-0.411200000000001</c:v>
                </c:pt>
                <c:pt idx="9">
                  <c:v>-0.593280000000002</c:v>
                </c:pt>
                <c:pt idx="10">
                  <c:v>-0.575399999999999</c:v>
                </c:pt>
                <c:pt idx="11">
                  <c:v>-0.542630000000001</c:v>
                </c:pt>
                <c:pt idx="12">
                  <c:v>-0.407399999999999</c:v>
                </c:pt>
                <c:pt idx="13">
                  <c:v>-0.248351999999999</c:v>
                </c:pt>
                <c:pt idx="14">
                  <c:v>-0.1267</c:v>
                </c:pt>
                <c:pt idx="15">
                  <c:v>-0.0643649999999998</c:v>
                </c:pt>
                <c:pt idx="16">
                  <c:v>-0.038144</c:v>
                </c:pt>
                <c:pt idx="17">
                  <c:v>-0.0425169999999996</c:v>
                </c:pt>
                <c:pt idx="18">
                  <c:v>-0.0326340000000002</c:v>
                </c:pt>
                <c:pt idx="19">
                  <c:v>-0.026353</c:v>
                </c:pt>
                <c:pt idx="20">
                  <c:v>-0.01804</c:v>
                </c:pt>
                <c:pt idx="21">
                  <c:v>-0.013692</c:v>
                </c:pt>
                <c:pt idx="22">
                  <c:v>-0.00529540000000008</c:v>
                </c:pt>
                <c:pt idx="23">
                  <c:v>0.00143520000000002</c:v>
                </c:pt>
                <c:pt idx="24">
                  <c:v>0.00596400000000005</c:v>
                </c:pt>
                <c:pt idx="25">
                  <c:v>0.00818500000000001</c:v>
                </c:pt>
                <c:pt idx="26">
                  <c:v>0.01063478</c:v>
                </c:pt>
                <c:pt idx="27">
                  <c:v>0.01166967</c:v>
                </c:pt>
                <c:pt idx="28">
                  <c:v>0.01011752</c:v>
                </c:pt>
                <c:pt idx="29">
                  <c:v>0.00907352000000001</c:v>
                </c:pt>
                <c:pt idx="30">
                  <c:v>0.0073701</c:v>
                </c:pt>
                <c:pt idx="31">
                  <c:v>0.00543895</c:v>
                </c:pt>
                <c:pt idx="32">
                  <c:v>0.003183296</c:v>
                </c:pt>
                <c:pt idx="33">
                  <c:v>0.002202519</c:v>
                </c:pt>
                <c:pt idx="34">
                  <c:v>0.001073686</c:v>
                </c:pt>
                <c:pt idx="35">
                  <c:v>0.00020881</c:v>
                </c:pt>
                <c:pt idx="36">
                  <c:v>7.53624000000003E-005</c:v>
                </c:pt>
                <c:pt idx="37">
                  <c:v>2.02279E-005</c:v>
                </c:pt>
                <c:pt idx="38">
                  <c:v>3.85244E-005</c:v>
                </c:pt>
                <c:pt idx="39">
                  <c:v>-3.04161E-005</c:v>
                </c:pt>
                <c:pt idx="40">
                  <c:v>-1.47304E-005</c:v>
                </c:pt>
                <c:pt idx="41">
                  <c:v>-2.01637999999999E-006</c:v>
                </c:pt>
                <c:pt idx="42">
                  <c:v>1.126356E-005</c:v>
                </c:pt>
                <c:pt idx="43">
                  <c:v>-9.726557E-006</c:v>
                </c:pt>
                <c:pt idx="44">
                  <c:v>-5.965652E-006</c:v>
                </c:pt>
                <c:pt idx="45">
                  <c:v>-2.037825E-006</c:v>
                </c:pt>
                <c:pt idx="46">
                  <c:v>2.0726956E-006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depth_stats_ltc_new2!$AD$1</c:f>
              <c:strCache>
                <c:ptCount val="1"/>
                <c:pt idx="0">
                  <c:v>w+2p=0,0454816923068804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depth_stats_ltc_new2!$AD$2:$AD$65</c:f>
              <c:numCache>
                <c:formatCode>0.00\ %</c:formatCode>
                <c:ptCount val="64"/>
                <c:pt idx="0">
                  <c:v>0</c:v>
                </c:pt>
                <c:pt idx="1">
                  <c:v>-0.398099999999999</c:v>
                </c:pt>
                <c:pt idx="2">
                  <c:v>-0.355060000000002</c:v>
                </c:pt>
                <c:pt idx="3">
                  <c:v>-0.24246</c:v>
                </c:pt>
                <c:pt idx="4">
                  <c:v>0.0406000000000013</c:v>
                </c:pt>
                <c:pt idx="5">
                  <c:v>0.403350000000002</c:v>
                </c:pt>
                <c:pt idx="6">
                  <c:v>0.79548</c:v>
                </c:pt>
                <c:pt idx="7">
                  <c:v>0.967329999999999</c:v>
                </c:pt>
                <c:pt idx="8">
                  <c:v>0.964079999999999</c:v>
                </c:pt>
                <c:pt idx="9">
                  <c:v>0.680039999999999</c:v>
                </c:pt>
                <c:pt idx="10">
                  <c:v>0.345500000000001</c:v>
                </c:pt>
                <c:pt idx="11">
                  <c:v>0.0016499999999986</c:v>
                </c:pt>
                <c:pt idx="12">
                  <c:v>-0.19764</c:v>
                </c:pt>
                <c:pt idx="13">
                  <c:v>-0.243593999999999</c:v>
                </c:pt>
                <c:pt idx="14">
                  <c:v>-0.205645999999999</c:v>
                </c:pt>
                <c:pt idx="15">
                  <c:v>-0.161265</c:v>
                </c:pt>
                <c:pt idx="16">
                  <c:v>-0.105552</c:v>
                </c:pt>
                <c:pt idx="17">
                  <c:v>-0.0600099999999996</c:v>
                </c:pt>
                <c:pt idx="18">
                  <c:v>-0.0137340000000002</c:v>
                </c:pt>
                <c:pt idx="19">
                  <c:v>0.027987</c:v>
                </c:pt>
                <c:pt idx="20">
                  <c:v>0.0689100000000001</c:v>
                </c:pt>
                <c:pt idx="21">
                  <c:v>0.107226</c:v>
                </c:pt>
                <c:pt idx="22">
                  <c:v>0.1409738</c:v>
                </c:pt>
                <c:pt idx="23">
                  <c:v>0.1650204</c:v>
                </c:pt>
                <c:pt idx="24">
                  <c:v>0.1830936</c:v>
                </c:pt>
                <c:pt idx="25">
                  <c:v>0.19081</c:v>
                </c:pt>
                <c:pt idx="26">
                  <c:v>0.19211374</c:v>
                </c:pt>
                <c:pt idx="27">
                  <c:v>0.18787275</c:v>
                </c:pt>
                <c:pt idx="28">
                  <c:v>0.17784816</c:v>
                </c:pt>
                <c:pt idx="29">
                  <c:v>0.16305453</c:v>
                </c:pt>
                <c:pt idx="30">
                  <c:v>0.1456881</c:v>
                </c:pt>
                <c:pt idx="31">
                  <c:v>0.125716005</c:v>
                </c:pt>
                <c:pt idx="32">
                  <c:v>0.106139264</c:v>
                </c:pt>
                <c:pt idx="33">
                  <c:v>0.086564346</c:v>
                </c:pt>
                <c:pt idx="34">
                  <c:v>0.069553664</c:v>
                </c:pt>
                <c:pt idx="35">
                  <c:v>0.05491017</c:v>
                </c:pt>
                <c:pt idx="36">
                  <c:v>0.0424755252</c:v>
                </c:pt>
                <c:pt idx="37">
                  <c:v>0.0319205808</c:v>
                </c:pt>
                <c:pt idx="38">
                  <c:v>0.0229861354</c:v>
                </c:pt>
                <c:pt idx="39">
                  <c:v>0.0159875508</c:v>
                </c:pt>
                <c:pt idx="40">
                  <c:v>0.0106342048</c:v>
                </c:pt>
                <c:pt idx="41">
                  <c:v>0.00677691214</c:v>
                </c:pt>
                <c:pt idx="42">
                  <c:v>0.00397656462</c:v>
                </c:pt>
                <c:pt idx="43">
                  <c:v>0.002317159103</c:v>
                </c:pt>
                <c:pt idx="44">
                  <c:v>0.00128334646</c:v>
                </c:pt>
                <c:pt idx="45">
                  <c:v>0.0007494921</c:v>
                </c:pt>
                <c:pt idx="46">
                  <c:v>0.00035261346</c:v>
                </c:pt>
                <c:pt idx="47">
                  <c:v>0.00015749888</c:v>
                </c:pt>
                <c:pt idx="48">
                  <c:v>7.6404E-005</c:v>
                </c:pt>
                <c:pt idx="49">
                  <c:v>2.052512E-005</c:v>
                </c:pt>
                <c:pt idx="50">
                  <c:v>4.188805E-006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depth_stats_ltc_new2!$AB$1</c:f>
              <c:strCache>
                <c:ptCount val="1"/>
                <c:pt idx="0">
                  <c:v>w+256p/rd=0,0435564283593521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depth_stats_ltc_new2!$AB$2:$AB$65</c:f>
              <c:numCache>
                <c:formatCode>0.00\ %</c:formatCode>
                <c:ptCount val="64"/>
                <c:pt idx="0">
                  <c:v>-0</c:v>
                </c:pt>
                <c:pt idx="1">
                  <c:v>0.5701</c:v>
                </c:pt>
                <c:pt idx="2">
                  <c:v>-0.635820000000003</c:v>
                </c:pt>
                <c:pt idx="3">
                  <c:v>-0.392580000000001</c:v>
                </c:pt>
                <c:pt idx="4">
                  <c:v>-0.201879999999999</c:v>
                </c:pt>
                <c:pt idx="5">
                  <c:v>-0.142199999999999</c:v>
                </c:pt>
                <c:pt idx="6">
                  <c:v>-0.0872999999999991</c:v>
                </c:pt>
                <c:pt idx="7">
                  <c:v>-0.0705600000000022</c:v>
                </c:pt>
                <c:pt idx="8">
                  <c:v>0.0227199999999996</c:v>
                </c:pt>
                <c:pt idx="9">
                  <c:v>0.0298799999999999</c:v>
                </c:pt>
                <c:pt idx="10">
                  <c:v>0.0517999999999996</c:v>
                </c:pt>
                <c:pt idx="11">
                  <c:v>0.0636899999999996</c:v>
                </c:pt>
                <c:pt idx="12">
                  <c:v>0.12</c:v>
                </c:pt>
                <c:pt idx="13">
                  <c:v>0.198588000000001</c:v>
                </c:pt>
                <c:pt idx="14">
                  <c:v>0.254898</c:v>
                </c:pt>
                <c:pt idx="15">
                  <c:v>0.274005</c:v>
                </c:pt>
                <c:pt idx="16">
                  <c:v>0.284176</c:v>
                </c:pt>
                <c:pt idx="17">
                  <c:v>0.287198</c:v>
                </c:pt>
                <c:pt idx="18">
                  <c:v>0.299322</c:v>
                </c:pt>
                <c:pt idx="19">
                  <c:v>0.308636</c:v>
                </c:pt>
                <c:pt idx="20">
                  <c:v>0.31514</c:v>
                </c:pt>
                <c:pt idx="21">
                  <c:v>0.3225747</c:v>
                </c:pt>
                <c:pt idx="22">
                  <c:v>0.3208986</c:v>
                </c:pt>
                <c:pt idx="23">
                  <c:v>0.3150816</c:v>
                </c:pt>
                <c:pt idx="24">
                  <c:v>0.3008376</c:v>
                </c:pt>
                <c:pt idx="25">
                  <c:v>0.2773025</c:v>
                </c:pt>
                <c:pt idx="26">
                  <c:v>0.25052014</c:v>
                </c:pt>
                <c:pt idx="27">
                  <c:v>0.22014585</c:v>
                </c:pt>
                <c:pt idx="28">
                  <c:v>0.1881544</c:v>
                </c:pt>
                <c:pt idx="29">
                  <c:v>0.15555136</c:v>
                </c:pt>
                <c:pt idx="30">
                  <c:v>0.1249287</c:v>
                </c:pt>
                <c:pt idx="31">
                  <c:v>0.097277535</c:v>
                </c:pt>
                <c:pt idx="32">
                  <c:v>0.072580544</c:v>
                </c:pt>
                <c:pt idx="33">
                  <c:v>0.052798416</c:v>
                </c:pt>
                <c:pt idx="34">
                  <c:v>0.037001384</c:v>
                </c:pt>
                <c:pt idx="35">
                  <c:v>0.02525334</c:v>
                </c:pt>
                <c:pt idx="36">
                  <c:v>0.0168750252</c:v>
                </c:pt>
                <c:pt idx="37">
                  <c:v>0.0110505088</c:v>
                </c:pt>
                <c:pt idx="38">
                  <c:v>0.0069334154</c:v>
                </c:pt>
                <c:pt idx="39">
                  <c:v>0.0043073238</c:v>
                </c:pt>
                <c:pt idx="40">
                  <c:v>0.0024538488</c:v>
                </c:pt>
                <c:pt idx="41">
                  <c:v>0.00144917124</c:v>
                </c:pt>
                <c:pt idx="42">
                  <c:v>0.00081943722</c:v>
                </c:pt>
                <c:pt idx="43">
                  <c:v>0.000487272603</c:v>
                </c:pt>
                <c:pt idx="44">
                  <c:v>0.00027859062</c:v>
                </c:pt>
                <c:pt idx="45">
                  <c:v>0.0001494252</c:v>
                </c:pt>
                <c:pt idx="46">
                  <c:v>7.952066E-005</c:v>
                </c:pt>
                <c:pt idx="47">
                  <c:v>3.7499749E-005</c:v>
                </c:pt>
                <c:pt idx="48">
                  <c:v>2.1276432E-006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63810735"/>
        <c:axId val="82838942"/>
      </c:scatterChart>
      <c:valAx>
        <c:axId val="6381073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82838942"/>
        <c:crosses val="autoZero"/>
        <c:crossBetween val="between"/>
      </c:valAx>
      <c:valAx>
        <c:axId val="8283894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\ %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63810735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0723306544202"/>
          <c:y val="0.735972636634888"/>
          <c:w val="0.925045104149582"/>
          <c:h val="0.263954588457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216111224699"/>
          <c:y val="0.0345640504860003"/>
          <c:w val="0.874422408505418"/>
          <c:h val="0.628826345567968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depth_stats_stc_new2!$AO$1</c:f>
              <c:strCache>
                <c:ptCount val="1"/>
                <c:pt idx="0">
                  <c:v>r+653=-0,0260460908495701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depth_stats_stc_new2!$AO$2:$AO$65</c:f>
              <c:numCache>
                <c:formatCode>0.00\ %</c:formatCode>
                <c:ptCount val="64"/>
                <c:pt idx="0">
                  <c:v>0</c:v>
                </c:pt>
                <c:pt idx="1">
                  <c:v>0.5199</c:v>
                </c:pt>
                <c:pt idx="2">
                  <c:v>-0.283860000000001</c:v>
                </c:pt>
                <c:pt idx="3">
                  <c:v>-0.273960000000002</c:v>
                </c:pt>
                <c:pt idx="4">
                  <c:v>-0.291039999999999</c:v>
                </c:pt>
                <c:pt idx="5">
                  <c:v>-0.346899999999999</c:v>
                </c:pt>
                <c:pt idx="6">
                  <c:v>-0.327599999999999</c:v>
                </c:pt>
                <c:pt idx="7">
                  <c:v>-0.30086</c:v>
                </c:pt>
                <c:pt idx="8">
                  <c:v>-0.251359999999998</c:v>
                </c:pt>
                <c:pt idx="9">
                  <c:v>-0.244800000000001</c:v>
                </c:pt>
                <c:pt idx="10">
                  <c:v>-0.2125</c:v>
                </c:pt>
                <c:pt idx="11">
                  <c:v>-0.168409999999999</c:v>
                </c:pt>
                <c:pt idx="12">
                  <c:v>-0.133152</c:v>
                </c:pt>
                <c:pt idx="13">
                  <c:v>-0.117325000000001</c:v>
                </c:pt>
                <c:pt idx="14">
                  <c:v>-0.102704</c:v>
                </c:pt>
                <c:pt idx="15">
                  <c:v>-0.0845850000000001</c:v>
                </c:pt>
                <c:pt idx="16">
                  <c:v>-0.0528960000000001</c:v>
                </c:pt>
                <c:pt idx="17">
                  <c:v>-0.0269450000000001</c:v>
                </c:pt>
                <c:pt idx="18">
                  <c:v>-0.0113202</c:v>
                </c:pt>
                <c:pt idx="19">
                  <c:v>0.000968999999999914</c:v>
                </c:pt>
                <c:pt idx="20">
                  <c:v>0.01524</c:v>
                </c:pt>
                <c:pt idx="21">
                  <c:v>0.0170898</c:v>
                </c:pt>
                <c:pt idx="22">
                  <c:v>0.01389674</c:v>
                </c:pt>
                <c:pt idx="23">
                  <c:v>0.01327146</c:v>
                </c:pt>
                <c:pt idx="24">
                  <c:v>0.01105344</c:v>
                </c:pt>
                <c:pt idx="25">
                  <c:v>0.008943</c:v>
                </c:pt>
                <c:pt idx="26">
                  <c:v>0.008002748</c:v>
                </c:pt>
                <c:pt idx="27">
                  <c:v>0.006125895</c:v>
                </c:pt>
                <c:pt idx="28">
                  <c:v>0.004110064</c:v>
                </c:pt>
                <c:pt idx="29">
                  <c:v>0.0025430129</c:v>
                </c:pt>
                <c:pt idx="30">
                  <c:v>0.001677987</c:v>
                </c:pt>
                <c:pt idx="31">
                  <c:v>0.00117204583</c:v>
                </c:pt>
                <c:pt idx="32">
                  <c:v>0.000779263424</c:v>
                </c:pt>
                <c:pt idx="33">
                  <c:v>0.000475562703</c:v>
                </c:pt>
                <c:pt idx="34">
                  <c:v>0.00025329966</c:v>
                </c:pt>
                <c:pt idx="35">
                  <c:v>8.691655E-005</c:v>
                </c:pt>
                <c:pt idx="36">
                  <c:v>1.7879976E-005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depth_stats_stc_new2!$BI$1</c:f>
              <c:strCache>
                <c:ptCount val="1"/>
                <c:pt idx="0">
                  <c:v>p/(4(p+d))=-0,00218096078934993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depth_stats_stc_new2!$BI$2:$BI$65</c:f>
              <c:numCache>
                <c:formatCode>0.00\ %</c:formatCode>
                <c:ptCount val="64"/>
                <c:pt idx="0">
                  <c:v>-0</c:v>
                </c:pt>
                <c:pt idx="1">
                  <c:v>0.0617000000000019</c:v>
                </c:pt>
                <c:pt idx="2">
                  <c:v>0.17456</c:v>
                </c:pt>
                <c:pt idx="3">
                  <c:v>0.0482999999999993</c:v>
                </c:pt>
                <c:pt idx="4">
                  <c:v>-0.0875599999999999</c:v>
                </c:pt>
                <c:pt idx="5">
                  <c:v>-0.155799999999999</c:v>
                </c:pt>
                <c:pt idx="6">
                  <c:v>-0.17616</c:v>
                </c:pt>
                <c:pt idx="7">
                  <c:v>-0.21826</c:v>
                </c:pt>
                <c:pt idx="8">
                  <c:v>-0.19736</c:v>
                </c:pt>
                <c:pt idx="9">
                  <c:v>-0.1449</c:v>
                </c:pt>
                <c:pt idx="10">
                  <c:v>-0.0914000000000015</c:v>
                </c:pt>
                <c:pt idx="11">
                  <c:v>0.0605000000000007</c:v>
                </c:pt>
                <c:pt idx="12">
                  <c:v>0.0957599999999999</c:v>
                </c:pt>
                <c:pt idx="13">
                  <c:v>0.085527</c:v>
                </c:pt>
                <c:pt idx="14">
                  <c:v>0.0809339999999997</c:v>
                </c:pt>
                <c:pt idx="15">
                  <c:v>0.0738750000000002</c:v>
                </c:pt>
                <c:pt idx="16">
                  <c:v>0.059904</c:v>
                </c:pt>
                <c:pt idx="17">
                  <c:v>0.0401879999999999</c:v>
                </c:pt>
                <c:pt idx="18">
                  <c:v>0.0254016</c:v>
                </c:pt>
                <c:pt idx="19">
                  <c:v>0.0179094</c:v>
                </c:pt>
                <c:pt idx="20">
                  <c:v>0.00997600000000001</c:v>
                </c:pt>
                <c:pt idx="21">
                  <c:v>0.0059871</c:v>
                </c:pt>
                <c:pt idx="22">
                  <c:v>0.00113828</c:v>
                </c:pt>
                <c:pt idx="23">
                  <c:v>-0.000496340000000005</c:v>
                </c:pt>
                <c:pt idx="24">
                  <c:v>0.00074664</c:v>
                </c:pt>
                <c:pt idx="25">
                  <c:v>0.00154275</c:v>
                </c:pt>
                <c:pt idx="26">
                  <c:v>0.00245401</c:v>
                </c:pt>
                <c:pt idx="27">
                  <c:v>0.001986984</c:v>
                </c:pt>
                <c:pt idx="28">
                  <c:v>0.001940372</c:v>
                </c:pt>
                <c:pt idx="29">
                  <c:v>0.0012883917</c:v>
                </c:pt>
                <c:pt idx="30">
                  <c:v>0.000703176</c:v>
                </c:pt>
                <c:pt idx="31">
                  <c:v>0.00065125203</c:v>
                </c:pt>
                <c:pt idx="32">
                  <c:v>0.000437788224</c:v>
                </c:pt>
                <c:pt idx="33">
                  <c:v>0.000225735213</c:v>
                </c:pt>
                <c:pt idx="34">
                  <c:v>0.00011629428</c:v>
                </c:pt>
                <c:pt idx="35">
                  <c:v>5.130615E-005</c:v>
                </c:pt>
                <c:pt idx="36">
                  <c:v>3.5181468E-005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depth_stats_stc_new2!$BG$1</c:f>
              <c:strCache>
                <c:ptCount val="1"/>
                <c:pt idx="0">
                  <c:v>45p/(256rd)=-0,0139391896682897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depth_stats_stc_new2!$BG$2:$BG$65</c:f>
              <c:numCache>
                <c:formatCode>0.00\ %</c:formatCode>
                <c:ptCount val="64"/>
                <c:pt idx="0">
                  <c:v>-0</c:v>
                </c:pt>
                <c:pt idx="1">
                  <c:v>0.154400000000003</c:v>
                </c:pt>
                <c:pt idx="2">
                  <c:v>0.348279999999999</c:v>
                </c:pt>
                <c:pt idx="3">
                  <c:v>0.14646</c:v>
                </c:pt>
                <c:pt idx="4">
                  <c:v>-0.0971599999999988</c:v>
                </c:pt>
                <c:pt idx="5">
                  <c:v>-0.279049999999996</c:v>
                </c:pt>
                <c:pt idx="6">
                  <c:v>-0.315839999999999</c:v>
                </c:pt>
                <c:pt idx="7">
                  <c:v>-0.292880000000001</c:v>
                </c:pt>
                <c:pt idx="8">
                  <c:v>-0.28856</c:v>
                </c:pt>
                <c:pt idx="9">
                  <c:v>-0.262260000000002</c:v>
                </c:pt>
                <c:pt idx="10">
                  <c:v>-0.216000000000001</c:v>
                </c:pt>
                <c:pt idx="11">
                  <c:v>-0.14212</c:v>
                </c:pt>
                <c:pt idx="12">
                  <c:v>-0.105768</c:v>
                </c:pt>
                <c:pt idx="13">
                  <c:v>-0.0967070000000011</c:v>
                </c:pt>
                <c:pt idx="14">
                  <c:v>-0.0810880000000003</c:v>
                </c:pt>
                <c:pt idx="15">
                  <c:v>-0.0567300000000001</c:v>
                </c:pt>
                <c:pt idx="16">
                  <c:v>-0.0184480000000002</c:v>
                </c:pt>
                <c:pt idx="17">
                  <c:v>-0.00615400000000002</c:v>
                </c:pt>
                <c:pt idx="18">
                  <c:v>0.0148284</c:v>
                </c:pt>
                <c:pt idx="19">
                  <c:v>0.0203338</c:v>
                </c:pt>
                <c:pt idx="20">
                  <c:v>0.024796</c:v>
                </c:pt>
                <c:pt idx="21">
                  <c:v>0.0269598</c:v>
                </c:pt>
                <c:pt idx="22">
                  <c:v>0.02286306</c:v>
                </c:pt>
                <c:pt idx="23">
                  <c:v>0.02340112</c:v>
                </c:pt>
                <c:pt idx="24">
                  <c:v>0.0206712</c:v>
                </c:pt>
                <c:pt idx="25">
                  <c:v>0.0176585</c:v>
                </c:pt>
                <c:pt idx="26">
                  <c:v>0.01239251</c:v>
                </c:pt>
                <c:pt idx="27">
                  <c:v>0.01030941</c:v>
                </c:pt>
                <c:pt idx="28">
                  <c:v>0.007767256</c:v>
                </c:pt>
                <c:pt idx="29">
                  <c:v>0.0051066419</c:v>
                </c:pt>
                <c:pt idx="30">
                  <c:v>0.003123198</c:v>
                </c:pt>
                <c:pt idx="31">
                  <c:v>0.00198801543</c:v>
                </c:pt>
                <c:pt idx="32">
                  <c:v>0.001367282624</c:v>
                </c:pt>
                <c:pt idx="33">
                  <c:v>0.000803341803</c:v>
                </c:pt>
                <c:pt idx="34">
                  <c:v>0.0004559298</c:v>
                </c:pt>
                <c:pt idx="35">
                  <c:v>0.00026074335</c:v>
                </c:pt>
                <c:pt idx="36">
                  <c:v>0.00012515688</c:v>
                </c:pt>
                <c:pt idx="37">
                  <c:v>0.00014700951</c:v>
                </c:pt>
                <c:pt idx="38">
                  <c:v>0.00013211004</c:v>
                </c:pt>
                <c:pt idx="39">
                  <c:v>0.00013558662</c:v>
                </c:pt>
                <c:pt idx="40">
                  <c:v>5.95984E-005</c:v>
                </c:pt>
                <c:pt idx="41">
                  <c:v>2.0362814E-005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depth_stats_stc_new2!$BJ$1</c:f>
              <c:strCache>
                <c:ptCount val="1"/>
                <c:pt idx="0">
                  <c:v>(184+21p)/(256d+85p+179)=-0,000795423135029783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depth_stats_stc_new2!$BJ$2:$BJ$65</c:f>
              <c:numCache>
                <c:formatCode>0.00\ %</c:formatCode>
                <c:ptCount val="64"/>
                <c:pt idx="0">
                  <c:v>-0</c:v>
                </c:pt>
                <c:pt idx="1">
                  <c:v>0.221</c:v>
                </c:pt>
                <c:pt idx="2">
                  <c:v>-0.0166200000000032</c:v>
                </c:pt>
                <c:pt idx="3">
                  <c:v>-0.135719999999999</c:v>
                </c:pt>
                <c:pt idx="4">
                  <c:v>-0.187919999999998</c:v>
                </c:pt>
                <c:pt idx="5">
                  <c:v>-0.221499999999999</c:v>
                </c:pt>
                <c:pt idx="6">
                  <c:v>-0.213839999999999</c:v>
                </c:pt>
                <c:pt idx="7">
                  <c:v>-0.183470000000002</c:v>
                </c:pt>
                <c:pt idx="8">
                  <c:v>-0.139600000000002</c:v>
                </c:pt>
                <c:pt idx="9">
                  <c:v>-0.126090000000001</c:v>
                </c:pt>
                <c:pt idx="10">
                  <c:v>-0.1159</c:v>
                </c:pt>
                <c:pt idx="11">
                  <c:v>-0.0234299999999996</c:v>
                </c:pt>
                <c:pt idx="12">
                  <c:v>0.00961200000000062</c:v>
                </c:pt>
                <c:pt idx="13">
                  <c:v>0.0255709999999992</c:v>
                </c:pt>
                <c:pt idx="14">
                  <c:v>0.0596399999999998</c:v>
                </c:pt>
                <c:pt idx="15">
                  <c:v>0.0799949999999997</c:v>
                </c:pt>
                <c:pt idx="16">
                  <c:v>0.103712</c:v>
                </c:pt>
                <c:pt idx="17">
                  <c:v>0.0966619999999999</c:v>
                </c:pt>
                <c:pt idx="18">
                  <c:v>0.0940932000000001</c:v>
                </c:pt>
                <c:pt idx="19">
                  <c:v>0.0882265</c:v>
                </c:pt>
                <c:pt idx="20">
                  <c:v>0.079852</c:v>
                </c:pt>
                <c:pt idx="21">
                  <c:v>0.075642</c:v>
                </c:pt>
                <c:pt idx="22">
                  <c:v>0.06575646</c:v>
                </c:pt>
                <c:pt idx="23">
                  <c:v>0.05589322</c:v>
                </c:pt>
                <c:pt idx="24">
                  <c:v>0.04839432</c:v>
                </c:pt>
                <c:pt idx="25">
                  <c:v>0.0422585</c:v>
                </c:pt>
                <c:pt idx="26">
                  <c:v>0.03323021</c:v>
                </c:pt>
                <c:pt idx="27">
                  <c:v>0.027233874</c:v>
                </c:pt>
                <c:pt idx="28">
                  <c:v>0.020236412</c:v>
                </c:pt>
                <c:pt idx="29">
                  <c:v>0.0159232069</c:v>
                </c:pt>
                <c:pt idx="30">
                  <c:v>0.012097458</c:v>
                </c:pt>
                <c:pt idx="31">
                  <c:v>0.00921366283</c:v>
                </c:pt>
                <c:pt idx="32">
                  <c:v>0.006286687424</c:v>
                </c:pt>
                <c:pt idx="33">
                  <c:v>0.004280594703</c:v>
                </c:pt>
                <c:pt idx="34">
                  <c:v>0.0032356916</c:v>
                </c:pt>
                <c:pt idx="35">
                  <c:v>0.0024028585</c:v>
                </c:pt>
                <c:pt idx="36">
                  <c:v>0.0018749412</c:v>
                </c:pt>
                <c:pt idx="37">
                  <c:v>0.0009985486</c:v>
                </c:pt>
                <c:pt idx="38">
                  <c:v>0.0006656992</c:v>
                </c:pt>
                <c:pt idx="39">
                  <c:v>0.0003693066</c:v>
                </c:pt>
                <c:pt idx="40">
                  <c:v>0.0001515104</c:v>
                </c:pt>
                <c:pt idx="41">
                  <c:v>3.882454E-005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depth_stats_stc_new2!$BK$1</c:f>
              <c:strCache>
                <c:ptCount val="1"/>
                <c:pt idx="0">
                  <c:v>(r276/(256d+268)+r*p/(4(p+d)))/2=-0,0107783880402001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depth_stats_stc_new2!$BK$2:$BK$65</c:f>
              <c:numCache>
                <c:formatCode>0.00\ %</c:formatCode>
                <c:ptCount val="64"/>
                <c:pt idx="0">
                  <c:v>-0</c:v>
                </c:pt>
                <c:pt idx="1">
                  <c:v>0.164400000000001</c:v>
                </c:pt>
                <c:pt idx="2">
                  <c:v>0.0934599999999968</c:v>
                </c:pt>
                <c:pt idx="3">
                  <c:v>-0.00132000000000065</c:v>
                </c:pt>
                <c:pt idx="4">
                  <c:v>-0.104559999999999</c:v>
                </c:pt>
                <c:pt idx="5">
                  <c:v>-0.186699999999997</c:v>
                </c:pt>
                <c:pt idx="6">
                  <c:v>-0.206879999999999</c:v>
                </c:pt>
                <c:pt idx="7">
                  <c:v>-0.235550000000001</c:v>
                </c:pt>
                <c:pt idx="8">
                  <c:v>-0.199919999999999</c:v>
                </c:pt>
                <c:pt idx="9">
                  <c:v>-0.14985</c:v>
                </c:pt>
                <c:pt idx="10">
                  <c:v>-0.148900000000001</c:v>
                </c:pt>
                <c:pt idx="11">
                  <c:v>-0.119569999999999</c:v>
                </c:pt>
                <c:pt idx="12">
                  <c:v>-0.0572760000000003</c:v>
                </c:pt>
                <c:pt idx="13">
                  <c:v>-0.0588120000000011</c:v>
                </c:pt>
                <c:pt idx="14">
                  <c:v>-0.0208740000000003</c:v>
                </c:pt>
                <c:pt idx="15">
                  <c:v>-0.00894000000000061</c:v>
                </c:pt>
                <c:pt idx="16">
                  <c:v>0.0024639999999998</c:v>
                </c:pt>
                <c:pt idx="17">
                  <c:v>-0.00159799999999995</c:v>
                </c:pt>
                <c:pt idx="18">
                  <c:v>0.00897299999999998</c:v>
                </c:pt>
                <c:pt idx="19">
                  <c:v>0.0125153</c:v>
                </c:pt>
                <c:pt idx="20">
                  <c:v>0.021016</c:v>
                </c:pt>
                <c:pt idx="21">
                  <c:v>0.0191856</c:v>
                </c:pt>
                <c:pt idx="22">
                  <c:v>0.018051</c:v>
                </c:pt>
                <c:pt idx="23">
                  <c:v>0.01521772</c:v>
                </c:pt>
                <c:pt idx="24">
                  <c:v>0.0149628</c:v>
                </c:pt>
                <c:pt idx="25">
                  <c:v>0.01285275</c:v>
                </c:pt>
                <c:pt idx="26">
                  <c:v>0.010441678</c:v>
                </c:pt>
                <c:pt idx="27">
                  <c:v>0.009323667</c:v>
                </c:pt>
                <c:pt idx="28">
                  <c:v>0.006740216</c:v>
                </c:pt>
                <c:pt idx="29">
                  <c:v>0.0046447879</c:v>
                </c:pt>
                <c:pt idx="30">
                  <c:v>0.003058278</c:v>
                </c:pt>
                <c:pt idx="31">
                  <c:v>0.00242536653</c:v>
                </c:pt>
                <c:pt idx="32">
                  <c:v>0.001448380224</c:v>
                </c:pt>
                <c:pt idx="33">
                  <c:v>0.000876687603</c:v>
                </c:pt>
                <c:pt idx="34">
                  <c:v>0.0004181286</c:v>
                </c:pt>
                <c:pt idx="35">
                  <c:v>0.00027547205</c:v>
                </c:pt>
                <c:pt idx="36">
                  <c:v>0.0001239624</c:v>
                </c:pt>
                <c:pt idx="37">
                  <c:v>3.6401673E-005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depth_stats_stc_new2!$BM$1</c:f>
              <c:strCache>
                <c:ptCount val="1"/>
                <c:pt idx="0">
                  <c:v>67p/(256rd)=-0,03864772211403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depth_stats_stc_new2!$BM$2:$BM$65</c:f>
              <c:numCache>
                <c:formatCode>0.00\ %</c:formatCode>
                <c:ptCount val="64"/>
                <c:pt idx="0">
                  <c:v>0</c:v>
                </c:pt>
                <c:pt idx="1">
                  <c:v>0.653200000000002</c:v>
                </c:pt>
                <c:pt idx="2">
                  <c:v>0.02074</c:v>
                </c:pt>
                <c:pt idx="3">
                  <c:v>-0.21045</c:v>
                </c:pt>
                <c:pt idx="4">
                  <c:v>-0.470519999999997</c:v>
                </c:pt>
                <c:pt idx="5">
                  <c:v>-0.598299999999998</c:v>
                </c:pt>
                <c:pt idx="6">
                  <c:v>-0.62886</c:v>
                </c:pt>
                <c:pt idx="7">
                  <c:v>-0.649390000000002</c:v>
                </c:pt>
                <c:pt idx="8">
                  <c:v>-0.592559999999999</c:v>
                </c:pt>
                <c:pt idx="9">
                  <c:v>-0.484290000000001</c:v>
                </c:pt>
                <c:pt idx="10">
                  <c:v>-0.3535</c:v>
                </c:pt>
                <c:pt idx="11">
                  <c:v>-0.226819999999998</c:v>
                </c:pt>
                <c:pt idx="12">
                  <c:v>-0.173052</c:v>
                </c:pt>
                <c:pt idx="13">
                  <c:v>-0.117013</c:v>
                </c:pt>
                <c:pt idx="14">
                  <c:v>-0.0977340000000002</c:v>
                </c:pt>
                <c:pt idx="15">
                  <c:v>-0.0525150000000005</c:v>
                </c:pt>
                <c:pt idx="16">
                  <c:v>-0.0197120000000002</c:v>
                </c:pt>
                <c:pt idx="17">
                  <c:v>-0.01632</c:v>
                </c:pt>
                <c:pt idx="18">
                  <c:v>-0.00252900000000003</c:v>
                </c:pt>
                <c:pt idx="19">
                  <c:v>0.0106247999999999</c:v>
                </c:pt>
                <c:pt idx="20">
                  <c:v>0.016366</c:v>
                </c:pt>
                <c:pt idx="21">
                  <c:v>0.0183036</c:v>
                </c:pt>
                <c:pt idx="22">
                  <c:v>0.01967152</c:v>
                </c:pt>
                <c:pt idx="23">
                  <c:v>0.01957415</c:v>
                </c:pt>
                <c:pt idx="24">
                  <c:v>0.01605384</c:v>
                </c:pt>
                <c:pt idx="25">
                  <c:v>0.0140225</c:v>
                </c:pt>
                <c:pt idx="26">
                  <c:v>0.010585458</c:v>
                </c:pt>
                <c:pt idx="27">
                  <c:v>0.00910953</c:v>
                </c:pt>
                <c:pt idx="28">
                  <c:v>0.006465788</c:v>
                </c:pt>
                <c:pt idx="29">
                  <c:v>0.0041629529</c:v>
                </c:pt>
                <c:pt idx="30">
                  <c:v>0.002952078</c:v>
                </c:pt>
                <c:pt idx="31">
                  <c:v>0.00215651593</c:v>
                </c:pt>
                <c:pt idx="32">
                  <c:v>0.001584201024</c:v>
                </c:pt>
                <c:pt idx="33">
                  <c:v>0.000990049203</c:v>
                </c:pt>
                <c:pt idx="34">
                  <c:v>0.0007817552</c:v>
                </c:pt>
                <c:pt idx="35">
                  <c:v>0.0005773215</c:v>
                </c:pt>
                <c:pt idx="36">
                  <c:v>0.00034189344</c:v>
                </c:pt>
                <c:pt idx="37">
                  <c:v>0.00024042526</c:v>
                </c:pt>
                <c:pt idx="38">
                  <c:v>0.0001709468</c:v>
                </c:pt>
                <c:pt idx="39">
                  <c:v>9.746958E-005</c:v>
                </c:pt>
                <c:pt idx="40">
                  <c:v>1.999376E-005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depth_stats_stc_new2!$BL$1</c:f>
              <c:strCache>
                <c:ptCount val="1"/>
                <c:pt idx="0">
                  <c:v>p85/(256(p+d))=-0,00807269678862976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depth_stats_stc_new2!$BL$2:$BL$65</c:f>
              <c:numCache>
                <c:formatCode>0.00\ %</c:formatCode>
                <c:ptCount val="64"/>
                <c:pt idx="0">
                  <c:v>-0</c:v>
                </c:pt>
                <c:pt idx="1">
                  <c:v>0.488700000000001</c:v>
                </c:pt>
                <c:pt idx="2">
                  <c:v>-0.0366800000000005</c:v>
                </c:pt>
                <c:pt idx="3">
                  <c:v>-0.115200000000001</c:v>
                </c:pt>
                <c:pt idx="4">
                  <c:v>-0.186919999999997</c:v>
                </c:pt>
                <c:pt idx="5">
                  <c:v>-0.281400000000001</c:v>
                </c:pt>
                <c:pt idx="6">
                  <c:v>-0.2628</c:v>
                </c:pt>
                <c:pt idx="7">
                  <c:v>-0.26383</c:v>
                </c:pt>
                <c:pt idx="8">
                  <c:v>-0.182880000000001</c:v>
                </c:pt>
                <c:pt idx="9">
                  <c:v>-0.108090000000001</c:v>
                </c:pt>
                <c:pt idx="10">
                  <c:v>-0.0150000000000006</c:v>
                </c:pt>
                <c:pt idx="11">
                  <c:v>0.00869000000000075</c:v>
                </c:pt>
                <c:pt idx="12">
                  <c:v>0.00156000000000089</c:v>
                </c:pt>
                <c:pt idx="13">
                  <c:v>0.010491</c:v>
                </c:pt>
                <c:pt idx="14">
                  <c:v>0.00965999999999956</c:v>
                </c:pt>
                <c:pt idx="15">
                  <c:v>0.0227099999999994</c:v>
                </c:pt>
                <c:pt idx="16">
                  <c:v>0.019056</c:v>
                </c:pt>
                <c:pt idx="17">
                  <c:v>0.011322</c:v>
                </c:pt>
                <c:pt idx="18">
                  <c:v>0.0101177999999999</c:v>
                </c:pt>
                <c:pt idx="19">
                  <c:v>0.00460370000000002</c:v>
                </c:pt>
                <c:pt idx="20">
                  <c:v>0.00248599999999995</c:v>
                </c:pt>
                <c:pt idx="21">
                  <c:v>0.00196559999999998</c:v>
                </c:pt>
                <c:pt idx="22">
                  <c:v>0.00288442000000001</c:v>
                </c:pt>
                <c:pt idx="23">
                  <c:v>0.00497512999999999</c:v>
                </c:pt>
                <c:pt idx="24">
                  <c:v>0.00631391999999999</c:v>
                </c:pt>
                <c:pt idx="25">
                  <c:v>0.00720425</c:v>
                </c:pt>
                <c:pt idx="26">
                  <c:v>0.007224724</c:v>
                </c:pt>
                <c:pt idx="27">
                  <c:v>0.00682695</c:v>
                </c:pt>
                <c:pt idx="28">
                  <c:v>0.006081908</c:v>
                </c:pt>
                <c:pt idx="29">
                  <c:v>0.0048787019</c:v>
                </c:pt>
                <c:pt idx="30">
                  <c:v>0.003255318</c:v>
                </c:pt>
                <c:pt idx="31">
                  <c:v>0.00208095033</c:v>
                </c:pt>
                <c:pt idx="32">
                  <c:v>0.001361477824</c:v>
                </c:pt>
                <c:pt idx="33">
                  <c:v>0.000561682803</c:v>
                </c:pt>
                <c:pt idx="34">
                  <c:v>0.0002721513</c:v>
                </c:pt>
                <c:pt idx="35">
                  <c:v>0.0001926071</c:v>
                </c:pt>
                <c:pt idx="36">
                  <c:v>5.402988E-005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depth_stats_stc_new2!$BH$1</c:f>
              <c:strCache>
                <c:ptCount val="1"/>
                <c:pt idx="0">
                  <c:v>p/(2(p+d))=-0,0436391547531301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square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depth_stats_stc_new2!$BH$2:$BH$65</c:f>
              <c:numCache>
                <c:formatCode>0.00\ %</c:formatCode>
                <c:ptCount val="64"/>
                <c:pt idx="0">
                  <c:v>-0</c:v>
                </c:pt>
                <c:pt idx="1">
                  <c:v>1.4948</c:v>
                </c:pt>
                <c:pt idx="2">
                  <c:v>-0.610020000000002</c:v>
                </c:pt>
                <c:pt idx="3">
                  <c:v>-0.76977</c:v>
                </c:pt>
                <c:pt idx="4">
                  <c:v>-0.86336</c:v>
                </c:pt>
                <c:pt idx="5">
                  <c:v>-0.858999999999996</c:v>
                </c:pt>
                <c:pt idx="6">
                  <c:v>-0.819300000000001</c:v>
                </c:pt>
                <c:pt idx="7">
                  <c:v>-0.80381</c:v>
                </c:pt>
                <c:pt idx="8">
                  <c:v>-0.683119999999999</c:v>
                </c:pt>
                <c:pt idx="9">
                  <c:v>-0.550530000000002</c:v>
                </c:pt>
                <c:pt idx="10">
                  <c:v>-0.398400000000001</c:v>
                </c:pt>
                <c:pt idx="11">
                  <c:v>-0.20284</c:v>
                </c:pt>
                <c:pt idx="12">
                  <c:v>-0.102227999999999</c:v>
                </c:pt>
                <c:pt idx="13">
                  <c:v>-0.0301600000000013</c:v>
                </c:pt>
                <c:pt idx="14">
                  <c:v>0.0452059999999997</c:v>
                </c:pt>
                <c:pt idx="15">
                  <c:v>0.0918899999999995</c:v>
                </c:pt>
                <c:pt idx="16">
                  <c:v>0.104192</c:v>
                </c:pt>
                <c:pt idx="17">
                  <c:v>0.105723</c:v>
                </c:pt>
                <c:pt idx="18">
                  <c:v>0.0936972</c:v>
                </c:pt>
                <c:pt idx="19">
                  <c:v>0.0839648</c:v>
                </c:pt>
                <c:pt idx="20">
                  <c:v>0.070036</c:v>
                </c:pt>
                <c:pt idx="21">
                  <c:v>0.0577206</c:v>
                </c:pt>
                <c:pt idx="22">
                  <c:v>0.04342954</c:v>
                </c:pt>
                <c:pt idx="23">
                  <c:v>0.03399124</c:v>
                </c:pt>
                <c:pt idx="24">
                  <c:v>0.0261552</c:v>
                </c:pt>
                <c:pt idx="25">
                  <c:v>0.02038125</c:v>
                </c:pt>
                <c:pt idx="26">
                  <c:v>0.01676103</c:v>
                </c:pt>
                <c:pt idx="27">
                  <c:v>0.012131451</c:v>
                </c:pt>
                <c:pt idx="28">
                  <c:v>0.009114532</c:v>
                </c:pt>
                <c:pt idx="29">
                  <c:v>0.0066586349</c:v>
                </c:pt>
                <c:pt idx="30">
                  <c:v>0.004972878</c:v>
                </c:pt>
                <c:pt idx="31">
                  <c:v>0.00337912183</c:v>
                </c:pt>
                <c:pt idx="32">
                  <c:v>0.001815858624</c:v>
                </c:pt>
                <c:pt idx="33">
                  <c:v>0.001170235803</c:v>
                </c:pt>
                <c:pt idx="34">
                  <c:v>0.0006025548</c:v>
                </c:pt>
                <c:pt idx="35">
                  <c:v>0.0004430545</c:v>
                </c:pt>
                <c:pt idx="36">
                  <c:v>0.00025519932</c:v>
                </c:pt>
                <c:pt idx="37">
                  <c:v>0.00013114391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depth_stats_stc_new2!$BF$1</c:f>
              <c:strCache>
                <c:ptCount val="1"/>
                <c:pt idx="0">
                  <c:v>p/(2rd)=-0,0890200709784299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squar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depth_stats_stc_new2!$BF$2:$BF$65</c:f>
              <c:numCache>
                <c:formatCode>0.00\ %</c:formatCode>
                <c:ptCount val="64"/>
                <c:pt idx="0">
                  <c:v>-0</c:v>
                </c:pt>
                <c:pt idx="1">
                  <c:v>2.3143</c:v>
                </c:pt>
                <c:pt idx="2">
                  <c:v>-0.719660000000001</c:v>
                </c:pt>
                <c:pt idx="3">
                  <c:v>-1.0383</c:v>
                </c:pt>
                <c:pt idx="4">
                  <c:v>-1.24524</c:v>
                </c:pt>
                <c:pt idx="5">
                  <c:v>-1.34585</c:v>
                </c:pt>
                <c:pt idx="6">
                  <c:v>-1.3866</c:v>
                </c:pt>
                <c:pt idx="7">
                  <c:v>-1.39244</c:v>
                </c:pt>
                <c:pt idx="8">
                  <c:v>-1.2496</c:v>
                </c:pt>
                <c:pt idx="9">
                  <c:v>-1.00989</c:v>
                </c:pt>
                <c:pt idx="10">
                  <c:v>-0.742</c:v>
                </c:pt>
                <c:pt idx="11">
                  <c:v>-0.485979999999999</c:v>
                </c:pt>
                <c:pt idx="12">
                  <c:v>-0.33408</c:v>
                </c:pt>
                <c:pt idx="13">
                  <c:v>-0.237055</c:v>
                </c:pt>
                <c:pt idx="14">
                  <c:v>-0.15666</c:v>
                </c:pt>
                <c:pt idx="15">
                  <c:v>-0.0798450000000003</c:v>
                </c:pt>
                <c:pt idx="16">
                  <c:v>-0.0285920000000002</c:v>
                </c:pt>
                <c:pt idx="17">
                  <c:v>-0.014416</c:v>
                </c:pt>
                <c:pt idx="18">
                  <c:v>-0.000721800000000022</c:v>
                </c:pt>
                <c:pt idx="19">
                  <c:v>0.0121904</c:v>
                </c:pt>
                <c:pt idx="20">
                  <c:v>0.02256</c:v>
                </c:pt>
                <c:pt idx="21">
                  <c:v>0.024549</c:v>
                </c:pt>
                <c:pt idx="22">
                  <c:v>0.02813602</c:v>
                </c:pt>
                <c:pt idx="23">
                  <c:v>0.02588512</c:v>
                </c:pt>
                <c:pt idx="24">
                  <c:v>0.02512752</c:v>
                </c:pt>
                <c:pt idx="25">
                  <c:v>0.02242975</c:v>
                </c:pt>
                <c:pt idx="26">
                  <c:v>0.02033577</c:v>
                </c:pt>
                <c:pt idx="27">
                  <c:v>0.017618094</c:v>
                </c:pt>
                <c:pt idx="28">
                  <c:v>0.014678496</c:v>
                </c:pt>
                <c:pt idx="29">
                  <c:v>0.0115687989</c:v>
                </c:pt>
                <c:pt idx="30">
                  <c:v>0.008341248</c:v>
                </c:pt>
                <c:pt idx="31">
                  <c:v>0.00612507083</c:v>
                </c:pt>
                <c:pt idx="32">
                  <c:v>0.004459487424</c:v>
                </c:pt>
                <c:pt idx="33">
                  <c:v>0.002704871103</c:v>
                </c:pt>
                <c:pt idx="34">
                  <c:v>0.0019679948</c:v>
                </c:pt>
                <c:pt idx="35">
                  <c:v>0.0011467225</c:v>
                </c:pt>
                <c:pt idx="36">
                  <c:v>0.000491454</c:v>
                </c:pt>
                <c:pt idx="37">
                  <c:v>0.00020204146</c:v>
                </c:pt>
                <c:pt idx="38">
                  <c:v>6.225046E-005</c:v>
                </c:pt>
                <c:pt idx="39">
                  <c:v>4.259268E-005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depth_stats_stc_new2!$BD$1</c:f>
              <c:strCache>
                <c:ptCount val="1"/>
                <c:pt idx="0">
                  <c:v>w+3d=0,00726183999826979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depth_stats_stc_new2!$BD$2:$BD$65</c:f>
              <c:numCache>
                <c:formatCode>0.00\ %</c:formatCode>
                <c:ptCount val="64"/>
                <c:pt idx="0">
                  <c:v>-0</c:v>
                </c:pt>
                <c:pt idx="1">
                  <c:v>0.0531000000000006</c:v>
                </c:pt>
                <c:pt idx="2">
                  <c:v>-0.0933200000000021</c:v>
                </c:pt>
                <c:pt idx="3">
                  <c:v>-0.05511</c:v>
                </c:pt>
                <c:pt idx="4">
                  <c:v>-0.00435999999999837</c:v>
                </c:pt>
                <c:pt idx="5">
                  <c:v>-0.0102499999999983</c:v>
                </c:pt>
                <c:pt idx="6">
                  <c:v>-0.0258000000000012</c:v>
                </c:pt>
                <c:pt idx="7">
                  <c:v>-0.0663599999999995</c:v>
                </c:pt>
                <c:pt idx="8">
                  <c:v>-0.0476799999999997</c:v>
                </c:pt>
                <c:pt idx="9">
                  <c:v>-0.00189000000000039</c:v>
                </c:pt>
                <c:pt idx="10">
                  <c:v>0.00380000000000047</c:v>
                </c:pt>
                <c:pt idx="11">
                  <c:v>0.0670999999999999</c:v>
                </c:pt>
                <c:pt idx="12">
                  <c:v>0.0460919999999998</c:v>
                </c:pt>
                <c:pt idx="13">
                  <c:v>0.0672489999999998</c:v>
                </c:pt>
                <c:pt idx="14">
                  <c:v>0.0935479999999995</c:v>
                </c:pt>
                <c:pt idx="15">
                  <c:v>0.087015</c:v>
                </c:pt>
                <c:pt idx="16">
                  <c:v>0.104672</c:v>
                </c:pt>
                <c:pt idx="17">
                  <c:v>0.0981920000000001</c:v>
                </c:pt>
                <c:pt idx="18">
                  <c:v>0.0904824</c:v>
                </c:pt>
                <c:pt idx="19">
                  <c:v>0.0775333</c:v>
                </c:pt>
                <c:pt idx="20">
                  <c:v>0.060378</c:v>
                </c:pt>
                <c:pt idx="21">
                  <c:v>0.0487725</c:v>
                </c:pt>
                <c:pt idx="22">
                  <c:v>0.03731838</c:v>
                </c:pt>
                <c:pt idx="23">
                  <c:v>0.02750869</c:v>
                </c:pt>
                <c:pt idx="24">
                  <c:v>0.02055432</c:v>
                </c:pt>
                <c:pt idx="25">
                  <c:v>0.01519125</c:v>
                </c:pt>
                <c:pt idx="26">
                  <c:v>0.010506782</c:v>
                </c:pt>
                <c:pt idx="27">
                  <c:v>0.007557408</c:v>
                </c:pt>
                <c:pt idx="28">
                  <c:v>0.005019</c:v>
                </c:pt>
                <c:pt idx="29">
                  <c:v>0.0033635389</c:v>
                </c:pt>
                <c:pt idx="30">
                  <c:v>0.002354802</c:v>
                </c:pt>
                <c:pt idx="31">
                  <c:v>0.00166320673</c:v>
                </c:pt>
                <c:pt idx="32">
                  <c:v>0.001045829824</c:v>
                </c:pt>
                <c:pt idx="33">
                  <c:v>0.000499009203</c:v>
                </c:pt>
                <c:pt idx="34">
                  <c:v>0.00026537918</c:v>
                </c:pt>
                <c:pt idx="35">
                  <c:v>0.00011951835</c:v>
                </c:pt>
                <c:pt idx="36">
                  <c:v>5.268564E-005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depth_stats_stc_new2!$BE$1</c:f>
              <c:strCache>
                <c:ptCount val="1"/>
                <c:pt idx="0">
                  <c:v>w+128ncap=-0,0243987147568796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depth_stats_stc_new2!$BE$2:$BE$65</c:f>
              <c:numCache>
                <c:formatCode>0.00\ %</c:formatCode>
                <c:ptCount val="64"/>
                <c:pt idx="0">
                  <c:v>0</c:v>
                </c:pt>
                <c:pt idx="1">
                  <c:v>0.6844</c:v>
                </c:pt>
                <c:pt idx="2">
                  <c:v>-0.420900000000003</c:v>
                </c:pt>
                <c:pt idx="3">
                  <c:v>-0.4002</c:v>
                </c:pt>
                <c:pt idx="4">
                  <c:v>-0.340079999999997</c:v>
                </c:pt>
                <c:pt idx="5">
                  <c:v>-0.316449999999997</c:v>
                </c:pt>
                <c:pt idx="6">
                  <c:v>-0.324839999999999</c:v>
                </c:pt>
                <c:pt idx="7">
                  <c:v>-0.33782</c:v>
                </c:pt>
                <c:pt idx="8">
                  <c:v>-0.272960000000001</c:v>
                </c:pt>
                <c:pt idx="9">
                  <c:v>-0.24255</c:v>
                </c:pt>
                <c:pt idx="10">
                  <c:v>-0.2067</c:v>
                </c:pt>
                <c:pt idx="11">
                  <c:v>-0.143659999999998</c:v>
                </c:pt>
                <c:pt idx="12">
                  <c:v>-0.114035999999999</c:v>
                </c:pt>
                <c:pt idx="13">
                  <c:v>-0.0902070000000004</c:v>
                </c:pt>
                <c:pt idx="14">
                  <c:v>-0.0561260000000006</c:v>
                </c:pt>
                <c:pt idx="15">
                  <c:v>-0.0428400000000004</c:v>
                </c:pt>
                <c:pt idx="16">
                  <c:v>-0.0072000000000001</c:v>
                </c:pt>
                <c:pt idx="17">
                  <c:v>0.00492999999999998</c:v>
                </c:pt>
                <c:pt idx="18">
                  <c:v>0.0158796</c:v>
                </c:pt>
                <c:pt idx="19">
                  <c:v>0.0182096</c:v>
                </c:pt>
                <c:pt idx="20">
                  <c:v>0.023002</c:v>
                </c:pt>
                <c:pt idx="21">
                  <c:v>0.0256641</c:v>
                </c:pt>
                <c:pt idx="22">
                  <c:v>0.0219901</c:v>
                </c:pt>
                <c:pt idx="23">
                  <c:v>0.02095622</c:v>
                </c:pt>
                <c:pt idx="24">
                  <c:v>0.01567896</c:v>
                </c:pt>
                <c:pt idx="25">
                  <c:v>0.012965</c:v>
                </c:pt>
                <c:pt idx="26">
                  <c:v>0.00994812</c:v>
                </c:pt>
                <c:pt idx="27">
                  <c:v>0.008694243</c:v>
                </c:pt>
                <c:pt idx="28">
                  <c:v>0.005890052</c:v>
                </c:pt>
                <c:pt idx="29">
                  <c:v>0.0036966329</c:v>
                </c:pt>
                <c:pt idx="30">
                  <c:v>0.00210345</c:v>
                </c:pt>
                <c:pt idx="31">
                  <c:v>0.00140769233</c:v>
                </c:pt>
                <c:pt idx="32">
                  <c:v>0.000797701824</c:v>
                </c:pt>
                <c:pt idx="33">
                  <c:v>0.000279791523</c:v>
                </c:pt>
                <c:pt idx="34">
                  <c:v>0.00016938698</c:v>
                </c:pt>
                <c:pt idx="35">
                  <c:v>3.4873755E-005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depth_stats_stc_new2!$BC$1</c:f>
              <c:strCache>
                <c:ptCount val="1"/>
                <c:pt idx="0">
                  <c:v>w+2d=-0,00961271715621992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squar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depth_stats_stc_new2!$BC$2:$BC$65</c:f>
              <c:numCache>
                <c:formatCode>0.00\ %</c:formatCode>
                <c:ptCount val="64"/>
                <c:pt idx="0">
                  <c:v>-0</c:v>
                </c:pt>
                <c:pt idx="1">
                  <c:v>0.211500000000001</c:v>
                </c:pt>
                <c:pt idx="2">
                  <c:v>-0.0289800000000007</c:v>
                </c:pt>
                <c:pt idx="3">
                  <c:v>-0.0390300000000012</c:v>
                </c:pt>
                <c:pt idx="4">
                  <c:v>-0.0510399999999969</c:v>
                </c:pt>
                <c:pt idx="5">
                  <c:v>-0.089699999999997</c:v>
                </c:pt>
                <c:pt idx="6">
                  <c:v>-0.103860000000001</c:v>
                </c:pt>
                <c:pt idx="7">
                  <c:v>-0.15141</c:v>
                </c:pt>
                <c:pt idx="8">
                  <c:v>-0.13448</c:v>
                </c:pt>
                <c:pt idx="9">
                  <c:v>-0.14427</c:v>
                </c:pt>
                <c:pt idx="10">
                  <c:v>-0.117800000000001</c:v>
                </c:pt>
                <c:pt idx="11">
                  <c:v>-0.0943800000000004</c:v>
                </c:pt>
                <c:pt idx="12">
                  <c:v>-0.0394079999999994</c:v>
                </c:pt>
                <c:pt idx="13">
                  <c:v>-0.0257920000000013</c:v>
                </c:pt>
                <c:pt idx="14">
                  <c:v>-0.0141820000000006</c:v>
                </c:pt>
                <c:pt idx="15">
                  <c:v>-0.01833</c:v>
                </c:pt>
                <c:pt idx="16">
                  <c:v>-0.00281600000000015</c:v>
                </c:pt>
                <c:pt idx="17">
                  <c:v>-0.012529</c:v>
                </c:pt>
                <c:pt idx="18">
                  <c:v>-0.0101466</c:v>
                </c:pt>
                <c:pt idx="19">
                  <c:v>-0.0153216</c:v>
                </c:pt>
                <c:pt idx="20">
                  <c:v>-0.014334</c:v>
                </c:pt>
                <c:pt idx="21">
                  <c:v>-0.014679</c:v>
                </c:pt>
                <c:pt idx="22">
                  <c:v>-0.01475848</c:v>
                </c:pt>
                <c:pt idx="23">
                  <c:v>-0.01269715</c:v>
                </c:pt>
                <c:pt idx="24">
                  <c:v>-0.00989232000000001</c:v>
                </c:pt>
                <c:pt idx="25">
                  <c:v>-0.0057662</c:v>
                </c:pt>
                <c:pt idx="26">
                  <c:v>-0.003491904</c:v>
                </c:pt>
                <c:pt idx="27">
                  <c:v>-0.002043306</c:v>
                </c:pt>
                <c:pt idx="28">
                  <c:v>-0.0011306036</c:v>
                </c:pt>
                <c:pt idx="29">
                  <c:v>-0.0003799377</c:v>
                </c:pt>
                <c:pt idx="30">
                  <c:v>-0.000136833</c:v>
                </c:pt>
                <c:pt idx="31">
                  <c:v>1.371936E-005</c:v>
                </c:pt>
                <c:pt idx="32">
                  <c:v>-3.30336000000004E-007</c:v>
                </c:pt>
                <c:pt idx="33">
                  <c:v>-1.70346000000003E-007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depth_stats_stc_new2!$BB$1</c:f>
              <c:strCache>
                <c:ptCount val="1"/>
                <c:pt idx="0">
                  <c:v>w+d=0,00583603225384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depth_stats_stc_new2!$BB$2:$BB$65</c:f>
              <c:numCache>
                <c:formatCode>0.00\ %</c:formatCode>
                <c:ptCount val="64"/>
                <c:pt idx="0">
                  <c:v>-0</c:v>
                </c:pt>
                <c:pt idx="1">
                  <c:v>0.0614000000000026</c:v>
                </c:pt>
                <c:pt idx="2">
                  <c:v>-0.0667000000000009</c:v>
                </c:pt>
                <c:pt idx="3">
                  <c:v>-0.0483900000000013</c:v>
                </c:pt>
                <c:pt idx="4">
                  <c:v>0.00544000000000011</c:v>
                </c:pt>
                <c:pt idx="5">
                  <c:v>0.0255500000000009</c:v>
                </c:pt>
                <c:pt idx="6">
                  <c:v>0.0595800000000013</c:v>
                </c:pt>
                <c:pt idx="7">
                  <c:v>0.0434699999999988</c:v>
                </c:pt>
                <c:pt idx="8">
                  <c:v>0.0791199999999996</c:v>
                </c:pt>
                <c:pt idx="9">
                  <c:v>0.0781200000000002</c:v>
                </c:pt>
                <c:pt idx="10">
                  <c:v>0.0753999999999988</c:v>
                </c:pt>
                <c:pt idx="11">
                  <c:v>0.0618199999999995</c:v>
                </c:pt>
                <c:pt idx="12">
                  <c:v>0.0377880000000008</c:v>
                </c:pt>
                <c:pt idx="13">
                  <c:v>0.0321489999999993</c:v>
                </c:pt>
                <c:pt idx="14">
                  <c:v>0.011998</c:v>
                </c:pt>
                <c:pt idx="15">
                  <c:v>0.00860999999999945</c:v>
                </c:pt>
                <c:pt idx="16">
                  <c:v>0.012864</c:v>
                </c:pt>
                <c:pt idx="17">
                  <c:v>0.0034339999999999</c:v>
                </c:pt>
                <c:pt idx="18">
                  <c:v>0.00930600000000006</c:v>
                </c:pt>
                <c:pt idx="19">
                  <c:v>0.00930429999999992</c:v>
                </c:pt>
                <c:pt idx="20">
                  <c:v>0.012068</c:v>
                </c:pt>
                <c:pt idx="21">
                  <c:v>0.0140259</c:v>
                </c:pt>
                <c:pt idx="22">
                  <c:v>0.01145936</c:v>
                </c:pt>
                <c:pt idx="23">
                  <c:v>0.00951325999999999</c:v>
                </c:pt>
                <c:pt idx="24">
                  <c:v>0.00775655999999999</c:v>
                </c:pt>
                <c:pt idx="25">
                  <c:v>0.00744675</c:v>
                </c:pt>
                <c:pt idx="26">
                  <c:v>0.006069518</c:v>
                </c:pt>
                <c:pt idx="27">
                  <c:v>0.004857894</c:v>
                </c:pt>
                <c:pt idx="28">
                  <c:v>0.00322098</c:v>
                </c:pt>
                <c:pt idx="29">
                  <c:v>0.0023800329</c:v>
                </c:pt>
                <c:pt idx="30">
                  <c:v>0.001756176</c:v>
                </c:pt>
                <c:pt idx="31">
                  <c:v>0.00121709193</c:v>
                </c:pt>
                <c:pt idx="32">
                  <c:v>0.000682757824</c:v>
                </c:pt>
                <c:pt idx="33">
                  <c:v>0.000432085203</c:v>
                </c:pt>
                <c:pt idx="34">
                  <c:v>0.0002638893</c:v>
                </c:pt>
                <c:pt idx="35">
                  <c:v>0.0001018689</c:v>
                </c:pt>
                <c:pt idx="36">
                  <c:v>6.985296E-005</c:v>
                </c:pt>
                <c:pt idx="37">
                  <c:v>1.7948367E-005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depth_stats_stc_new2!$AV$1</c:f>
              <c:strCache>
                <c:ptCount val="1"/>
                <c:pt idx="0">
                  <c:v>w-d=-0,00423031873190016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0.114900000000002</c:v>
                </c:pt>
                <c:pt idx="2">
                  <c:v>-0.124660000000002</c:v>
                </c:pt>
                <c:pt idx="3">
                  <c:v>-0.16167</c:v>
                </c:pt>
                <c:pt idx="4">
                  <c:v>-0.13252</c:v>
                </c:pt>
                <c:pt idx="5">
                  <c:v>-0.115049999999997</c:v>
                </c:pt>
                <c:pt idx="6">
                  <c:v>-0.0520199999999997</c:v>
                </c:pt>
                <c:pt idx="7">
                  <c:v>-0.0687399999999996</c:v>
                </c:pt>
                <c:pt idx="8">
                  <c:v>-0.0520800000000001</c:v>
                </c:pt>
                <c:pt idx="9">
                  <c:v>-0.0703800000000014</c:v>
                </c:pt>
                <c:pt idx="10">
                  <c:v>-0.0422999999999996</c:v>
                </c:pt>
                <c:pt idx="11">
                  <c:v>-0.00769999999999915</c:v>
                </c:pt>
                <c:pt idx="12">
                  <c:v>-0.00609599999999944</c:v>
                </c:pt>
                <c:pt idx="13">
                  <c:v>-0.00146900000000039</c:v>
                </c:pt>
                <c:pt idx="14">
                  <c:v>-0.0103040000000002</c:v>
                </c:pt>
                <c:pt idx="15">
                  <c:v>0.0189449999999994</c:v>
                </c:pt>
                <c:pt idx="16">
                  <c:v>0.0317119999999997</c:v>
                </c:pt>
                <c:pt idx="17">
                  <c:v>0.025942</c:v>
                </c:pt>
                <c:pt idx="18">
                  <c:v>0.0356436</c:v>
                </c:pt>
                <c:pt idx="19">
                  <c:v>0.0407113</c:v>
                </c:pt>
                <c:pt idx="20">
                  <c:v>0.03308</c:v>
                </c:pt>
                <c:pt idx="21">
                  <c:v>0.0287868</c:v>
                </c:pt>
                <c:pt idx="22">
                  <c:v>0.02412608</c:v>
                </c:pt>
                <c:pt idx="23">
                  <c:v>0.01886207</c:v>
                </c:pt>
                <c:pt idx="24">
                  <c:v>0.01413192</c:v>
                </c:pt>
                <c:pt idx="25">
                  <c:v>0.0100685</c:v>
                </c:pt>
                <c:pt idx="26">
                  <c:v>0.006889636</c:v>
                </c:pt>
                <c:pt idx="27">
                  <c:v>0.005927202</c:v>
                </c:pt>
                <c:pt idx="28">
                  <c:v>0.004086936</c:v>
                </c:pt>
                <c:pt idx="29">
                  <c:v>0.0027663709</c:v>
                </c:pt>
                <c:pt idx="30">
                  <c:v>0.001636806</c:v>
                </c:pt>
                <c:pt idx="31">
                  <c:v>0.00122673293</c:v>
                </c:pt>
                <c:pt idx="32">
                  <c:v>0.000727698624</c:v>
                </c:pt>
                <c:pt idx="33">
                  <c:v>0.000619815603</c:v>
                </c:pt>
                <c:pt idx="34">
                  <c:v>0.0004368184</c:v>
                </c:pt>
                <c:pt idx="35">
                  <c:v>0.00027671665</c:v>
                </c:pt>
                <c:pt idx="36">
                  <c:v>0.00023125608</c:v>
                </c:pt>
                <c:pt idx="37">
                  <c:v>0.0001462647</c:v>
                </c:pt>
                <c:pt idx="38">
                  <c:v>5.633158E-005</c:v>
                </c:pt>
                <c:pt idx="39">
                  <c:v>1.9271343E-005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depth_stats_stc_new2!$AX$1</c:f>
              <c:strCache>
                <c:ptCount val="1"/>
                <c:pt idx="0">
                  <c:v>w+(ss+1)-&gt;cuttoffCnt=0,0053082329947598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depth_stats_stc_new2!$AX$2:$AX$65</c:f>
              <c:numCache>
                <c:formatCode>0.00\ %</c:formatCode>
                <c:ptCount val="64"/>
                <c:pt idx="0">
                  <c:v>-0</c:v>
                </c:pt>
                <c:pt idx="1">
                  <c:v>0.0651000000000011</c:v>
                </c:pt>
                <c:pt idx="2">
                  <c:v>-0.0349800000000009</c:v>
                </c:pt>
                <c:pt idx="3">
                  <c:v>0.00963000000000047</c:v>
                </c:pt>
                <c:pt idx="4">
                  <c:v>0.0357600000000033</c:v>
                </c:pt>
                <c:pt idx="5">
                  <c:v>0.00995000000000079</c:v>
                </c:pt>
                <c:pt idx="6">
                  <c:v>-0.0118800000000006</c:v>
                </c:pt>
                <c:pt idx="7">
                  <c:v>-0.0449400000000022</c:v>
                </c:pt>
                <c:pt idx="8">
                  <c:v>-0.0461600000000004</c:v>
                </c:pt>
                <c:pt idx="9">
                  <c:v>-0.02898</c:v>
                </c:pt>
                <c:pt idx="10">
                  <c:v>-0.0320000000000009</c:v>
                </c:pt>
                <c:pt idx="11">
                  <c:v>0.0305800000000001</c:v>
                </c:pt>
                <c:pt idx="12">
                  <c:v>0.0462000000000002</c:v>
                </c:pt>
                <c:pt idx="13">
                  <c:v>0.0583179999999999</c:v>
                </c:pt>
                <c:pt idx="14">
                  <c:v>0.0701259999999998</c:v>
                </c:pt>
                <c:pt idx="15">
                  <c:v>0.0450600000000001</c:v>
                </c:pt>
                <c:pt idx="16">
                  <c:v>0.0649440000000001</c:v>
                </c:pt>
                <c:pt idx="17">
                  <c:v>0.0458659999999999</c:v>
                </c:pt>
                <c:pt idx="18">
                  <c:v>0.0395136000000002</c:v>
                </c:pt>
                <c:pt idx="19">
                  <c:v>0.0343577</c:v>
                </c:pt>
                <c:pt idx="20">
                  <c:v>0.03451</c:v>
                </c:pt>
                <c:pt idx="21">
                  <c:v>0.0294357</c:v>
                </c:pt>
                <c:pt idx="22">
                  <c:v>0.02443408</c:v>
                </c:pt>
                <c:pt idx="23">
                  <c:v>0.02011074</c:v>
                </c:pt>
                <c:pt idx="24">
                  <c:v>0.01619784</c:v>
                </c:pt>
                <c:pt idx="25">
                  <c:v>0.01342075</c:v>
                </c:pt>
                <c:pt idx="26">
                  <c:v>0.01069874</c:v>
                </c:pt>
                <c:pt idx="27">
                  <c:v>0.007937919</c:v>
                </c:pt>
                <c:pt idx="28">
                  <c:v>0.005430236</c:v>
                </c:pt>
                <c:pt idx="29">
                  <c:v>0.0042110349</c:v>
                </c:pt>
                <c:pt idx="30">
                  <c:v>0.002967348</c:v>
                </c:pt>
                <c:pt idx="31">
                  <c:v>0.00219439793</c:v>
                </c:pt>
                <c:pt idx="32">
                  <c:v>0.001247628224</c:v>
                </c:pt>
                <c:pt idx="33">
                  <c:v>0.000659009703</c:v>
                </c:pt>
                <c:pt idx="34">
                  <c:v>0.0004044232</c:v>
                </c:pt>
                <c:pt idx="35">
                  <c:v>0.00019983215</c:v>
                </c:pt>
                <c:pt idx="36">
                  <c:v>0.00011989908</c:v>
                </c:pt>
                <c:pt idx="37">
                  <c:v>0.00010562538</c:v>
                </c:pt>
                <c:pt idx="38">
                  <c:v>5.424006E-005</c:v>
                </c:pt>
                <c:pt idx="39">
                  <c:v>1.8555849E-005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depth_stats_stc_new2!$AS$1</c:f>
              <c:strCache>
                <c:ptCount val="1"/>
                <c:pt idx="0">
                  <c:v>w-2p=-0,00278405648323021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depth_stats_stc_new2!$AS$2:$AS$65</c:f>
              <c:numCache>
                <c:formatCode>0.00\ %</c:formatCode>
                <c:ptCount val="64"/>
                <c:pt idx="0">
                  <c:v>0</c:v>
                </c:pt>
                <c:pt idx="1">
                  <c:v>0.059700000000003</c:v>
                </c:pt>
                <c:pt idx="2">
                  <c:v>-0.190700000000003</c:v>
                </c:pt>
                <c:pt idx="3">
                  <c:v>-0.2322</c:v>
                </c:pt>
                <c:pt idx="4">
                  <c:v>-0.203999999999997</c:v>
                </c:pt>
                <c:pt idx="5">
                  <c:v>-0.1519</c:v>
                </c:pt>
                <c:pt idx="6">
                  <c:v>-0.109920000000001</c:v>
                </c:pt>
                <c:pt idx="7">
                  <c:v>-0.102830000000002</c:v>
                </c:pt>
                <c:pt idx="8">
                  <c:v>-0.0804800000000014</c:v>
                </c:pt>
                <c:pt idx="9">
                  <c:v>-0.0642600000000013</c:v>
                </c:pt>
                <c:pt idx="10">
                  <c:v>-0.0517999999999996</c:v>
                </c:pt>
                <c:pt idx="11">
                  <c:v>-0.00274999999999848</c:v>
                </c:pt>
                <c:pt idx="12">
                  <c:v>0.00401999999999969</c:v>
                </c:pt>
                <c:pt idx="13">
                  <c:v>0.00881399999999943</c:v>
                </c:pt>
                <c:pt idx="14">
                  <c:v>0.0165899999999999</c:v>
                </c:pt>
                <c:pt idx="15">
                  <c:v>0.0438750000000002</c:v>
                </c:pt>
                <c:pt idx="16">
                  <c:v>0.0769919999999997</c:v>
                </c:pt>
                <c:pt idx="17">
                  <c:v>0.0868700000000001</c:v>
                </c:pt>
                <c:pt idx="18">
                  <c:v>0.0848519999999999</c:v>
                </c:pt>
                <c:pt idx="19">
                  <c:v>0.0836740999999999</c:v>
                </c:pt>
                <c:pt idx="20">
                  <c:v>0.082202</c:v>
                </c:pt>
                <c:pt idx="21">
                  <c:v>0.070329</c:v>
                </c:pt>
                <c:pt idx="22">
                  <c:v>0.05927702</c:v>
                </c:pt>
                <c:pt idx="23">
                  <c:v>0.04976349</c:v>
                </c:pt>
                <c:pt idx="24">
                  <c:v>0.03888504</c:v>
                </c:pt>
                <c:pt idx="25">
                  <c:v>0.03421725</c:v>
                </c:pt>
                <c:pt idx="26">
                  <c:v>0.02896621</c:v>
                </c:pt>
                <c:pt idx="27">
                  <c:v>0.022206744</c:v>
                </c:pt>
                <c:pt idx="28">
                  <c:v>0.017893484</c:v>
                </c:pt>
                <c:pt idx="29">
                  <c:v>0.0125590329</c:v>
                </c:pt>
                <c:pt idx="30">
                  <c:v>0.009609318</c:v>
                </c:pt>
                <c:pt idx="31">
                  <c:v>0.00750822883</c:v>
                </c:pt>
                <c:pt idx="32">
                  <c:v>0.005125375424</c:v>
                </c:pt>
                <c:pt idx="33">
                  <c:v>0.003690224703</c:v>
                </c:pt>
                <c:pt idx="34">
                  <c:v>0.0021749766</c:v>
                </c:pt>
                <c:pt idx="35">
                  <c:v>0.0012989305</c:v>
                </c:pt>
                <c:pt idx="36">
                  <c:v>0.0006152832</c:v>
                </c:pt>
                <c:pt idx="37">
                  <c:v>0.00028908544</c:v>
                </c:pt>
                <c:pt idx="38">
                  <c:v>0.0001855616</c:v>
                </c:pt>
                <c:pt idx="39">
                  <c:v>0.00015235584</c:v>
                </c:pt>
                <c:pt idx="40">
                  <c:v>5.85984E-005</c:v>
                </c:pt>
                <c:pt idx="41">
                  <c:v>4.004224E-005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depth_stats_stc_new2!$BA$1</c:f>
              <c:strCache>
                <c:ptCount val="1"/>
                <c:pt idx="0">
                  <c:v>w+m=0,00192165661859045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depth_stats_stc_new2!$BA$2:$BA$65</c:f>
              <c:numCache>
                <c:formatCode>0.00\ %</c:formatCode>
                <c:ptCount val="64"/>
                <c:pt idx="0">
                  <c:v>-0</c:v>
                </c:pt>
                <c:pt idx="1">
                  <c:v>0.0721000000000025</c:v>
                </c:pt>
                <c:pt idx="2">
                  <c:v>-0.0141600000000004</c:v>
                </c:pt>
                <c:pt idx="3">
                  <c:v>-0.0211199999999998</c:v>
                </c:pt>
                <c:pt idx="4">
                  <c:v>-0.0117199999999968</c:v>
                </c:pt>
                <c:pt idx="5">
                  <c:v>-0.0159999999999982</c:v>
                </c:pt>
                <c:pt idx="6">
                  <c:v>-0.03294</c:v>
                </c:pt>
                <c:pt idx="7">
                  <c:v>-0.0534800000000022</c:v>
                </c:pt>
                <c:pt idx="8">
                  <c:v>-0.00967999999999947</c:v>
                </c:pt>
                <c:pt idx="9">
                  <c:v>0.0182699999999998</c:v>
                </c:pt>
                <c:pt idx="10">
                  <c:v>-0.00360000000000138</c:v>
                </c:pt>
                <c:pt idx="11">
                  <c:v>0.0356400000000015</c:v>
                </c:pt>
                <c:pt idx="12">
                  <c:v>0.0429359999999996</c:v>
                </c:pt>
                <c:pt idx="13">
                  <c:v>0.0467479999999991</c:v>
                </c:pt>
                <c:pt idx="14">
                  <c:v>0.0283639999999996</c:v>
                </c:pt>
                <c:pt idx="15">
                  <c:v>0.0194549999999999</c:v>
                </c:pt>
                <c:pt idx="16">
                  <c:v>0.0247519999999999</c:v>
                </c:pt>
                <c:pt idx="17">
                  <c:v>0.0142629999999999</c:v>
                </c:pt>
                <c:pt idx="18">
                  <c:v>0.0113760000000001</c:v>
                </c:pt>
                <c:pt idx="19">
                  <c:v>0.013338</c:v>
                </c:pt>
                <c:pt idx="20">
                  <c:v>0.00726399999999995</c:v>
                </c:pt>
                <c:pt idx="21">
                  <c:v>0.0058884</c:v>
                </c:pt>
                <c:pt idx="22">
                  <c:v>0.00305602</c:v>
                </c:pt>
                <c:pt idx="23">
                  <c:v>0.00187519000000001</c:v>
                </c:pt>
                <c:pt idx="24">
                  <c:v>0.00130895999999999</c:v>
                </c:pt>
                <c:pt idx="25">
                  <c:v>0.00118</c:v>
                </c:pt>
                <c:pt idx="26">
                  <c:v>0.001386216</c:v>
                </c:pt>
                <c:pt idx="27">
                  <c:v>0.001621296</c:v>
                </c:pt>
                <c:pt idx="28">
                  <c:v>0.001135232</c:v>
                </c:pt>
                <c:pt idx="29">
                  <c:v>0.0009061717</c:v>
                </c:pt>
                <c:pt idx="30">
                  <c:v>0.000870486</c:v>
                </c:pt>
                <c:pt idx="31">
                  <c:v>0.00069189923</c:v>
                </c:pt>
                <c:pt idx="32">
                  <c:v>0.000310684224</c:v>
                </c:pt>
                <c:pt idx="33">
                  <c:v>9.6074583E-005</c:v>
                </c:pt>
                <c:pt idx="34">
                  <c:v>3.3032122E-005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depth_stats_stc_new2!$AR$1</c:f>
              <c:strCache>
                <c:ptCount val="1"/>
                <c:pt idx="0">
                  <c:v>w-p=-0,00274464647033001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tar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0.00910000000000011</c:v>
                </c:pt>
                <c:pt idx="2">
                  <c:v>-0.0839400000000019</c:v>
                </c:pt>
                <c:pt idx="3">
                  <c:v>-0.0970500000000003</c:v>
                </c:pt>
                <c:pt idx="4">
                  <c:v>-0.0941199999999967</c:v>
                </c:pt>
                <c:pt idx="5">
                  <c:v>-0.0873999999999997</c:v>
                </c:pt>
                <c:pt idx="6">
                  <c:v>-0.0997800000000009</c:v>
                </c:pt>
                <c:pt idx="7">
                  <c:v>-0.0767899999999995</c:v>
                </c:pt>
                <c:pt idx="8">
                  <c:v>-0.0350399999999986</c:v>
                </c:pt>
                <c:pt idx="9">
                  <c:v>-0.0473400000000004</c:v>
                </c:pt>
                <c:pt idx="10">
                  <c:v>-0.0415999999999994</c:v>
                </c:pt>
                <c:pt idx="11">
                  <c:v>0.0342099999999994</c:v>
                </c:pt>
                <c:pt idx="12">
                  <c:v>0.0154320000000001</c:v>
                </c:pt>
                <c:pt idx="13">
                  <c:v>0.0242449999999986</c:v>
                </c:pt>
                <c:pt idx="14">
                  <c:v>0.0205239999999995</c:v>
                </c:pt>
                <c:pt idx="15">
                  <c:v>0.0152549999999999</c:v>
                </c:pt>
                <c:pt idx="16">
                  <c:v>0.041728</c:v>
                </c:pt>
                <c:pt idx="17">
                  <c:v>0.028577</c:v>
                </c:pt>
                <c:pt idx="18">
                  <c:v>0.0386694000000001</c:v>
                </c:pt>
                <c:pt idx="19">
                  <c:v>0.035815</c:v>
                </c:pt>
                <c:pt idx="20">
                  <c:v>0.033408</c:v>
                </c:pt>
                <c:pt idx="21">
                  <c:v>0.0242403</c:v>
                </c:pt>
                <c:pt idx="22">
                  <c:v>0.01766424</c:v>
                </c:pt>
                <c:pt idx="23">
                  <c:v>0.01460086</c:v>
                </c:pt>
                <c:pt idx="24">
                  <c:v>0.01113816</c:v>
                </c:pt>
                <c:pt idx="25">
                  <c:v>0.0081555</c:v>
                </c:pt>
                <c:pt idx="26">
                  <c:v>0.005551156</c:v>
                </c:pt>
                <c:pt idx="27">
                  <c:v>0.004400919</c:v>
                </c:pt>
                <c:pt idx="28">
                  <c:v>0.002670948</c:v>
                </c:pt>
                <c:pt idx="29">
                  <c:v>0.0015886519</c:v>
                </c:pt>
                <c:pt idx="30">
                  <c:v>0.000853344</c:v>
                </c:pt>
                <c:pt idx="31">
                  <c:v>0.00050375403</c:v>
                </c:pt>
                <c:pt idx="32">
                  <c:v>0.000168405184</c:v>
                </c:pt>
                <c:pt idx="33">
                  <c:v>6.3071283E-005</c:v>
                </c:pt>
                <c:pt idx="34">
                  <c:v>3.264357E-005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depth_stats_stc_new2!$AI$1</c:f>
              <c:strCache>
                <c:ptCount val="1"/>
                <c:pt idx="0">
                  <c:v>w+p=-0,0128196046326301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0.248100000000001</c:v>
                </c:pt>
                <c:pt idx="2">
                  <c:v>-0.111160000000002</c:v>
                </c:pt>
                <c:pt idx="3">
                  <c:v>-0.13029</c:v>
                </c:pt>
                <c:pt idx="4">
                  <c:v>-0.1374</c:v>
                </c:pt>
                <c:pt idx="5">
                  <c:v>-0.181399999999998</c:v>
                </c:pt>
                <c:pt idx="6">
                  <c:v>-0.1671</c:v>
                </c:pt>
                <c:pt idx="7">
                  <c:v>-0.169680000000002</c:v>
                </c:pt>
                <c:pt idx="8">
                  <c:v>-0.166160000000001</c:v>
                </c:pt>
                <c:pt idx="9">
                  <c:v>-0.16344</c:v>
                </c:pt>
                <c:pt idx="10">
                  <c:v>-0.160800000000001</c:v>
                </c:pt>
                <c:pt idx="11">
                  <c:v>-0.0948199999999984</c:v>
                </c:pt>
                <c:pt idx="12">
                  <c:v>-0.092244</c:v>
                </c:pt>
                <c:pt idx="13">
                  <c:v>-0.0339950000000004</c:v>
                </c:pt>
                <c:pt idx="14">
                  <c:v>-0.0247240000000006</c:v>
                </c:pt>
                <c:pt idx="15">
                  <c:v>-0.00459000000000043</c:v>
                </c:pt>
                <c:pt idx="16">
                  <c:v>0.0200640000000001</c:v>
                </c:pt>
                <c:pt idx="17">
                  <c:v>0.0220659999999999</c:v>
                </c:pt>
                <c:pt idx="18">
                  <c:v>0.0172566000000001</c:v>
                </c:pt>
                <c:pt idx="19">
                  <c:v>0.0170581999999999</c:v>
                </c:pt>
                <c:pt idx="20">
                  <c:v>0.011638</c:v>
                </c:pt>
                <c:pt idx="21">
                  <c:v>0.0115563</c:v>
                </c:pt>
                <c:pt idx="22">
                  <c:v>0.00245828</c:v>
                </c:pt>
                <c:pt idx="23">
                  <c:v>-0.000123970000000002</c:v>
                </c:pt>
                <c:pt idx="24">
                  <c:v>-0.000278160000000003</c:v>
                </c:pt>
                <c:pt idx="25">
                  <c:v>0.00101275</c:v>
                </c:pt>
                <c:pt idx="26">
                  <c:v>0.00157755</c:v>
                </c:pt>
                <c:pt idx="27">
                  <c:v>0.001338984</c:v>
                </c:pt>
                <c:pt idx="28">
                  <c:v>0.00072422</c:v>
                </c:pt>
                <c:pt idx="29">
                  <c:v>0.0004224546</c:v>
                </c:pt>
                <c:pt idx="30">
                  <c:v>0.000166464</c:v>
                </c:pt>
                <c:pt idx="31">
                  <c:v>0.00026057453</c:v>
                </c:pt>
                <c:pt idx="32">
                  <c:v>0.000226427584</c:v>
                </c:pt>
                <c:pt idx="33">
                  <c:v>0.000155836923</c:v>
                </c:pt>
                <c:pt idx="34">
                  <c:v>0.00012886204</c:v>
                </c:pt>
                <c:pt idx="35">
                  <c:v>3.316306E-005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depth_stats_stc_new2!$AW$1</c:f>
              <c:strCache>
                <c:ptCount val="1"/>
                <c:pt idx="0">
                  <c:v>w-d+7=-0,0158948532994003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depth_stats_stc_new2!$AW$2:$AW$65</c:f>
              <c:numCache>
                <c:formatCode>0.00\ %</c:formatCode>
                <c:ptCount val="64"/>
                <c:pt idx="0">
                  <c:v>0</c:v>
                </c:pt>
                <c:pt idx="1">
                  <c:v>0.141500000000001</c:v>
                </c:pt>
                <c:pt idx="2">
                  <c:v>-0.116140000000001</c:v>
                </c:pt>
                <c:pt idx="3">
                  <c:v>-0.13197</c:v>
                </c:pt>
                <c:pt idx="4">
                  <c:v>-0.15372</c:v>
                </c:pt>
                <c:pt idx="5">
                  <c:v>-0.166249999999999</c:v>
                </c:pt>
                <c:pt idx="6">
                  <c:v>-0.132059999999999</c:v>
                </c:pt>
                <c:pt idx="7">
                  <c:v>-0.166250000000001</c:v>
                </c:pt>
                <c:pt idx="8">
                  <c:v>-0.12696</c:v>
                </c:pt>
                <c:pt idx="9">
                  <c:v>-0.134910000000001</c:v>
                </c:pt>
                <c:pt idx="10">
                  <c:v>-0.1328</c:v>
                </c:pt>
                <c:pt idx="11">
                  <c:v>-0.109009999999999</c:v>
                </c:pt>
                <c:pt idx="12">
                  <c:v>-0.0670559999999991</c:v>
                </c:pt>
                <c:pt idx="13">
                  <c:v>-0.062439</c:v>
                </c:pt>
                <c:pt idx="14">
                  <c:v>-0.0619780000000002</c:v>
                </c:pt>
                <c:pt idx="15">
                  <c:v>-0.0448350000000003</c:v>
                </c:pt>
                <c:pt idx="16">
                  <c:v>-0.0255200000000002</c:v>
                </c:pt>
                <c:pt idx="17">
                  <c:v>-0.022661</c:v>
                </c:pt>
                <c:pt idx="18">
                  <c:v>-0.0165564</c:v>
                </c:pt>
                <c:pt idx="19">
                  <c:v>-0.0150442</c:v>
                </c:pt>
                <c:pt idx="20">
                  <c:v>-0.011368</c:v>
                </c:pt>
                <c:pt idx="21">
                  <c:v>-0.00956130000000001</c:v>
                </c:pt>
                <c:pt idx="22">
                  <c:v>-0.0068959</c:v>
                </c:pt>
                <c:pt idx="23">
                  <c:v>-0.00581624</c:v>
                </c:pt>
                <c:pt idx="24">
                  <c:v>-0.00505848</c:v>
                </c:pt>
                <c:pt idx="25">
                  <c:v>-0.003508575</c:v>
                </c:pt>
                <c:pt idx="26">
                  <c:v>-0.001745744</c:v>
                </c:pt>
                <c:pt idx="27">
                  <c:v>-0.001307232</c:v>
                </c:pt>
                <c:pt idx="28">
                  <c:v>-0.0004509568</c:v>
                </c:pt>
                <c:pt idx="29">
                  <c:v>2.82024999999999E-005</c:v>
                </c:pt>
                <c:pt idx="30">
                  <c:v>0.000197679</c:v>
                </c:pt>
                <c:pt idx="31">
                  <c:v>0.00031406813</c:v>
                </c:pt>
                <c:pt idx="32">
                  <c:v>0.000201145024</c:v>
                </c:pt>
                <c:pt idx="33">
                  <c:v>9.5725113E-005</c:v>
                </c:pt>
                <c:pt idx="34">
                  <c:v>3.2929238E-005</c:v>
                </c:pt>
                <c:pt idx="35">
                  <c:v>1.6948855E-005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depth_stats_stc_new2!$AZ$1</c:f>
              <c:strCache>
                <c:ptCount val="1"/>
                <c:pt idx="0">
                  <c:v>w+128cap=-0,0205460148952299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depth_stats_stc_new2!$AZ$2:$AZ$65</c:f>
              <c:numCache>
                <c:formatCode>0.00\ %</c:formatCode>
                <c:ptCount val="64"/>
                <c:pt idx="0">
                  <c:v>0</c:v>
                </c:pt>
                <c:pt idx="1">
                  <c:v>0.320500000000003</c:v>
                </c:pt>
                <c:pt idx="2">
                  <c:v>-0.119380000000003</c:v>
                </c:pt>
                <c:pt idx="3">
                  <c:v>-0.155430000000002</c:v>
                </c:pt>
                <c:pt idx="4">
                  <c:v>-0.190359999999998</c:v>
                </c:pt>
                <c:pt idx="5">
                  <c:v>-0.225549999999997</c:v>
                </c:pt>
                <c:pt idx="6">
                  <c:v>-0.23586</c:v>
                </c:pt>
                <c:pt idx="7">
                  <c:v>-0.24633</c:v>
                </c:pt>
                <c:pt idx="8">
                  <c:v>-0.219439999999999</c:v>
                </c:pt>
                <c:pt idx="9">
                  <c:v>-0.24615</c:v>
                </c:pt>
                <c:pt idx="10">
                  <c:v>-0.2024</c:v>
                </c:pt>
                <c:pt idx="11">
                  <c:v>-0.131339999999998</c:v>
                </c:pt>
                <c:pt idx="12">
                  <c:v>-0.0993360000000001</c:v>
                </c:pt>
                <c:pt idx="13">
                  <c:v>-0.0885170000000009</c:v>
                </c:pt>
                <c:pt idx="14">
                  <c:v>-0.0724500000000006</c:v>
                </c:pt>
                <c:pt idx="15">
                  <c:v>-0.0476550000000006</c:v>
                </c:pt>
                <c:pt idx="16">
                  <c:v>-0.02976</c:v>
                </c:pt>
                <c:pt idx="17">
                  <c:v>-0.0143140000000002</c:v>
                </c:pt>
                <c:pt idx="18">
                  <c:v>-0.0120474</c:v>
                </c:pt>
                <c:pt idx="19">
                  <c:v>-0.0121752000000001</c:v>
                </c:pt>
                <c:pt idx="20">
                  <c:v>-0.00557000000000002</c:v>
                </c:pt>
                <c:pt idx="21">
                  <c:v>-0.0082572</c:v>
                </c:pt>
                <c:pt idx="22">
                  <c:v>-0.00548899999999999</c:v>
                </c:pt>
                <c:pt idx="23">
                  <c:v>-0.00437713</c:v>
                </c:pt>
                <c:pt idx="24">
                  <c:v>-0.00230160000000001</c:v>
                </c:pt>
                <c:pt idx="25">
                  <c:v>-0.00168525</c:v>
                </c:pt>
                <c:pt idx="26">
                  <c:v>-0.000142792000000002</c:v>
                </c:pt>
                <c:pt idx="27">
                  <c:v>0.000394550999999999</c:v>
                </c:pt>
                <c:pt idx="28">
                  <c:v>0.000133028</c:v>
                </c:pt>
                <c:pt idx="29">
                  <c:v>0.0003236197</c:v>
                </c:pt>
                <c:pt idx="30">
                  <c:v>0.000125247</c:v>
                </c:pt>
                <c:pt idx="31">
                  <c:v>0.00019406713</c:v>
                </c:pt>
                <c:pt idx="32">
                  <c:v>6.1706944E-005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depth_stats_stc_new2!$AY$1</c:f>
              <c:strCache>
                <c:ptCount val="1"/>
                <c:pt idx="0">
                  <c:v>w+5=-0,01977924797515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depth_stats_stc_new2!$AY$2:$AY$65</c:f>
              <c:numCache>
                <c:formatCode>0.00\ %</c:formatCode>
                <c:ptCount val="64"/>
                <c:pt idx="0">
                  <c:v>0</c:v>
                </c:pt>
                <c:pt idx="1">
                  <c:v>0.235000000000003</c:v>
                </c:pt>
                <c:pt idx="2">
                  <c:v>-0.0869</c:v>
                </c:pt>
                <c:pt idx="3">
                  <c:v>-0.117839999999999</c:v>
                </c:pt>
                <c:pt idx="4">
                  <c:v>-0.118759999999998</c:v>
                </c:pt>
                <c:pt idx="5">
                  <c:v>-0.164549999999997</c:v>
                </c:pt>
                <c:pt idx="6">
                  <c:v>-0.163200000000001</c:v>
                </c:pt>
                <c:pt idx="7">
                  <c:v>-0.21826</c:v>
                </c:pt>
                <c:pt idx="8">
                  <c:v>-0.192080000000001</c:v>
                </c:pt>
                <c:pt idx="9">
                  <c:v>-0.178560000000001</c:v>
                </c:pt>
                <c:pt idx="10">
                  <c:v>-0.165300000000002</c:v>
                </c:pt>
                <c:pt idx="11">
                  <c:v>-0.130679999999999</c:v>
                </c:pt>
                <c:pt idx="12">
                  <c:v>-0.1122</c:v>
                </c:pt>
                <c:pt idx="13">
                  <c:v>-0.125775000000001</c:v>
                </c:pt>
                <c:pt idx="14">
                  <c:v>-0.102326</c:v>
                </c:pt>
                <c:pt idx="15">
                  <c:v>-0.0961500000000004</c:v>
                </c:pt>
                <c:pt idx="16">
                  <c:v>-0.0793919999999999</c:v>
                </c:pt>
                <c:pt idx="17">
                  <c:v>-0.071927</c:v>
                </c:pt>
                <c:pt idx="18">
                  <c:v>-0.0580122</c:v>
                </c:pt>
                <c:pt idx="19">
                  <c:v>-0.0368714</c:v>
                </c:pt>
                <c:pt idx="20">
                  <c:v>-0.021318</c:v>
                </c:pt>
                <c:pt idx="21">
                  <c:v>-0.00924630000000002</c:v>
                </c:pt>
                <c:pt idx="22">
                  <c:v>-0.00483252</c:v>
                </c:pt>
                <c:pt idx="23">
                  <c:v>0.00202032</c:v>
                </c:pt>
                <c:pt idx="24">
                  <c:v>0.0046464</c:v>
                </c:pt>
                <c:pt idx="25">
                  <c:v>0.00693825</c:v>
                </c:pt>
                <c:pt idx="26">
                  <c:v>0.006905522</c:v>
                </c:pt>
                <c:pt idx="27">
                  <c:v>0.006516612</c:v>
                </c:pt>
                <c:pt idx="28">
                  <c:v>0.004916716</c:v>
                </c:pt>
                <c:pt idx="29">
                  <c:v>0.0036472749</c:v>
                </c:pt>
                <c:pt idx="30">
                  <c:v>0.002554458</c:v>
                </c:pt>
                <c:pt idx="31">
                  <c:v>0.00158398003</c:v>
                </c:pt>
                <c:pt idx="32">
                  <c:v>0.000864274624</c:v>
                </c:pt>
                <c:pt idx="33">
                  <c:v>0.000429719103</c:v>
                </c:pt>
                <c:pt idx="34">
                  <c:v>0.00016405952</c:v>
                </c:pt>
                <c:pt idx="35">
                  <c:v>5.06653E-005</c:v>
                </c:pt>
                <c:pt idx="36">
                  <c:v>1.7371008E-005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depth_stats_stc_new2!$AL$1</c:f>
              <c:strCache>
                <c:ptCount val="1"/>
                <c:pt idx="0">
                  <c:v>w+28m=-0,04150258305493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depth_stats_stc_new2!$AL$2:$AL$65</c:f>
              <c:numCache>
                <c:formatCode>0.00\ %</c:formatCode>
                <c:ptCount val="64"/>
                <c:pt idx="0">
                  <c:v>0</c:v>
                </c:pt>
                <c:pt idx="1">
                  <c:v>1.1438</c:v>
                </c:pt>
                <c:pt idx="2">
                  <c:v>-0.696100000000001</c:v>
                </c:pt>
                <c:pt idx="3">
                  <c:v>-0.705360000000001</c:v>
                </c:pt>
                <c:pt idx="4">
                  <c:v>-0.618039999999997</c:v>
                </c:pt>
                <c:pt idx="5">
                  <c:v>-0.548899999999999</c:v>
                </c:pt>
                <c:pt idx="6">
                  <c:v>-0.526800000000001</c:v>
                </c:pt>
                <c:pt idx="7">
                  <c:v>-0.50918</c:v>
                </c:pt>
                <c:pt idx="8">
                  <c:v>-0.45384</c:v>
                </c:pt>
                <c:pt idx="9">
                  <c:v>-0.40059</c:v>
                </c:pt>
                <c:pt idx="10">
                  <c:v>-0.324900000000001</c:v>
                </c:pt>
                <c:pt idx="11">
                  <c:v>-0.23452</c:v>
                </c:pt>
                <c:pt idx="12">
                  <c:v>-0.176639999999999</c:v>
                </c:pt>
                <c:pt idx="13">
                  <c:v>-0.113035</c:v>
                </c:pt>
                <c:pt idx="14">
                  <c:v>-0.0600600000000002</c:v>
                </c:pt>
                <c:pt idx="15">
                  <c:v>-0.0381299999999998</c:v>
                </c:pt>
                <c:pt idx="16">
                  <c:v>0.0117119999999997</c:v>
                </c:pt>
                <c:pt idx="17">
                  <c:v>0.00547400000000005</c:v>
                </c:pt>
                <c:pt idx="18">
                  <c:v>0.00568260000000004</c:v>
                </c:pt>
                <c:pt idx="19">
                  <c:v>0.0135678999999999</c:v>
                </c:pt>
                <c:pt idx="20">
                  <c:v>0.010834</c:v>
                </c:pt>
                <c:pt idx="21">
                  <c:v>0.0120183</c:v>
                </c:pt>
                <c:pt idx="22">
                  <c:v>0.00899821999999999</c:v>
                </c:pt>
                <c:pt idx="23">
                  <c:v>0.00734297999999999</c:v>
                </c:pt>
                <c:pt idx="24">
                  <c:v>0.00725592</c:v>
                </c:pt>
                <c:pt idx="25">
                  <c:v>0.007118</c:v>
                </c:pt>
                <c:pt idx="26">
                  <c:v>0.00644462</c:v>
                </c:pt>
                <c:pt idx="27">
                  <c:v>0.005074407</c:v>
                </c:pt>
                <c:pt idx="28">
                  <c:v>0.004420556</c:v>
                </c:pt>
                <c:pt idx="29">
                  <c:v>0.0027568589</c:v>
                </c:pt>
                <c:pt idx="30">
                  <c:v>0.001820751</c:v>
                </c:pt>
                <c:pt idx="31">
                  <c:v>0.00099824123</c:v>
                </c:pt>
                <c:pt idx="32">
                  <c:v>0.000434165824</c:v>
                </c:pt>
                <c:pt idx="33">
                  <c:v>8.3174553E-005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3"/>
          <c:order val="23"/>
          <c:tx>
            <c:strRef>
              <c:f>depth_stats_stc_new2!$AT$1</c:f>
              <c:strCache>
                <c:ptCount val="1"/>
                <c:pt idx="0">
                  <c:v>w2=-0,0199503900643099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depth_stats_stc_new2!$AT$2:$AT$65</c:f>
              <c:numCache>
                <c:formatCode>0.00\ %</c:formatCode>
                <c:ptCount val="64"/>
                <c:pt idx="0">
                  <c:v>0</c:v>
                </c:pt>
                <c:pt idx="1">
                  <c:v>1.1968</c:v>
                </c:pt>
                <c:pt idx="2">
                  <c:v>-0.976480000000002</c:v>
                </c:pt>
                <c:pt idx="3">
                  <c:v>-0.869760000000001</c:v>
                </c:pt>
                <c:pt idx="4">
                  <c:v>-0.7014</c:v>
                </c:pt>
                <c:pt idx="5">
                  <c:v>-0.609949999999997</c:v>
                </c:pt>
                <c:pt idx="6">
                  <c:v>-0.5178</c:v>
                </c:pt>
                <c:pt idx="7">
                  <c:v>-0.467670000000002</c:v>
                </c:pt>
                <c:pt idx="8">
                  <c:v>-0.355920000000001</c:v>
                </c:pt>
                <c:pt idx="9">
                  <c:v>-0.236520000000001</c:v>
                </c:pt>
                <c:pt idx="10">
                  <c:v>-0.153000000000001</c:v>
                </c:pt>
                <c:pt idx="11">
                  <c:v>-0.00967999999999991</c:v>
                </c:pt>
                <c:pt idx="12">
                  <c:v>0.0884520000000002</c:v>
                </c:pt>
                <c:pt idx="13">
                  <c:v>0.131312999999999</c:v>
                </c:pt>
                <c:pt idx="14">
                  <c:v>0.147574</c:v>
                </c:pt>
                <c:pt idx="15">
                  <c:v>0.16656</c:v>
                </c:pt>
                <c:pt idx="16">
                  <c:v>0.19016</c:v>
                </c:pt>
                <c:pt idx="17">
                  <c:v>0.182597</c:v>
                </c:pt>
                <c:pt idx="18">
                  <c:v>0.1614312</c:v>
                </c:pt>
                <c:pt idx="19">
                  <c:v>0.141683</c:v>
                </c:pt>
                <c:pt idx="20">
                  <c:v>0.11754</c:v>
                </c:pt>
                <c:pt idx="21">
                  <c:v>0.0970641</c:v>
                </c:pt>
                <c:pt idx="22">
                  <c:v>0.07485786</c:v>
                </c:pt>
                <c:pt idx="23">
                  <c:v>0.05680471</c:v>
                </c:pt>
                <c:pt idx="24">
                  <c:v>0.04152864</c:v>
                </c:pt>
                <c:pt idx="25">
                  <c:v>0.032232</c:v>
                </c:pt>
                <c:pt idx="26">
                  <c:v>0.02375295</c:v>
                </c:pt>
                <c:pt idx="27">
                  <c:v>0.017099424</c:v>
                </c:pt>
                <c:pt idx="28">
                  <c:v>0.0118377</c:v>
                </c:pt>
                <c:pt idx="29">
                  <c:v>0.0087844509</c:v>
                </c:pt>
                <c:pt idx="30">
                  <c:v>0.005745888</c:v>
                </c:pt>
                <c:pt idx="31">
                  <c:v>0.00378996483</c:v>
                </c:pt>
                <c:pt idx="32">
                  <c:v>0.002499842624</c:v>
                </c:pt>
                <c:pt idx="33">
                  <c:v>0.001361041803</c:v>
                </c:pt>
                <c:pt idx="34">
                  <c:v>0.0007919518</c:v>
                </c:pt>
                <c:pt idx="35">
                  <c:v>0.000475559</c:v>
                </c:pt>
                <c:pt idx="36">
                  <c:v>0.00031445136</c:v>
                </c:pt>
                <c:pt idx="37">
                  <c:v>7.181922E-005</c:v>
                </c:pt>
                <c:pt idx="38">
                  <c:v>1.8440032E-005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4"/>
          <c:order val="24"/>
          <c:tx>
            <c:strRef>
              <c:f>depth_stats_stc_new2!$AQ$1</c:f>
              <c:strCache>
                <c:ptCount val="1"/>
                <c:pt idx="0">
                  <c:v>no_scale=0,0287106712418703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depth_stats_stc_new2!$AQ$2:$AQ$65</c:f>
              <c:numCache>
                <c:formatCode>0.00\ %</c:formatCode>
                <c:ptCount val="64"/>
                <c:pt idx="0">
                  <c:v>0</c:v>
                </c:pt>
                <c:pt idx="1">
                  <c:v>-1.1898</c:v>
                </c:pt>
                <c:pt idx="2">
                  <c:v>1.03078</c:v>
                </c:pt>
                <c:pt idx="3">
                  <c:v>0.84882</c:v>
                </c:pt>
                <c:pt idx="4">
                  <c:v>0.577080000000002</c:v>
                </c:pt>
                <c:pt idx="5">
                  <c:v>0.411000000000001</c:v>
                </c:pt>
                <c:pt idx="6">
                  <c:v>0.338160000000001</c:v>
                </c:pt>
                <c:pt idx="7">
                  <c:v>0.323889999999999</c:v>
                </c:pt>
                <c:pt idx="8">
                  <c:v>0.236799999999999</c:v>
                </c:pt>
                <c:pt idx="9">
                  <c:v>0.1062</c:v>
                </c:pt>
                <c:pt idx="10">
                  <c:v>0.00110000000000055</c:v>
                </c:pt>
                <c:pt idx="11">
                  <c:v>0.00967999999999991</c:v>
                </c:pt>
                <c:pt idx="12">
                  <c:v>-0.0377279999999991</c:v>
                </c:pt>
                <c:pt idx="13">
                  <c:v>-0.023322000000001</c:v>
                </c:pt>
                <c:pt idx="14">
                  <c:v>-0.039592</c:v>
                </c:pt>
                <c:pt idx="15">
                  <c:v>-0.0148199999999998</c:v>
                </c:pt>
                <c:pt idx="16">
                  <c:v>0.0171999999999999</c:v>
                </c:pt>
                <c:pt idx="17">
                  <c:v>0.0232729999999999</c:v>
                </c:pt>
                <c:pt idx="18">
                  <c:v>0.0397493999999999</c:v>
                </c:pt>
                <c:pt idx="19">
                  <c:v>0.0389538</c:v>
                </c:pt>
                <c:pt idx="20">
                  <c:v>0.039782</c:v>
                </c:pt>
                <c:pt idx="21">
                  <c:v>0.034272</c:v>
                </c:pt>
                <c:pt idx="22">
                  <c:v>0.02520474</c:v>
                </c:pt>
                <c:pt idx="23">
                  <c:v>0.02075497</c:v>
                </c:pt>
                <c:pt idx="24">
                  <c:v>0.0153684</c:v>
                </c:pt>
                <c:pt idx="25">
                  <c:v>0.012264</c:v>
                </c:pt>
                <c:pt idx="26">
                  <c:v>0.009684844</c:v>
                </c:pt>
                <c:pt idx="27">
                  <c:v>0.006877062</c:v>
                </c:pt>
                <c:pt idx="28">
                  <c:v>0.004472972</c:v>
                </c:pt>
                <c:pt idx="29">
                  <c:v>0.0025957349</c:v>
                </c:pt>
                <c:pt idx="30">
                  <c:v>0.001308519</c:v>
                </c:pt>
                <c:pt idx="31">
                  <c:v>0.00064196753</c:v>
                </c:pt>
                <c:pt idx="32">
                  <c:v>0.000355202624</c:v>
                </c:pt>
                <c:pt idx="33">
                  <c:v>6.0512133E-005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5"/>
          <c:order val="25"/>
          <c:tx>
            <c:strRef>
              <c:f>depth_stats_stc_new2!$AP$1</c:f>
              <c:strCache>
                <c:ptCount val="1"/>
                <c:pt idx="0">
                  <c:v>w+4p=-0,000458933298420394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depth_stats_stc_new2!$AP$2:$AP$65</c:f>
              <c:numCache>
                <c:formatCode>0.00\ %</c:formatCode>
                <c:ptCount val="64"/>
                <c:pt idx="0">
                  <c:v>-0</c:v>
                </c:pt>
                <c:pt idx="1">
                  <c:v>0.273</c:v>
                </c:pt>
                <c:pt idx="2">
                  <c:v>-0.189880000000002</c:v>
                </c:pt>
                <c:pt idx="3">
                  <c:v>-0.13176</c:v>
                </c:pt>
                <c:pt idx="4">
                  <c:v>-0.0781999999999989</c:v>
                </c:pt>
                <c:pt idx="5">
                  <c:v>-0.103549999999997</c:v>
                </c:pt>
                <c:pt idx="6">
                  <c:v>-0.107159999999999</c:v>
                </c:pt>
                <c:pt idx="7">
                  <c:v>-0.108920000000002</c:v>
                </c:pt>
                <c:pt idx="8">
                  <c:v>-0.0516000000000005</c:v>
                </c:pt>
                <c:pt idx="9">
                  <c:v>-0.0584999999999996</c:v>
                </c:pt>
                <c:pt idx="10">
                  <c:v>-0.0175000000000014</c:v>
                </c:pt>
                <c:pt idx="11">
                  <c:v>0.00374000000000008</c:v>
                </c:pt>
                <c:pt idx="12">
                  <c:v>0.0115920000000003</c:v>
                </c:pt>
                <c:pt idx="13">
                  <c:v>0.0197729999999999</c:v>
                </c:pt>
                <c:pt idx="14">
                  <c:v>0.031514</c:v>
                </c:pt>
                <c:pt idx="15">
                  <c:v>0.0464099999999998</c:v>
                </c:pt>
                <c:pt idx="16">
                  <c:v>0.0539039999999997</c:v>
                </c:pt>
                <c:pt idx="17">
                  <c:v>0.0567459999999999</c:v>
                </c:pt>
                <c:pt idx="18">
                  <c:v>0.0537642</c:v>
                </c:pt>
                <c:pt idx="19">
                  <c:v>0.0455145</c:v>
                </c:pt>
                <c:pt idx="20">
                  <c:v>0.038202</c:v>
                </c:pt>
                <c:pt idx="21">
                  <c:v>0.0341208</c:v>
                </c:pt>
                <c:pt idx="22">
                  <c:v>0.02763794</c:v>
                </c:pt>
                <c:pt idx="23">
                  <c:v>0.02223525</c:v>
                </c:pt>
                <c:pt idx="24">
                  <c:v>0.01821288</c:v>
                </c:pt>
                <c:pt idx="25">
                  <c:v>0.01625325</c:v>
                </c:pt>
                <c:pt idx="26">
                  <c:v>0.01274637</c:v>
                </c:pt>
                <c:pt idx="27">
                  <c:v>0.011315619</c:v>
                </c:pt>
                <c:pt idx="28">
                  <c:v>0.008207304</c:v>
                </c:pt>
                <c:pt idx="29">
                  <c:v>0.0056391399</c:v>
                </c:pt>
                <c:pt idx="30">
                  <c:v>0.004089708</c:v>
                </c:pt>
                <c:pt idx="31">
                  <c:v>0.00315080683</c:v>
                </c:pt>
                <c:pt idx="32">
                  <c:v>0.001860805824</c:v>
                </c:pt>
                <c:pt idx="33">
                  <c:v>0.000854660103</c:v>
                </c:pt>
                <c:pt idx="34">
                  <c:v>0.0004153644</c:v>
                </c:pt>
                <c:pt idx="35">
                  <c:v>0.00017103205</c:v>
                </c:pt>
                <c:pt idx="36">
                  <c:v>8.795952E-005</c:v>
                </c:pt>
                <c:pt idx="37">
                  <c:v>1.8080531E-005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6"/>
          <c:order val="26"/>
          <c:tx>
            <c:strRef>
              <c:f>depth_stats_stc_new2!$AN$1</c:f>
              <c:strCache>
                <c:ptCount val="1"/>
                <c:pt idx="0">
                  <c:v>w+3p=-0,00473698274242995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0.2256</c:v>
                </c:pt>
                <c:pt idx="2">
                  <c:v>-0.238720000000001</c:v>
                </c:pt>
                <c:pt idx="3">
                  <c:v>-0.244319999999999</c:v>
                </c:pt>
                <c:pt idx="4">
                  <c:v>-0.17944</c:v>
                </c:pt>
                <c:pt idx="5">
                  <c:v>-0.138449999999999</c:v>
                </c:pt>
                <c:pt idx="6">
                  <c:v>-0.0943199999999997</c:v>
                </c:pt>
                <c:pt idx="7">
                  <c:v>-0.113960000000001</c:v>
                </c:pt>
                <c:pt idx="8">
                  <c:v>-0.0868800000000007</c:v>
                </c:pt>
                <c:pt idx="9">
                  <c:v>-0.08145</c:v>
                </c:pt>
                <c:pt idx="10">
                  <c:v>-0.0317999999999996</c:v>
                </c:pt>
                <c:pt idx="11">
                  <c:v>0.0167199999999996</c:v>
                </c:pt>
                <c:pt idx="12">
                  <c:v>0.0447240000000004</c:v>
                </c:pt>
                <c:pt idx="13">
                  <c:v>0.0660919999999997</c:v>
                </c:pt>
                <c:pt idx="14">
                  <c:v>0.0581279999999998</c:v>
                </c:pt>
                <c:pt idx="15">
                  <c:v>0.0587399999999996</c:v>
                </c:pt>
                <c:pt idx="16">
                  <c:v>0.0640320000000001</c:v>
                </c:pt>
                <c:pt idx="17">
                  <c:v>0.0439959999999999</c:v>
                </c:pt>
                <c:pt idx="18">
                  <c:v>0.0352602</c:v>
                </c:pt>
                <c:pt idx="19">
                  <c:v>0.0307743</c:v>
                </c:pt>
                <c:pt idx="20">
                  <c:v>0.020032</c:v>
                </c:pt>
                <c:pt idx="21">
                  <c:v>0.0164052</c:v>
                </c:pt>
                <c:pt idx="22">
                  <c:v>0.01198076</c:v>
                </c:pt>
                <c:pt idx="23">
                  <c:v>0.00937893999999999</c:v>
                </c:pt>
                <c:pt idx="24">
                  <c:v>0.0079716</c:v>
                </c:pt>
                <c:pt idx="25">
                  <c:v>0.00737925</c:v>
                </c:pt>
                <c:pt idx="26">
                  <c:v>0.005950724</c:v>
                </c:pt>
                <c:pt idx="27">
                  <c:v>0.004677318</c:v>
                </c:pt>
                <c:pt idx="28">
                  <c:v>0.003038812</c:v>
                </c:pt>
                <c:pt idx="29">
                  <c:v>0.0019549219</c:v>
                </c:pt>
                <c:pt idx="30">
                  <c:v>0.00127425</c:v>
                </c:pt>
                <c:pt idx="31">
                  <c:v>0.00087032283</c:v>
                </c:pt>
                <c:pt idx="32">
                  <c:v>0.000387442624</c:v>
                </c:pt>
                <c:pt idx="33">
                  <c:v>0.000207771663</c:v>
                </c:pt>
                <c:pt idx="34">
                  <c:v>6.591274E-005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7"/>
          <c:order val="27"/>
          <c:tx>
            <c:strRef>
              <c:f>depth_stats_stc_new2!$AM$1</c:f>
              <c:strCache>
                <c:ptCount val="1"/>
                <c:pt idx="0">
                  <c:v>w+2p=-0,01176668611983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0.166</c:v>
                </c:pt>
                <c:pt idx="2">
                  <c:v>-0.0945800000000006</c:v>
                </c:pt>
                <c:pt idx="3">
                  <c:v>-0.1029</c:v>
                </c:pt>
                <c:pt idx="4">
                  <c:v>-0.0853999999999999</c:v>
                </c:pt>
                <c:pt idx="5">
                  <c:v>-0.110949999999996</c:v>
                </c:pt>
                <c:pt idx="6">
                  <c:v>-0.100679999999999</c:v>
                </c:pt>
                <c:pt idx="7">
                  <c:v>-0.163520000000002</c:v>
                </c:pt>
                <c:pt idx="8">
                  <c:v>-0.123999999999999</c:v>
                </c:pt>
                <c:pt idx="9">
                  <c:v>-0.07839</c:v>
                </c:pt>
                <c:pt idx="10">
                  <c:v>-0.0900999999999996</c:v>
                </c:pt>
                <c:pt idx="11">
                  <c:v>-0.0541200000000004</c:v>
                </c:pt>
                <c:pt idx="12">
                  <c:v>-0.0310679999999994</c:v>
                </c:pt>
                <c:pt idx="13">
                  <c:v>-0.0543140000000002</c:v>
                </c:pt>
                <c:pt idx="14">
                  <c:v>-0.0637140000000004</c:v>
                </c:pt>
                <c:pt idx="15">
                  <c:v>-0.0532199999999999</c:v>
                </c:pt>
                <c:pt idx="16">
                  <c:v>-0.0352480000000002</c:v>
                </c:pt>
                <c:pt idx="17">
                  <c:v>-0.0345950000000002</c:v>
                </c:pt>
                <c:pt idx="18">
                  <c:v>-0.0215226</c:v>
                </c:pt>
                <c:pt idx="19">
                  <c:v>-0.0120612000000001</c:v>
                </c:pt>
                <c:pt idx="20">
                  <c:v>-0.0100040000000001</c:v>
                </c:pt>
                <c:pt idx="21">
                  <c:v>-0.0073605</c:v>
                </c:pt>
                <c:pt idx="22">
                  <c:v>-0.00725736000000001</c:v>
                </c:pt>
                <c:pt idx="23">
                  <c:v>-0.00459011</c:v>
                </c:pt>
                <c:pt idx="24">
                  <c:v>-0.00285288</c:v>
                </c:pt>
                <c:pt idx="25">
                  <c:v>-0.00115125</c:v>
                </c:pt>
                <c:pt idx="26">
                  <c:v>-0.00027443</c:v>
                </c:pt>
                <c:pt idx="27">
                  <c:v>0.000419445</c:v>
                </c:pt>
                <c:pt idx="28">
                  <c:v>0.000442568</c:v>
                </c:pt>
                <c:pt idx="29">
                  <c:v>0.0002131065</c:v>
                </c:pt>
                <c:pt idx="30">
                  <c:v>-9.56100000000003E-006</c:v>
                </c:pt>
                <c:pt idx="31">
                  <c:v>0.00012344107</c:v>
                </c:pt>
                <c:pt idx="32">
                  <c:v>3.1855744E-005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8"/>
          <c:order val="28"/>
          <c:tx>
            <c:strRef>
              <c:f>depth_stats_stc_new2!$AK$1</c:f>
              <c:strCache>
                <c:ptCount val="1"/>
                <c:pt idx="0">
                  <c:v>w+128p/rd=-0,00559523282452989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0.5533</c:v>
                </c:pt>
                <c:pt idx="2">
                  <c:v>-0.422440000000002</c:v>
                </c:pt>
                <c:pt idx="3">
                  <c:v>-0.37824</c:v>
                </c:pt>
                <c:pt idx="4">
                  <c:v>-0.315439999999999</c:v>
                </c:pt>
                <c:pt idx="5">
                  <c:v>-0.287549999999999</c:v>
                </c:pt>
                <c:pt idx="6">
                  <c:v>-0.25944</c:v>
                </c:pt>
                <c:pt idx="7">
                  <c:v>-0.209930000000001</c:v>
                </c:pt>
                <c:pt idx="8">
                  <c:v>-0.11544</c:v>
                </c:pt>
                <c:pt idx="9">
                  <c:v>-0.0967500000000003</c:v>
                </c:pt>
                <c:pt idx="10">
                  <c:v>0.027299999999999</c:v>
                </c:pt>
                <c:pt idx="11">
                  <c:v>0.0915200000000012</c:v>
                </c:pt>
                <c:pt idx="12">
                  <c:v>0.0830520000000008</c:v>
                </c:pt>
                <c:pt idx="13">
                  <c:v>0.0949519999999997</c:v>
                </c:pt>
                <c:pt idx="14">
                  <c:v>0.074186</c:v>
                </c:pt>
                <c:pt idx="15">
                  <c:v>0.0721650000000002</c:v>
                </c:pt>
                <c:pt idx="16">
                  <c:v>0.0716959999999998</c:v>
                </c:pt>
                <c:pt idx="17">
                  <c:v>0.04981</c:v>
                </c:pt>
                <c:pt idx="18">
                  <c:v>0.0501479999999999</c:v>
                </c:pt>
                <c:pt idx="19">
                  <c:v>0.0496755</c:v>
                </c:pt>
                <c:pt idx="20">
                  <c:v>0.045824</c:v>
                </c:pt>
                <c:pt idx="21">
                  <c:v>0.0433167</c:v>
                </c:pt>
                <c:pt idx="22">
                  <c:v>0.0406725</c:v>
                </c:pt>
                <c:pt idx="23">
                  <c:v>0.03631976</c:v>
                </c:pt>
                <c:pt idx="24">
                  <c:v>0.0340524</c:v>
                </c:pt>
                <c:pt idx="25">
                  <c:v>0.02891825</c:v>
                </c:pt>
                <c:pt idx="26">
                  <c:v>0.02443753</c:v>
                </c:pt>
                <c:pt idx="27">
                  <c:v>0.018528669</c:v>
                </c:pt>
                <c:pt idx="28">
                  <c:v>0.0134568</c:v>
                </c:pt>
                <c:pt idx="29">
                  <c:v>0.0093405839</c:v>
                </c:pt>
                <c:pt idx="30">
                  <c:v>0.005732328</c:v>
                </c:pt>
                <c:pt idx="31">
                  <c:v>0.00339831083</c:v>
                </c:pt>
                <c:pt idx="32">
                  <c:v>0.001912745024</c:v>
                </c:pt>
                <c:pt idx="33">
                  <c:v>0.000953392803</c:v>
                </c:pt>
                <c:pt idx="34">
                  <c:v>0.0005587118</c:v>
                </c:pt>
                <c:pt idx="35">
                  <c:v>0.00022657215</c:v>
                </c:pt>
                <c:pt idx="36">
                  <c:v>0.00017926596</c:v>
                </c:pt>
                <c:pt idx="37">
                  <c:v>7.369808E-005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9"/>
          <c:order val="29"/>
          <c:tx>
            <c:strRef>
              <c:f>depth_stats_stc_new2!$AJ$1</c:f>
              <c:strCache>
                <c:ptCount val="1"/>
                <c:pt idx="0">
                  <c:v>w+256p/rd=-0,0381900025648303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depth_stats_stc_new2!$AJ$2:$AJ$65</c:f>
              <c:numCache>
                <c:formatCode>0.00\ %</c:formatCode>
                <c:ptCount val="64"/>
                <c:pt idx="0">
                  <c:v>0</c:v>
                </c:pt>
                <c:pt idx="1">
                  <c:v>1.125</c:v>
                </c:pt>
                <c:pt idx="2">
                  <c:v>-0.731540000000003</c:v>
                </c:pt>
                <c:pt idx="3">
                  <c:v>-0.73473</c:v>
                </c:pt>
                <c:pt idx="4">
                  <c:v>-0.681159999999998</c:v>
                </c:pt>
                <c:pt idx="5">
                  <c:v>-0.648049999999998</c:v>
                </c:pt>
                <c:pt idx="6">
                  <c:v>-0.5673</c:v>
                </c:pt>
                <c:pt idx="7">
                  <c:v>-0.547190000000001</c:v>
                </c:pt>
                <c:pt idx="8">
                  <c:v>-0.44416</c:v>
                </c:pt>
                <c:pt idx="9">
                  <c:v>-0.36702</c:v>
                </c:pt>
                <c:pt idx="10">
                  <c:v>-0.245500000000001</c:v>
                </c:pt>
                <c:pt idx="11">
                  <c:v>-0.150149999999999</c:v>
                </c:pt>
                <c:pt idx="12">
                  <c:v>-0.0797519999999992</c:v>
                </c:pt>
                <c:pt idx="13">
                  <c:v>-0.0630370000000013</c:v>
                </c:pt>
                <c:pt idx="14">
                  <c:v>-0.0263200000000007</c:v>
                </c:pt>
                <c:pt idx="15">
                  <c:v>-0.0112500000000004</c:v>
                </c:pt>
                <c:pt idx="16">
                  <c:v>0.016032</c:v>
                </c:pt>
                <c:pt idx="17">
                  <c:v>0.023562</c:v>
                </c:pt>
                <c:pt idx="18">
                  <c:v>0.0301410000000002</c:v>
                </c:pt>
                <c:pt idx="19">
                  <c:v>0.0326952</c:v>
                </c:pt>
                <c:pt idx="20">
                  <c:v>0.037446</c:v>
                </c:pt>
                <c:pt idx="21">
                  <c:v>0.0373947</c:v>
                </c:pt>
                <c:pt idx="22">
                  <c:v>0.03347894</c:v>
                </c:pt>
                <c:pt idx="23">
                  <c:v>0.02859498</c:v>
                </c:pt>
                <c:pt idx="24">
                  <c:v>0.02619456</c:v>
                </c:pt>
                <c:pt idx="25">
                  <c:v>0.02144875</c:v>
                </c:pt>
                <c:pt idx="26">
                  <c:v>0.01763437</c:v>
                </c:pt>
                <c:pt idx="27">
                  <c:v>0.0142857</c:v>
                </c:pt>
                <c:pt idx="28">
                  <c:v>0.010194016</c:v>
                </c:pt>
                <c:pt idx="29">
                  <c:v>0.0077666089</c:v>
                </c:pt>
                <c:pt idx="30">
                  <c:v>0.006155628</c:v>
                </c:pt>
                <c:pt idx="31">
                  <c:v>0.00373583883</c:v>
                </c:pt>
                <c:pt idx="32">
                  <c:v>0.002659775424</c:v>
                </c:pt>
                <c:pt idx="33">
                  <c:v>0.001850204103</c:v>
                </c:pt>
                <c:pt idx="34">
                  <c:v>0.001070133</c:v>
                </c:pt>
                <c:pt idx="35">
                  <c:v>0.0005508055</c:v>
                </c:pt>
                <c:pt idx="36">
                  <c:v>0.00019474884</c:v>
                </c:pt>
                <c:pt idx="37">
                  <c:v>7.278492E-005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0"/>
          <c:order val="30"/>
          <c:tx>
            <c:strRef>
              <c:f>depth_stats_stc_new2!$AU$1</c:f>
              <c:strCache>
                <c:ptCount val="1"/>
                <c:pt idx="0">
                  <c:v>w+p-14=-0,00440459971208984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0.0640999999999998</c:v>
                </c:pt>
                <c:pt idx="2">
                  <c:v>-0.00996000000000308</c:v>
                </c:pt>
                <c:pt idx="3">
                  <c:v>-0.0268500000000014</c:v>
                </c:pt>
                <c:pt idx="4">
                  <c:v>-0.00611999999999924</c:v>
                </c:pt>
                <c:pt idx="5">
                  <c:v>0.0200500000000003</c:v>
                </c:pt>
                <c:pt idx="6">
                  <c:v>0.0165599999999992</c:v>
                </c:pt>
                <c:pt idx="7">
                  <c:v>-0.0062300000000004</c:v>
                </c:pt>
                <c:pt idx="8">
                  <c:v>0.00247999999999848</c:v>
                </c:pt>
                <c:pt idx="9">
                  <c:v>-0.0118799999999999</c:v>
                </c:pt>
                <c:pt idx="10">
                  <c:v>-0.0483999999999996</c:v>
                </c:pt>
                <c:pt idx="11">
                  <c:v>-0.0122099999999994</c:v>
                </c:pt>
                <c:pt idx="12">
                  <c:v>-0.0166679999999997</c:v>
                </c:pt>
                <c:pt idx="13">
                  <c:v>-0.0341120000000009</c:v>
                </c:pt>
                <c:pt idx="14">
                  <c:v>-0.0477400000000003</c:v>
                </c:pt>
                <c:pt idx="15">
                  <c:v>-0.0588600000000006</c:v>
                </c:pt>
                <c:pt idx="16">
                  <c:v>-0.0552640000000002</c:v>
                </c:pt>
                <c:pt idx="17">
                  <c:v>-0.0545700000000001</c:v>
                </c:pt>
                <c:pt idx="18">
                  <c:v>-0.048069</c:v>
                </c:pt>
                <c:pt idx="19">
                  <c:v>-0.0357998000000001</c:v>
                </c:pt>
                <c:pt idx="20">
                  <c:v>-0.02733</c:v>
                </c:pt>
                <c:pt idx="21">
                  <c:v>-0.0240345</c:v>
                </c:pt>
                <c:pt idx="22">
                  <c:v>-0.01708124</c:v>
                </c:pt>
                <c:pt idx="23">
                  <c:v>-0.01083139</c:v>
                </c:pt>
                <c:pt idx="24">
                  <c:v>-0.00492216000000001</c:v>
                </c:pt>
                <c:pt idx="25">
                  <c:v>-0.0015445</c:v>
                </c:pt>
                <c:pt idx="26">
                  <c:v>0.001266252</c:v>
                </c:pt>
                <c:pt idx="27">
                  <c:v>0.001590894</c:v>
                </c:pt>
                <c:pt idx="28">
                  <c:v>0.002317028</c:v>
                </c:pt>
                <c:pt idx="29">
                  <c:v>0.0024608559</c:v>
                </c:pt>
                <c:pt idx="30">
                  <c:v>0.002201388</c:v>
                </c:pt>
                <c:pt idx="31">
                  <c:v>0.00182997433</c:v>
                </c:pt>
                <c:pt idx="32">
                  <c:v>0.001148895424</c:v>
                </c:pt>
                <c:pt idx="33">
                  <c:v>0.000973747203</c:v>
                </c:pt>
                <c:pt idx="34">
                  <c:v>0.0005851774</c:v>
                </c:pt>
                <c:pt idx="35">
                  <c:v>0.00030980005</c:v>
                </c:pt>
                <c:pt idx="36">
                  <c:v>0.00010621728</c:v>
                </c:pt>
                <c:pt idx="37">
                  <c:v>3.6389204E-005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92542379"/>
        <c:axId val="70339582"/>
      </c:scatterChart>
      <c:valAx>
        <c:axId val="9254237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70339582"/>
        <c:crosses val="autoZero"/>
        <c:crossBetween val="between"/>
      </c:valAx>
      <c:valAx>
        <c:axId val="7033958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\ %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92542379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3868329585"/>
          <c:y val="0.689177426374583"/>
          <c:w val="0.923369454099366"/>
          <c:h val="0.29798346148266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depth_stats_ltc_new!$K$1</c:f>
              <c:strCache>
                <c:ptCount val="1"/>
                <c:pt idx="0">
                  <c:v>master_old=2,9153558107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depth_stats_ltc_new!$K$2:$K$33</c:f>
              <c:numCache>
                <c:formatCode>0.00\ %</c:formatCode>
                <c:ptCount val="32"/>
                <c:pt idx="0">
                  <c:v>0.0178114866635362</c:v>
                </c:pt>
                <c:pt idx="1">
                  <c:v>0.00403712695833924</c:v>
                </c:pt>
                <c:pt idx="2">
                  <c:v>0.00777836985729596</c:v>
                </c:pt>
                <c:pt idx="3">
                  <c:v>0.0132819226906982</c:v>
                </c:pt>
                <c:pt idx="4">
                  <c:v>-0.000753301690025632</c:v>
                </c:pt>
                <c:pt idx="5">
                  <c:v>-0.026816363274953</c:v>
                </c:pt>
                <c:pt idx="6">
                  <c:v>-0.0444917843465427</c:v>
                </c:pt>
                <c:pt idx="7">
                  <c:v>-0.0492268387003705</c:v>
                </c:pt>
                <c:pt idx="8">
                  <c:v>-0.0378081930295061</c:v>
                </c:pt>
                <c:pt idx="9">
                  <c:v>-0.022702176460234</c:v>
                </c:pt>
                <c:pt idx="10">
                  <c:v>-0.0112553435366719</c:v>
                </c:pt>
                <c:pt idx="11">
                  <c:v>-0.000416666672694854</c:v>
                </c:pt>
                <c:pt idx="12">
                  <c:v>-0.00550475256304554</c:v>
                </c:pt>
                <c:pt idx="13">
                  <c:v>-0.0207215213982717</c:v>
                </c:pt>
                <c:pt idx="14">
                  <c:v>-0.0394202486477018</c:v>
                </c:pt>
                <c:pt idx="15">
                  <c:v>-0.0584996286424508</c:v>
                </c:pt>
                <c:pt idx="16">
                  <c:v>-0.068528078042329</c:v>
                </c:pt>
                <c:pt idx="17">
                  <c:v>-0.0731788299751202</c:v>
                </c:pt>
                <c:pt idx="18">
                  <c:v>-0.0693250817756039</c:v>
                </c:pt>
                <c:pt idx="19">
                  <c:v>-0.0594914913950704</c:v>
                </c:pt>
                <c:pt idx="20">
                  <c:v>-0.043359261482764</c:v>
                </c:pt>
                <c:pt idx="21">
                  <c:v>-0.0239234829844839</c:v>
                </c:pt>
                <c:pt idx="22">
                  <c:v>-8.75569985101521E-005</c:v>
                </c:pt>
                <c:pt idx="23">
                  <c:v>0.0318626202386163</c:v>
                </c:pt>
                <c:pt idx="24">
                  <c:v>0.0661291610831603</c:v>
                </c:pt>
                <c:pt idx="25">
                  <c:v>0.102177903367762</c:v>
                </c:pt>
                <c:pt idx="26">
                  <c:v>0.145183585678521</c:v>
                </c:pt>
                <c:pt idx="27">
                  <c:v>0.196661789598448</c:v>
                </c:pt>
                <c:pt idx="28">
                  <c:v>0.249892263440537</c:v>
                </c:pt>
                <c:pt idx="29">
                  <c:v>0.325517275707599</c:v>
                </c:pt>
                <c:pt idx="30">
                  <c:v>0.407392474546374</c:v>
                </c:pt>
                <c:pt idx="31">
                  <c:v>0.494486116546997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depth_stats_ltc_new!$U$1</c:f>
              <c:strCache>
                <c:ptCount val="1"/>
                <c:pt idx="0">
                  <c:v>n%(w+14m)=0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depth_stats_ltc_new!$U$2:$U$33</c:f>
              <c:numCache>
                <c:formatCode>0.00\ %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depth_stats_ltc_new!$S$1</c:f>
              <c:strCache>
                <c:ptCount val="1"/>
                <c:pt idx="0">
                  <c:v>n%(w+28m)=2,9160552117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depth_stats_ltc_new!$S$2:$S$33</c:f>
              <c:numCache>
                <c:formatCode>0.00\ %</c:formatCode>
                <c:ptCount val="32"/>
                <c:pt idx="0">
                  <c:v>0.000329369918329103</c:v>
                </c:pt>
                <c:pt idx="1">
                  <c:v>0.0388077956591033</c:v>
                </c:pt>
                <c:pt idx="2">
                  <c:v>-0.0239282780600676</c:v>
                </c:pt>
                <c:pt idx="3">
                  <c:v>-0.019221805345353</c:v>
                </c:pt>
                <c:pt idx="4">
                  <c:v>-0.0181600782916715</c:v>
                </c:pt>
                <c:pt idx="5">
                  <c:v>-0.0192733196882167</c:v>
                </c:pt>
                <c:pt idx="6">
                  <c:v>-0.020493656958896</c:v>
                </c:pt>
                <c:pt idx="7">
                  <c:v>-0.0256630297335907</c:v>
                </c:pt>
                <c:pt idx="8">
                  <c:v>-0.032988546627221</c:v>
                </c:pt>
                <c:pt idx="9">
                  <c:v>-0.0457009806666782</c:v>
                </c:pt>
                <c:pt idx="10">
                  <c:v>-0.0508868348012332</c:v>
                </c:pt>
                <c:pt idx="11">
                  <c:v>-0.0529394207921361</c:v>
                </c:pt>
                <c:pt idx="12">
                  <c:v>-0.0462991478064</c:v>
                </c:pt>
                <c:pt idx="13">
                  <c:v>-0.0339784554767874</c:v>
                </c:pt>
                <c:pt idx="14">
                  <c:v>-0.0190608650030222</c:v>
                </c:pt>
                <c:pt idx="15">
                  <c:v>-0.00781991253974468</c:v>
                </c:pt>
                <c:pt idx="16">
                  <c:v>0.00159642618277367</c:v>
                </c:pt>
                <c:pt idx="17">
                  <c:v>0.00769650137739153</c:v>
                </c:pt>
                <c:pt idx="18">
                  <c:v>0.014015764269482</c:v>
                </c:pt>
                <c:pt idx="19">
                  <c:v>0.0228683650564827</c:v>
                </c:pt>
                <c:pt idx="20">
                  <c:v>0.0341184525000497</c:v>
                </c:pt>
                <c:pt idx="21">
                  <c:v>0.047184399356119</c:v>
                </c:pt>
                <c:pt idx="22">
                  <c:v>0.0616359862732745</c:v>
                </c:pt>
                <c:pt idx="23">
                  <c:v>0.0810670557880959</c:v>
                </c:pt>
                <c:pt idx="24">
                  <c:v>0.104692172458713</c:v>
                </c:pt>
                <c:pt idx="25">
                  <c:v>0.126243785501768</c:v>
                </c:pt>
                <c:pt idx="26">
                  <c:v>0.150980646209214</c:v>
                </c:pt>
                <c:pt idx="27">
                  <c:v>0.178518829714307</c:v>
                </c:pt>
                <c:pt idx="28">
                  <c:v>0.212735582277159</c:v>
                </c:pt>
                <c:pt idx="29">
                  <c:v>0.25570207362592</c:v>
                </c:pt>
                <c:pt idx="30">
                  <c:v>0.294876940781485</c:v>
                </c:pt>
                <c:pt idx="31">
                  <c:v>0.32877145878948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depth_stats_ltc_new!$M$1</c:f>
              <c:strCache>
                <c:ptCount val="1"/>
                <c:pt idx="0">
                  <c:v>n%(w+6)=2,9251105874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depth_stats_ltc_new!$M$2:$M$33</c:f>
              <c:numCache>
                <c:formatCode>0.00\ %</c:formatCode>
                <c:ptCount val="32"/>
                <c:pt idx="0">
                  <c:v>0.00861693399175767</c:v>
                </c:pt>
                <c:pt idx="1">
                  <c:v>0.0137762750299388</c:v>
                </c:pt>
                <c:pt idx="2">
                  <c:v>-0.00064874974846596</c:v>
                </c:pt>
                <c:pt idx="3">
                  <c:v>-0.00448380334012022</c:v>
                </c:pt>
                <c:pt idx="4">
                  <c:v>-0.00768193667486794</c:v>
                </c:pt>
                <c:pt idx="5">
                  <c:v>-0.0107405818195152</c:v>
                </c:pt>
                <c:pt idx="6">
                  <c:v>-0.0129832088796527</c:v>
                </c:pt>
                <c:pt idx="7">
                  <c:v>-0.0170191365162571</c:v>
                </c:pt>
                <c:pt idx="8">
                  <c:v>-0.0238962795111546</c:v>
                </c:pt>
                <c:pt idx="9">
                  <c:v>-0.036628410145608</c:v>
                </c:pt>
                <c:pt idx="10">
                  <c:v>-0.0420768379081183</c:v>
                </c:pt>
                <c:pt idx="11">
                  <c:v>-0.0458160451130907</c:v>
                </c:pt>
                <c:pt idx="12">
                  <c:v>-0.0422346652613313</c:v>
                </c:pt>
                <c:pt idx="13">
                  <c:v>-0.0338400576049281</c:v>
                </c:pt>
                <c:pt idx="14">
                  <c:v>-0.0243616686586515</c:v>
                </c:pt>
                <c:pt idx="15">
                  <c:v>-0.0190832499977153</c:v>
                </c:pt>
                <c:pt idx="16">
                  <c:v>-0.0161264616463241</c:v>
                </c:pt>
                <c:pt idx="17">
                  <c:v>-0.0139696922250434</c:v>
                </c:pt>
                <c:pt idx="18">
                  <c:v>-0.012083377277891</c:v>
                </c:pt>
                <c:pt idx="19">
                  <c:v>-0.0079423498147424</c:v>
                </c:pt>
                <c:pt idx="20">
                  <c:v>0.00103041830035311</c:v>
                </c:pt>
                <c:pt idx="21">
                  <c:v>0.0143595174786118</c:v>
                </c:pt>
                <c:pt idx="22">
                  <c:v>0.0327376463156521</c:v>
                </c:pt>
                <c:pt idx="23">
                  <c:v>0.0612375586456828</c:v>
                </c:pt>
                <c:pt idx="24">
                  <c:v>0.0947863425534972</c:v>
                </c:pt>
                <c:pt idx="25">
                  <c:v>0.133270717701675</c:v>
                </c:pt>
                <c:pt idx="26">
                  <c:v>0.182486933724174</c:v>
                </c:pt>
                <c:pt idx="27">
                  <c:v>0.238578487419583</c:v>
                </c:pt>
                <c:pt idx="28">
                  <c:v>0.291312487134426</c:v>
                </c:pt>
                <c:pt idx="29">
                  <c:v>0.358800843072534</c:v>
                </c:pt>
                <c:pt idx="30">
                  <c:v>0.421540690773673</c:v>
                </c:pt>
                <c:pt idx="31">
                  <c:v>0.470962652944801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depth_stats_ltc_new!$O$1</c:f>
              <c:strCache>
                <c:ptCount val="1"/>
                <c:pt idx="0">
                  <c:v>n%(w+4)=2,9654215765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depth_stats_ltc_new!$O$2:$O$33</c:f>
              <c:numCache>
                <c:formatCode>0.00\ %</c:formatCode>
                <c:ptCount val="32"/>
                <c:pt idx="0">
                  <c:v>-0.000798688022978666</c:v>
                </c:pt>
                <c:pt idx="1">
                  <c:v>-0.0087527753458696</c:v>
                </c:pt>
                <c:pt idx="2">
                  <c:v>0.000458879353177899</c:v>
                </c:pt>
                <c:pt idx="3">
                  <c:v>0.00959275083480193</c:v>
                </c:pt>
                <c:pt idx="4">
                  <c:v>0.0180686600570117</c:v>
                </c:pt>
                <c:pt idx="5">
                  <c:v>0.0278042561603327</c:v>
                </c:pt>
                <c:pt idx="6">
                  <c:v>0.0336257064337213</c:v>
                </c:pt>
                <c:pt idx="7">
                  <c:v>0.0228764552009735</c:v>
                </c:pt>
                <c:pt idx="8">
                  <c:v>0.00510191671171334</c:v>
                </c:pt>
                <c:pt idx="9">
                  <c:v>-0.0195222700220222</c:v>
                </c:pt>
                <c:pt idx="10">
                  <c:v>-0.0369001753617212</c:v>
                </c:pt>
                <c:pt idx="11">
                  <c:v>-0.045545392839463</c:v>
                </c:pt>
                <c:pt idx="12">
                  <c:v>-0.0456094133268199</c:v>
                </c:pt>
                <c:pt idx="13">
                  <c:v>-0.0406777695003085</c:v>
                </c:pt>
                <c:pt idx="14">
                  <c:v>-0.0346360604322143</c:v>
                </c:pt>
                <c:pt idx="15">
                  <c:v>-0.029343625539538</c:v>
                </c:pt>
                <c:pt idx="16">
                  <c:v>-0.0239953700882445</c:v>
                </c:pt>
                <c:pt idx="17">
                  <c:v>-0.018234959579154</c:v>
                </c:pt>
                <c:pt idx="18">
                  <c:v>-0.0105967004446474</c:v>
                </c:pt>
                <c:pt idx="19">
                  <c:v>-0.000755170642798841</c:v>
                </c:pt>
                <c:pt idx="20">
                  <c:v>0.0121804052506587</c:v>
                </c:pt>
                <c:pt idx="21">
                  <c:v>0.027238892422933</c:v>
                </c:pt>
                <c:pt idx="22">
                  <c:v>0.047927206731726</c:v>
                </c:pt>
                <c:pt idx="23">
                  <c:v>0.0762938821680157</c:v>
                </c:pt>
                <c:pt idx="24">
                  <c:v>0.110029976467986</c:v>
                </c:pt>
                <c:pt idx="25">
                  <c:v>0.144481413164857</c:v>
                </c:pt>
                <c:pt idx="26">
                  <c:v>0.184770452475558</c:v>
                </c:pt>
                <c:pt idx="27">
                  <c:v>0.226647135250142</c:v>
                </c:pt>
                <c:pt idx="28">
                  <c:v>0.275041299430256</c:v>
                </c:pt>
                <c:pt idx="29">
                  <c:v>0.336403138115149</c:v>
                </c:pt>
                <c:pt idx="30">
                  <c:v>0.38998094569373</c:v>
                </c:pt>
                <c:pt idx="31">
                  <c:v>0.433387334723603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depth_stats_ltc_new!$Q$1</c:f>
              <c:strCache>
                <c:ptCount val="1"/>
                <c:pt idx="0">
                  <c:v>n%(w+5)=2,9580371643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depth_stats_ltc_new!$Q$2:$Q$33</c:f>
              <c:numCache>
                <c:formatCode>0.00\ %</c:formatCode>
                <c:ptCount val="32"/>
                <c:pt idx="0">
                  <c:v>0.00143680689599313</c:v>
                </c:pt>
                <c:pt idx="1">
                  <c:v>0.00741035261842393</c:v>
                </c:pt>
                <c:pt idx="2">
                  <c:v>-0.00280672197338339</c:v>
                </c:pt>
                <c:pt idx="3">
                  <c:v>-0.0019132052143731</c:v>
                </c:pt>
                <c:pt idx="4">
                  <c:v>-0.0017697276329256</c:v>
                </c:pt>
                <c:pt idx="5">
                  <c:v>-0.00178555238352618</c:v>
                </c:pt>
                <c:pt idx="6">
                  <c:v>-0.00304913104993632</c:v>
                </c:pt>
                <c:pt idx="7">
                  <c:v>-0.00667821513864242</c:v>
                </c:pt>
                <c:pt idx="8">
                  <c:v>-0.0124586630356263</c:v>
                </c:pt>
                <c:pt idx="9">
                  <c:v>-0.0236938600299754</c:v>
                </c:pt>
                <c:pt idx="10">
                  <c:v>-0.0267145717308667</c:v>
                </c:pt>
                <c:pt idx="11">
                  <c:v>-0.0282560434749672</c:v>
                </c:pt>
                <c:pt idx="12">
                  <c:v>-0.0227365591715485</c:v>
                </c:pt>
                <c:pt idx="13">
                  <c:v>-0.0122332998351375</c:v>
                </c:pt>
                <c:pt idx="14">
                  <c:v>-0.000643244884320104</c:v>
                </c:pt>
                <c:pt idx="15">
                  <c:v>0.00849297853508346</c:v>
                </c:pt>
                <c:pt idx="16">
                  <c:v>0.0150754474256323</c:v>
                </c:pt>
                <c:pt idx="17">
                  <c:v>0.0197441393348003</c:v>
                </c:pt>
                <c:pt idx="18">
                  <c:v>0.0257683796709491</c:v>
                </c:pt>
                <c:pt idx="19">
                  <c:v>0.0335918465787111</c:v>
                </c:pt>
                <c:pt idx="20">
                  <c:v>0.0442599763217313</c:v>
                </c:pt>
                <c:pt idx="21">
                  <c:v>0.0578978441258071</c:v>
                </c:pt>
                <c:pt idx="22">
                  <c:v>0.0734053251476272</c:v>
                </c:pt>
                <c:pt idx="23">
                  <c:v>0.0969891194059631</c:v>
                </c:pt>
                <c:pt idx="24">
                  <c:v>0.121503617975683</c:v>
                </c:pt>
                <c:pt idx="25">
                  <c:v>0.145468234927568</c:v>
                </c:pt>
                <c:pt idx="26">
                  <c:v>0.174482109151492</c:v>
                </c:pt>
                <c:pt idx="27">
                  <c:v>0.211083509396749</c:v>
                </c:pt>
                <c:pt idx="28">
                  <c:v>0.251882728385081</c:v>
                </c:pt>
                <c:pt idx="29">
                  <c:v>0.316519115215162</c:v>
                </c:pt>
                <c:pt idx="30">
                  <c:v>0.388388889761568</c:v>
                </c:pt>
                <c:pt idx="31">
                  <c:v>0.476049187430727</c:v>
                </c:pt>
              </c:numCache>
            </c:numRef>
          </c:yVal>
          <c:smooth val="1"/>
        </c:ser>
        <c:axId val="71686511"/>
        <c:axId val="19985975"/>
      </c:scatterChart>
      <c:valAx>
        <c:axId val="71686511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9985975"/>
        <c:crosses val="autoZero"/>
        <c:crossBetween val="midCat"/>
      </c:valAx>
      <c:valAx>
        <c:axId val="1998597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71686511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depth_stats_ltc_new!$L$1</c:f>
              <c:strCache>
                <c:ptCount val="1"/>
                <c:pt idx="0">
                  <c:v>master_old=2,9153558107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depth_stats_ltc_new!$L$2:$L$33</c:f>
              <c:numCache>
                <c:formatCode>0.00\ %</c:formatCode>
                <c:ptCount val="32"/>
                <c:pt idx="0">
                  <c:v>0.463699999999999</c:v>
                </c:pt>
                <c:pt idx="1">
                  <c:v>0.1128</c:v>
                </c:pt>
                <c:pt idx="2">
                  <c:v>0.0655000000000001</c:v>
                </c:pt>
                <c:pt idx="3">
                  <c:v>0.10269</c:v>
                </c:pt>
                <c:pt idx="4">
                  <c:v>-0.00473999999999997</c:v>
                </c:pt>
                <c:pt idx="5">
                  <c:v>-0.12815</c:v>
                </c:pt>
                <c:pt idx="6">
                  <c:v>-0.16409</c:v>
                </c:pt>
                <c:pt idx="7">
                  <c:v>-0.15112</c:v>
                </c:pt>
                <c:pt idx="8">
                  <c:v>-0.0977799999999998</c:v>
                </c:pt>
                <c:pt idx="9">
                  <c:v>-0.04888</c:v>
                </c:pt>
                <c:pt idx="10">
                  <c:v>-0.01959</c:v>
                </c:pt>
                <c:pt idx="11">
                  <c:v>-0.000580000000000025</c:v>
                </c:pt>
                <c:pt idx="12">
                  <c:v>-0.00600000000000001</c:v>
                </c:pt>
                <c:pt idx="13">
                  <c:v>-0.017169</c:v>
                </c:pt>
                <c:pt idx="14">
                  <c:v>-0.024465</c:v>
                </c:pt>
                <c:pt idx="15">
                  <c:v>-0.026808</c:v>
                </c:pt>
                <c:pt idx="16">
                  <c:v>-0.023049</c:v>
                </c:pt>
                <c:pt idx="17">
                  <c:v>-0.017956</c:v>
                </c:pt>
                <c:pt idx="18">
                  <c:v>-0.012257</c:v>
                </c:pt>
                <c:pt idx="19">
                  <c:v>-0.00749799999999999</c:v>
                </c:pt>
                <c:pt idx="20">
                  <c:v>-0.00386069999999999</c:v>
                </c:pt>
                <c:pt idx="21">
                  <c:v>-0.00149439999999999</c:v>
                </c:pt>
                <c:pt idx="22">
                  <c:v>-3.80000000000519E-006</c:v>
                </c:pt>
                <c:pt idx="23">
                  <c:v>0.0009511</c:v>
                </c:pt>
                <c:pt idx="24">
                  <c:v>0.0013517</c:v>
                </c:pt>
                <c:pt idx="25">
                  <c:v>0.001424</c:v>
                </c:pt>
                <c:pt idx="26">
                  <c:v>0.00136673</c:v>
                </c:pt>
                <c:pt idx="27">
                  <c:v>0.00124341</c:v>
                </c:pt>
                <c:pt idx="28">
                  <c:v>0.00104984</c:v>
                </c:pt>
                <c:pt idx="29">
                  <c:v>0.00089888</c:v>
                </c:pt>
                <c:pt idx="30">
                  <c:v>0.00072988</c:v>
                </c:pt>
                <c:pt idx="31">
                  <c:v>0.000567833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depth_stats_ltc_new!$V$1</c:f>
              <c:strCache>
                <c:ptCount val="1"/>
                <c:pt idx="0">
                  <c:v>n%(w+14m)=0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depth_stats_ltc_new!$V$2:$V$33</c:f>
              <c:numCache>
                <c:formatCode>0.00\ %</c:formatCode>
                <c:ptCount val="32"/>
                <c:pt idx="0">
                  <c:v>-25.8026</c:v>
                </c:pt>
                <c:pt idx="1">
                  <c:v>-27.8843</c:v>
                </c:pt>
                <c:pt idx="2">
                  <c:v>-8.38808</c:v>
                </c:pt>
                <c:pt idx="3">
                  <c:v>-7.68033</c:v>
                </c:pt>
                <c:pt idx="4">
                  <c:v>-6.29467</c:v>
                </c:pt>
                <c:pt idx="5">
                  <c:v>-4.84316</c:v>
                </c:pt>
                <c:pt idx="6">
                  <c:v>-3.77075</c:v>
                </c:pt>
                <c:pt idx="7">
                  <c:v>-3.14605</c:v>
                </c:pt>
                <c:pt idx="8">
                  <c:v>-2.63541</c:v>
                </c:pt>
                <c:pt idx="9">
                  <c:v>-2.17763</c:v>
                </c:pt>
                <c:pt idx="10">
                  <c:v>-1.75032</c:v>
                </c:pt>
                <c:pt idx="11">
                  <c:v>-1.39229</c:v>
                </c:pt>
                <c:pt idx="12">
                  <c:v>-1.09297</c:v>
                </c:pt>
                <c:pt idx="13">
                  <c:v>-0.837173</c:v>
                </c:pt>
                <c:pt idx="14">
                  <c:v>-0.632933</c:v>
                </c:pt>
                <c:pt idx="15">
                  <c:v>-0.471794</c:v>
                </c:pt>
                <c:pt idx="16">
                  <c:v>-0.348</c:v>
                </c:pt>
                <c:pt idx="17">
                  <c:v>-0.254459</c:v>
                </c:pt>
                <c:pt idx="18">
                  <c:v>-0.183004</c:v>
                </c:pt>
                <c:pt idx="19">
                  <c:v>-0.129821</c:v>
                </c:pt>
                <c:pt idx="20">
                  <c:v>-0.0909841</c:v>
                </c:pt>
                <c:pt idx="21">
                  <c:v>-0.063216</c:v>
                </c:pt>
                <c:pt idx="22">
                  <c:v>-0.0434022</c:v>
                </c:pt>
                <c:pt idx="23">
                  <c:v>-0.029377</c:v>
                </c:pt>
                <c:pt idx="24">
                  <c:v>-0.0197719</c:v>
                </c:pt>
                <c:pt idx="25">
                  <c:v>-0.0132366</c:v>
                </c:pt>
                <c:pt idx="26">
                  <c:v>-0.00874697</c:v>
                </c:pt>
                <c:pt idx="27">
                  <c:v>-0.00572124</c:v>
                </c:pt>
                <c:pt idx="28">
                  <c:v>-0.00369809</c:v>
                </c:pt>
                <c:pt idx="29">
                  <c:v>-0.00233629</c:v>
                </c:pt>
                <c:pt idx="30">
                  <c:v>-0.00145136</c:v>
                </c:pt>
                <c:pt idx="31">
                  <c:v>-0.000887717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depth_stats_ltc_new!$T$1</c:f>
              <c:strCache>
                <c:ptCount val="1"/>
                <c:pt idx="0">
                  <c:v>n%(w+28m)=2,9160552117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depth_stats_ltc_new!$T$2:$T$33</c:f>
              <c:numCache>
                <c:formatCode>0.00\ %</c:formatCode>
                <c:ptCount val="32"/>
                <c:pt idx="0">
                  <c:v>0.00849999999999795</c:v>
                </c:pt>
                <c:pt idx="1">
                  <c:v>1.1034</c:v>
                </c:pt>
                <c:pt idx="2">
                  <c:v>-0.19833</c:v>
                </c:pt>
                <c:pt idx="3">
                  <c:v>-0.14622</c:v>
                </c:pt>
                <c:pt idx="4">
                  <c:v>-0.11328</c:v>
                </c:pt>
                <c:pt idx="5">
                  <c:v>-0.0924500000000004</c:v>
                </c:pt>
                <c:pt idx="6">
                  <c:v>-0.0764900000000002</c:v>
                </c:pt>
                <c:pt idx="7">
                  <c:v>-0.07971</c:v>
                </c:pt>
                <c:pt idx="8">
                  <c:v>-0.0855199999999998</c:v>
                </c:pt>
                <c:pt idx="9">
                  <c:v>-0.09728</c:v>
                </c:pt>
                <c:pt idx="10">
                  <c:v>-0.08684</c:v>
                </c:pt>
                <c:pt idx="11">
                  <c:v>-0.07179</c:v>
                </c:pt>
                <c:pt idx="12">
                  <c:v>-0.04945</c:v>
                </c:pt>
                <c:pt idx="13">
                  <c:v>-0.027968</c:v>
                </c:pt>
                <c:pt idx="14">
                  <c:v>-0.01195</c:v>
                </c:pt>
                <c:pt idx="15">
                  <c:v>-0.00367499999999998</c:v>
                </c:pt>
                <c:pt idx="16">
                  <c:v>0.000556000000000001</c:v>
                </c:pt>
                <c:pt idx="17">
                  <c:v>0.00196600000000002</c:v>
                </c:pt>
                <c:pt idx="18">
                  <c:v>0.002583</c:v>
                </c:pt>
                <c:pt idx="19">
                  <c:v>0.00300300000000001</c:v>
                </c:pt>
                <c:pt idx="20">
                  <c:v>0.0031578</c:v>
                </c:pt>
                <c:pt idx="21">
                  <c:v>0.00305430000000001</c:v>
                </c:pt>
                <c:pt idx="22">
                  <c:v>0.0027593</c:v>
                </c:pt>
                <c:pt idx="23">
                  <c:v>0.0024807</c:v>
                </c:pt>
                <c:pt idx="24">
                  <c:v>0.0021822</c:v>
                </c:pt>
                <c:pt idx="25">
                  <c:v>0.0017811</c:v>
                </c:pt>
                <c:pt idx="26">
                  <c:v>0.00142553</c:v>
                </c:pt>
                <c:pt idx="27">
                  <c:v>0.00111819</c:v>
                </c:pt>
                <c:pt idx="28">
                  <c:v>0.00087666</c:v>
                </c:pt>
                <c:pt idx="29">
                  <c:v>0.00068072</c:v>
                </c:pt>
                <c:pt idx="30">
                  <c:v>0.00049776</c:v>
                </c:pt>
                <c:pt idx="31">
                  <c:v>0.000345553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depth_stats_ltc_new!$N$1</c:f>
              <c:strCache>
                <c:ptCount val="1"/>
                <c:pt idx="0">
                  <c:v>n%(w+6)=2,9251105874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depth_stats_ltc_new!$N$2:$N$33</c:f>
              <c:numCache>
                <c:formatCode>0.00\ %</c:formatCode>
                <c:ptCount val="32"/>
                <c:pt idx="0">
                  <c:v>0.223299999999998</c:v>
                </c:pt>
                <c:pt idx="1">
                  <c:v>0.386800000000001</c:v>
                </c:pt>
                <c:pt idx="2">
                  <c:v>-0.00544000000000011</c:v>
                </c:pt>
                <c:pt idx="3">
                  <c:v>-0.0343599999999995</c:v>
                </c:pt>
                <c:pt idx="4">
                  <c:v>-0.0481699999999998</c:v>
                </c:pt>
                <c:pt idx="5">
                  <c:v>-0.0517400000000006</c:v>
                </c:pt>
                <c:pt idx="6">
                  <c:v>-0.0486400000000002</c:v>
                </c:pt>
                <c:pt idx="7">
                  <c:v>-0.0530899999999996</c:v>
                </c:pt>
                <c:pt idx="8">
                  <c:v>-0.06223</c:v>
                </c:pt>
                <c:pt idx="9">
                  <c:v>-0.0783200000000002</c:v>
                </c:pt>
                <c:pt idx="10">
                  <c:v>-0.0721200000000002</c:v>
                </c:pt>
                <c:pt idx="11">
                  <c:v>-0.0623500000000001</c:v>
                </c:pt>
                <c:pt idx="12">
                  <c:v>-0.0451999999999999</c:v>
                </c:pt>
                <c:pt idx="13">
                  <c:v>-0.027856</c:v>
                </c:pt>
                <c:pt idx="14">
                  <c:v>-0.0152329999999999</c:v>
                </c:pt>
                <c:pt idx="15">
                  <c:v>-0.00891799999999998</c:v>
                </c:pt>
                <c:pt idx="16">
                  <c:v>-0.00556699999999999</c:v>
                </c:pt>
                <c:pt idx="17">
                  <c:v>-0.00352999999999998</c:v>
                </c:pt>
                <c:pt idx="18">
                  <c:v>-0.00219800000000001</c:v>
                </c:pt>
                <c:pt idx="19">
                  <c:v>-0.001027</c:v>
                </c:pt>
                <c:pt idx="20">
                  <c:v>9.3800000000005E-005</c:v>
                </c:pt>
                <c:pt idx="21">
                  <c:v>0.000914300000000007</c:v>
                </c:pt>
                <c:pt idx="22">
                  <c:v>0.0014444</c:v>
                </c:pt>
                <c:pt idx="23">
                  <c:v>0.0018552</c:v>
                </c:pt>
                <c:pt idx="24">
                  <c:v>0.0019658</c:v>
                </c:pt>
                <c:pt idx="25">
                  <c:v>0.001887</c:v>
                </c:pt>
                <c:pt idx="26">
                  <c:v>0.00175113</c:v>
                </c:pt>
                <c:pt idx="27">
                  <c:v>0.00154155</c:v>
                </c:pt>
                <c:pt idx="28">
                  <c:v>0.00125063</c:v>
                </c:pt>
                <c:pt idx="29">
                  <c:v>0.00100837</c:v>
                </c:pt>
                <c:pt idx="30">
                  <c:v>0.00076096</c:v>
                </c:pt>
                <c:pt idx="31">
                  <c:v>0.000533993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depth_stats_ltc_new!$P$1</c:f>
              <c:strCache>
                <c:ptCount val="1"/>
                <c:pt idx="0">
                  <c:v>n%(w+4)=2,9654215765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depth_stats_ltc_new!$P$2:$P$33</c:f>
              <c:numCache>
                <c:formatCode>0.00\ %</c:formatCode>
                <c:ptCount val="32"/>
                <c:pt idx="0">
                  <c:v>-0.0206000000000017</c:v>
                </c:pt>
                <c:pt idx="1">
                  <c:v>-0.242999999999999</c:v>
                </c:pt>
                <c:pt idx="2">
                  <c:v>0.00384999999999991</c:v>
                </c:pt>
                <c:pt idx="3">
                  <c:v>0.0740300000000005</c:v>
                </c:pt>
                <c:pt idx="4">
                  <c:v>0.11477</c:v>
                </c:pt>
                <c:pt idx="5">
                  <c:v>0.13655</c:v>
                </c:pt>
                <c:pt idx="6">
                  <c:v>0.12895</c:v>
                </c:pt>
                <c:pt idx="7">
                  <c:v>0.0728000000000004</c:v>
                </c:pt>
                <c:pt idx="8">
                  <c:v>0.0134800000000004</c:v>
                </c:pt>
                <c:pt idx="9">
                  <c:v>-0.0421</c:v>
                </c:pt>
                <c:pt idx="10">
                  <c:v>-0.0634100000000002</c:v>
                </c:pt>
                <c:pt idx="11">
                  <c:v>-0.06199</c:v>
                </c:pt>
                <c:pt idx="12">
                  <c:v>-0.0487299999999999</c:v>
                </c:pt>
                <c:pt idx="13">
                  <c:v>-0.0333709999999999</c:v>
                </c:pt>
                <c:pt idx="14">
                  <c:v>-0.021547</c:v>
                </c:pt>
                <c:pt idx="15">
                  <c:v>-0.013643</c:v>
                </c:pt>
                <c:pt idx="16">
                  <c:v>-0.00825099999999995</c:v>
                </c:pt>
                <c:pt idx="17">
                  <c:v>-0.00459799999999999</c:v>
                </c:pt>
                <c:pt idx="18">
                  <c:v>-0.00192899999999999</c:v>
                </c:pt>
                <c:pt idx="19">
                  <c:v>-9.7999999999987E-005</c:v>
                </c:pt>
                <c:pt idx="20">
                  <c:v>0.001115</c:v>
                </c:pt>
                <c:pt idx="21">
                  <c:v>0.0017456</c:v>
                </c:pt>
                <c:pt idx="22">
                  <c:v>0.0021308</c:v>
                </c:pt>
                <c:pt idx="23">
                  <c:v>0.002329</c:v>
                </c:pt>
                <c:pt idx="24">
                  <c:v>0.0022997</c:v>
                </c:pt>
                <c:pt idx="25">
                  <c:v>0.0020575</c:v>
                </c:pt>
                <c:pt idx="26">
                  <c:v>0.00177513</c:v>
                </c:pt>
                <c:pt idx="27">
                  <c:v>0.00145541</c:v>
                </c:pt>
                <c:pt idx="28">
                  <c:v>0.00117076</c:v>
                </c:pt>
                <c:pt idx="29">
                  <c:v>0.00093429</c:v>
                </c:pt>
                <c:pt idx="30">
                  <c:v>0.00069223</c:v>
                </c:pt>
                <c:pt idx="31">
                  <c:v>0.000481563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depth_stats_ltc_new!$R$1</c:f>
              <c:strCache>
                <c:ptCount val="1"/>
                <c:pt idx="0">
                  <c:v>n%(w+5)=2,9580371643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depth_stats_ltc_new!$R$2:$R$33</c:f>
              <c:numCache>
                <c:formatCode>0.00\ %</c:formatCode>
                <c:ptCount val="32"/>
                <c:pt idx="0">
                  <c:v>0.0370999999999988</c:v>
                </c:pt>
                <c:pt idx="1">
                  <c:v>0.2074</c:v>
                </c:pt>
                <c:pt idx="2">
                  <c:v>-0.0235099999999999</c:v>
                </c:pt>
                <c:pt idx="3">
                  <c:v>-0.0146799999999994</c:v>
                </c:pt>
                <c:pt idx="4">
                  <c:v>-0.0111299999999996</c:v>
                </c:pt>
                <c:pt idx="5">
                  <c:v>-0.00863999999999976</c:v>
                </c:pt>
                <c:pt idx="6">
                  <c:v>-0.0114800000000002</c:v>
                </c:pt>
                <c:pt idx="7">
                  <c:v>-0.02094</c:v>
                </c:pt>
                <c:pt idx="8">
                  <c:v>-0.0326299999999997</c:v>
                </c:pt>
                <c:pt idx="9">
                  <c:v>-0.0509900000000001</c:v>
                </c:pt>
                <c:pt idx="10">
                  <c:v>-0.0461400000000001</c:v>
                </c:pt>
                <c:pt idx="11">
                  <c:v>-0.0387900000000001</c:v>
                </c:pt>
                <c:pt idx="12">
                  <c:v>-0.02457</c:v>
                </c:pt>
                <c:pt idx="13">
                  <c:v>-0.0101789999999999</c:v>
                </c:pt>
                <c:pt idx="14">
                  <c:v>-0.000406999999999935</c:v>
                </c:pt>
                <c:pt idx="15">
                  <c:v>0.00402400000000003</c:v>
                </c:pt>
                <c:pt idx="16">
                  <c:v>0.00528600000000001</c:v>
                </c:pt>
                <c:pt idx="17">
                  <c:v>0.00507400000000002</c:v>
                </c:pt>
                <c:pt idx="18">
                  <c:v>0.004777</c:v>
                </c:pt>
                <c:pt idx="19">
                  <c:v>0.00443499999999999</c:v>
                </c:pt>
                <c:pt idx="20">
                  <c:v>0.00411740000000001</c:v>
                </c:pt>
                <c:pt idx="21">
                  <c:v>0.00376810000000001</c:v>
                </c:pt>
                <c:pt idx="22">
                  <c:v>0.0033058</c:v>
                </c:pt>
                <c:pt idx="23">
                  <c:v>0.002992</c:v>
                </c:pt>
                <c:pt idx="24">
                  <c:v>0.0025544</c:v>
                </c:pt>
                <c:pt idx="25">
                  <c:v>0.0020726</c:v>
                </c:pt>
                <c:pt idx="26">
                  <c:v>0.00166743</c:v>
                </c:pt>
                <c:pt idx="27">
                  <c:v>0.00134458</c:v>
                </c:pt>
                <c:pt idx="28">
                  <c:v>0.0010593</c:v>
                </c:pt>
                <c:pt idx="29">
                  <c:v>0.0008699</c:v>
                </c:pt>
                <c:pt idx="30">
                  <c:v>0.00068882</c:v>
                </c:pt>
                <c:pt idx="31">
                  <c:v>0.000541243</c:v>
                </c:pt>
              </c:numCache>
            </c:numRef>
          </c:yVal>
          <c:smooth val="1"/>
        </c:ser>
        <c:axId val="97918434"/>
        <c:axId val="97971672"/>
      </c:scatterChart>
      <c:valAx>
        <c:axId val="97918434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7971672"/>
        <c:crosses val="autoZero"/>
        <c:crossBetween val="midCat"/>
      </c:valAx>
      <c:valAx>
        <c:axId val="9797167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791843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depth_stats_stc_new!$S$1</c:f>
              <c:strCache>
                <c:ptCount val="1"/>
                <c:pt idx="0">
                  <c:v>master_old=2,62461895532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depth_stats_stc_new!$S$2:$S$33</c:f>
              <c:numCache>
                <c:formatCode>0.00\ %</c:formatCode>
                <c:ptCount val="32"/>
                <c:pt idx="0">
                  <c:v>-0.00196245238621362</c:v>
                </c:pt>
                <c:pt idx="1">
                  <c:v>0.00121536719712978</c:v>
                </c:pt>
                <c:pt idx="2">
                  <c:v>0.000164535005193756</c:v>
                </c:pt>
                <c:pt idx="3">
                  <c:v>0.000711426163759299</c:v>
                </c:pt>
                <c:pt idx="4">
                  <c:v>0.0006553302307859</c:v>
                </c:pt>
                <c:pt idx="5">
                  <c:v>2.15382395296615E-006</c:v>
                </c:pt>
                <c:pt idx="6">
                  <c:v>-0.0013563835991659</c:v>
                </c:pt>
                <c:pt idx="7">
                  <c:v>-0.00413312117625231</c:v>
                </c:pt>
                <c:pt idx="8">
                  <c:v>-0.00362299122082232</c:v>
                </c:pt>
                <c:pt idx="9">
                  <c:v>-0.00320895741006511</c:v>
                </c:pt>
                <c:pt idx="10">
                  <c:v>-0.00286631702776807</c:v>
                </c:pt>
                <c:pt idx="11">
                  <c:v>-0.0004183260326725</c:v>
                </c:pt>
                <c:pt idx="12">
                  <c:v>0.00272915442223744</c:v>
                </c:pt>
                <c:pt idx="13">
                  <c:v>0.00737902973655935</c:v>
                </c:pt>
                <c:pt idx="14">
                  <c:v>0.0105276156551677</c:v>
                </c:pt>
                <c:pt idx="15">
                  <c:v>0.0130661298811572</c:v>
                </c:pt>
                <c:pt idx="16">
                  <c:v>0.0259466823199919</c:v>
                </c:pt>
                <c:pt idx="17">
                  <c:v>0.0309026639872125</c:v>
                </c:pt>
                <c:pt idx="18">
                  <c:v>0.0448730177569114</c:v>
                </c:pt>
                <c:pt idx="19">
                  <c:v>0.0755012262270336</c:v>
                </c:pt>
                <c:pt idx="20">
                  <c:v>0.106656947259202</c:v>
                </c:pt>
                <c:pt idx="21">
                  <c:v>0.157830558427233</c:v>
                </c:pt>
                <c:pt idx="22">
                  <c:v>0.200288333293907</c:v>
                </c:pt>
                <c:pt idx="23">
                  <c:v>0.303877129158333</c:v>
                </c:pt>
                <c:pt idx="24">
                  <c:v>0.443794883016772</c:v>
                </c:pt>
                <c:pt idx="25">
                  <c:v>0.642931769280895</c:v>
                </c:pt>
                <c:pt idx="26">
                  <c:v>0.958589214797082</c:v>
                </c:pt>
                <c:pt idx="27">
                  <c:v>1.31412551931274</c:v>
                </c:pt>
                <c:pt idx="28">
                  <c:v>1.70541281967467</c:v>
                </c:pt>
                <c:pt idx="29">
                  <c:v>2.10240544683199</c:v>
                </c:pt>
                <c:pt idx="30">
                  <c:v>2.61852989969201</c:v>
                </c:pt>
                <c:pt idx="31">
                  <c:v>3.93091897000929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depth_stats_stc_new!$AS$1</c:f>
              <c:strCache>
                <c:ptCount val="1"/>
                <c:pt idx="0">
                  <c:v>n%(w+16p)=2,60935389838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depth_stats_stc_new!$AS$2:$AS$33</c:f>
              <c:numCache>
                <c:formatCode>0.00\ %</c:formatCode>
                <c:ptCount val="32"/>
                <c:pt idx="0">
                  <c:v>-0.000889167902089039</c:v>
                </c:pt>
                <c:pt idx="1">
                  <c:v>0.0274271461323274</c:v>
                </c:pt>
                <c:pt idx="2">
                  <c:v>-0.0414888718300639</c:v>
                </c:pt>
                <c:pt idx="3">
                  <c:v>-0.0272731835216709</c:v>
                </c:pt>
                <c:pt idx="4">
                  <c:v>-0.0202560249055908</c:v>
                </c:pt>
                <c:pt idx="5">
                  <c:v>-0.0178016582903455</c:v>
                </c:pt>
                <c:pt idx="6">
                  <c:v>-0.0169809904882918</c:v>
                </c:pt>
                <c:pt idx="7">
                  <c:v>-0.0139790167645752</c:v>
                </c:pt>
                <c:pt idx="8">
                  <c:v>-0.00843827725900026</c:v>
                </c:pt>
                <c:pt idx="9">
                  <c:v>-0.00356445157608709</c:v>
                </c:pt>
                <c:pt idx="10">
                  <c:v>0.00160155613939006</c:v>
                </c:pt>
                <c:pt idx="11">
                  <c:v>0.0057135148316744</c:v>
                </c:pt>
                <c:pt idx="12">
                  <c:v>0.0105315842859555</c:v>
                </c:pt>
                <c:pt idx="13">
                  <c:v>0.0124321427091722</c:v>
                </c:pt>
                <c:pt idx="14">
                  <c:v>0.0184866536690224</c:v>
                </c:pt>
                <c:pt idx="15">
                  <c:v>0.0260098054069835</c:v>
                </c:pt>
                <c:pt idx="16">
                  <c:v>0.0401366933049456</c:v>
                </c:pt>
                <c:pt idx="17">
                  <c:v>0.0462369684264239</c:v>
                </c:pt>
                <c:pt idx="18">
                  <c:v>0.070345700985627</c:v>
                </c:pt>
                <c:pt idx="19">
                  <c:v>0.0987618530952794</c:v>
                </c:pt>
                <c:pt idx="20">
                  <c:v>0.14370258484554</c:v>
                </c:pt>
                <c:pt idx="21">
                  <c:v>0.199420827950458</c:v>
                </c:pt>
                <c:pt idx="22">
                  <c:v>0.272165034052444</c:v>
                </c:pt>
                <c:pt idx="23">
                  <c:v>0.37624485882102</c:v>
                </c:pt>
                <c:pt idx="24">
                  <c:v>0.531304555517153</c:v>
                </c:pt>
                <c:pt idx="25">
                  <c:v>0.734807641449772</c:v>
                </c:pt>
                <c:pt idx="26">
                  <c:v>1.00922921365142</c:v>
                </c:pt>
                <c:pt idx="27">
                  <c:v>1.26494882756738</c:v>
                </c:pt>
                <c:pt idx="28">
                  <c:v>1.59128826506376</c:v>
                </c:pt>
                <c:pt idx="29">
                  <c:v>1.94979690966543</c:v>
                </c:pt>
                <c:pt idx="30">
                  <c:v>2.32523476303764</c:v>
                </c:pt>
                <c:pt idx="31">
                  <c:v>3.41479659009597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depth_stats_stc_new!$AQ$1</c:f>
              <c:strCache>
                <c:ptCount val="1"/>
                <c:pt idx="0">
                  <c:v>n%(w+14m)=2,5994475651946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depth_stats_stc_new!$AQ$2:$AQ$33</c:f>
              <c:numCache>
                <c:formatCode>0.00\ %</c:formatCode>
                <c:ptCount val="32"/>
                <c:pt idx="0">
                  <c:v>-0.00506912147656813</c:v>
                </c:pt>
                <c:pt idx="1">
                  <c:v>0.021758379658209</c:v>
                </c:pt>
                <c:pt idx="2">
                  <c:v>-0.0181473093679907</c:v>
                </c:pt>
                <c:pt idx="3">
                  <c:v>-0.0137100009146325</c:v>
                </c:pt>
                <c:pt idx="4">
                  <c:v>-0.00981661507075615</c:v>
                </c:pt>
                <c:pt idx="5">
                  <c:v>-0.00812049984481433</c:v>
                </c:pt>
                <c:pt idx="6">
                  <c:v>-0.00899883079013408</c:v>
                </c:pt>
                <c:pt idx="7">
                  <c:v>-0.0111236699432207</c:v>
                </c:pt>
                <c:pt idx="8">
                  <c:v>-0.00994212104326631</c:v>
                </c:pt>
                <c:pt idx="9">
                  <c:v>-0.0103685337567193</c:v>
                </c:pt>
                <c:pt idx="10">
                  <c:v>-0.00989480546130639</c:v>
                </c:pt>
                <c:pt idx="11">
                  <c:v>-0.00608292244115585</c:v>
                </c:pt>
                <c:pt idx="12">
                  <c:v>-0.00568848743841328</c:v>
                </c:pt>
                <c:pt idx="13">
                  <c:v>-0.00679971336191398</c:v>
                </c:pt>
                <c:pt idx="14">
                  <c:v>-0.0117651918964909</c:v>
                </c:pt>
                <c:pt idx="15">
                  <c:v>-0.0168168584766464</c:v>
                </c:pt>
                <c:pt idx="16">
                  <c:v>-0.0206332090727215</c:v>
                </c:pt>
                <c:pt idx="17">
                  <c:v>-0.0337959961245389</c:v>
                </c:pt>
                <c:pt idx="18">
                  <c:v>-0.0447360670387385</c:v>
                </c:pt>
                <c:pt idx="19">
                  <c:v>-0.0544766082932693</c:v>
                </c:pt>
                <c:pt idx="20">
                  <c:v>-0.0819118766266449</c:v>
                </c:pt>
                <c:pt idx="21">
                  <c:v>-0.122125958672337</c:v>
                </c:pt>
                <c:pt idx="22">
                  <c:v>-0.153478168704449</c:v>
                </c:pt>
                <c:pt idx="23">
                  <c:v>-0.181754467453327</c:v>
                </c:pt>
                <c:pt idx="24">
                  <c:v>-0.151979399888971</c:v>
                </c:pt>
                <c:pt idx="25">
                  <c:v>-0.146017712939986</c:v>
                </c:pt>
                <c:pt idx="26">
                  <c:v>-0.121743789013363</c:v>
                </c:pt>
                <c:pt idx="27">
                  <c:v>-0.0363052049159851</c:v>
                </c:pt>
                <c:pt idx="28">
                  <c:v>-0.0497143572889716</c:v>
                </c:pt>
                <c:pt idx="29">
                  <c:v>-0.132431144559099</c:v>
                </c:pt>
                <c:pt idx="30">
                  <c:v>-0.470791470273914</c:v>
                </c:pt>
                <c:pt idx="31">
                  <c:v>0.157821942035653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depth_stats_stc_new!$AO$1</c:f>
              <c:strCache>
                <c:ptCount val="1"/>
                <c:pt idx="0">
                  <c:v>n%(w-2d)=2,61609561211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depth_stats_stc_new!$AO$2:$AO$33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4"/>
          <c:order val="4"/>
          <c:tx>
            <c:strRef>
              <c:f>depth_stats_stc_new!$AM$1</c:f>
              <c:strCache>
                <c:ptCount val="1"/>
                <c:pt idx="0">
                  <c:v>n%(w+28m)=2,57831829322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depth_stats_stc_new!$AM$2:$AM$33</c:f>
              <c:numCache>
                <c:formatCode>0.00\ %</c:formatCode>
                <c:ptCount val="32"/>
                <c:pt idx="0">
                  <c:v>0.00153736536356286</c:v>
                </c:pt>
                <c:pt idx="1">
                  <c:v>0.0373472559465937</c:v>
                </c:pt>
                <c:pt idx="2">
                  <c:v>-0.0413392599995031</c:v>
                </c:pt>
                <c:pt idx="3">
                  <c:v>-0.0312373704650772</c:v>
                </c:pt>
                <c:pt idx="4">
                  <c:v>-0.0250590018045807</c:v>
                </c:pt>
                <c:pt idx="5">
                  <c:v>-0.0237213856611915</c:v>
                </c:pt>
                <c:pt idx="6">
                  <c:v>-0.024819360745445</c:v>
                </c:pt>
                <c:pt idx="7">
                  <c:v>-0.0251365867335236</c:v>
                </c:pt>
                <c:pt idx="8">
                  <c:v>-0.0233147190887455</c:v>
                </c:pt>
                <c:pt idx="9">
                  <c:v>-0.022552574785917</c:v>
                </c:pt>
                <c:pt idx="10">
                  <c:v>-0.0208232406805812</c:v>
                </c:pt>
                <c:pt idx="11">
                  <c:v>-0.0179775950053355</c:v>
                </c:pt>
                <c:pt idx="12">
                  <c:v>-0.0167444036086463</c:v>
                </c:pt>
                <c:pt idx="13">
                  <c:v>-0.0140231689080924</c:v>
                </c:pt>
                <c:pt idx="14">
                  <c:v>-0.00982617688281007</c:v>
                </c:pt>
                <c:pt idx="15">
                  <c:v>-0.0089288917043886</c:v>
                </c:pt>
                <c:pt idx="16">
                  <c:v>0.00448330721812629</c:v>
                </c:pt>
                <c:pt idx="17">
                  <c:v>0.00392953670887941</c:v>
                </c:pt>
                <c:pt idx="18">
                  <c:v>0.00626996373813071</c:v>
                </c:pt>
                <c:pt idx="19">
                  <c:v>0.0223644248875483</c:v>
                </c:pt>
                <c:pt idx="20">
                  <c:v>0.0293898011999656</c:v>
                </c:pt>
                <c:pt idx="21">
                  <c:v>0.0526683080236232</c:v>
                </c:pt>
                <c:pt idx="22">
                  <c:v>0.0599969366506077</c:v>
                </c:pt>
                <c:pt idx="23">
                  <c:v>0.0762778242985878</c:v>
                </c:pt>
                <c:pt idx="24">
                  <c:v>0.123808891822608</c:v>
                </c:pt>
                <c:pt idx="25">
                  <c:v>0.219928426260572</c:v>
                </c:pt>
                <c:pt idx="26">
                  <c:v>0.365595023859362</c:v>
                </c:pt>
                <c:pt idx="27">
                  <c:v>0.549949602056485</c:v>
                </c:pt>
                <c:pt idx="28">
                  <c:v>0.864733807062498</c:v>
                </c:pt>
                <c:pt idx="29">
                  <c:v>1.07389869340503</c:v>
                </c:pt>
                <c:pt idx="30">
                  <c:v>1.41235161570357</c:v>
                </c:pt>
                <c:pt idx="31">
                  <c:v>2.22328384046868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depth_stats_stc_new!$AK$1</c:f>
              <c:strCache>
                <c:ptCount val="1"/>
                <c:pt idx="0">
                  <c:v>n%(w-d)=2,61351080424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depth_stats_stc_new!$AK$2:$AK$33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6"/>
          <c:order val="6"/>
          <c:tx>
            <c:strRef>
              <c:f>depth_stats_stc_new!$AE$1</c:f>
              <c:strCache>
                <c:ptCount val="1"/>
                <c:pt idx="0">
                  <c:v>n%(w+5)=2,597911907764</c:v>
                </c:pt>
              </c:strCache>
            </c:strRef>
          </c:tx>
          <c:spPr>
            <a:solidFill>
              <a:srgbClr val="90A2D3"/>
            </a:solidFill>
            <a:ln w="19080">
              <a:solidFill>
                <a:srgbClr val="90A2D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depth_stats_stc_new!$AE$2:$AE$33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7"/>
          <c:order val="7"/>
          <c:tx>
            <c:strRef>
              <c:f>depth_stats_stc_new!$AG$1</c:f>
              <c:strCache>
                <c:ptCount val="1"/>
                <c:pt idx="0">
                  <c:v>n%(razor+64pc)=2,635747797645</c:v>
                </c:pt>
              </c:strCache>
            </c:strRef>
          </c:tx>
          <c:spPr>
            <a:solidFill>
              <a:srgbClr val="F1A78B"/>
            </a:solidFill>
            <a:ln w="19080">
              <a:solidFill>
                <a:srgbClr val="F1A78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depth_stats_stc_new!$AG$2:$AG$33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8"/>
          <c:order val="8"/>
          <c:tx>
            <c:strRef>
              <c:f>depth_stats_stc_new!$AI$1</c:f>
              <c:strCache>
                <c:ptCount val="1"/>
                <c:pt idx="0">
                  <c:v>n%(razor+128pc)=2,625341268062</c:v>
                </c:pt>
              </c:strCache>
            </c:strRef>
          </c:tx>
          <c:spPr>
            <a:solidFill>
              <a:srgbClr val="BFBFBF"/>
            </a:solidFill>
            <a:ln w="19080">
              <a:solidFill>
                <a:srgbClr val="BFBF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depth_stats_stc_new!$AI$2:$AI$33</c:f>
              <c:numCache>
                <c:formatCode>General</c:formatCode>
                <c:ptCount val="32"/>
              </c:numCache>
            </c:numRef>
          </c:yVal>
          <c:smooth val="1"/>
        </c:ser>
        <c:axId val="42696809"/>
        <c:axId val="27389081"/>
      </c:scatterChart>
      <c:valAx>
        <c:axId val="4269680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7389081"/>
        <c:crosses val="autoZero"/>
        <c:crossBetween val="midCat"/>
      </c:valAx>
      <c:valAx>
        <c:axId val="2738908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2696809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depth_stats_stc_new!$T$1</c:f>
              <c:strCache>
                <c:ptCount val="1"/>
                <c:pt idx="0">
                  <c:v>master_old=2,62461895532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depth_stats_stc_new!$T$2:$T$33</c:f>
              <c:numCache>
                <c:formatCode>0.00\ %</c:formatCode>
                <c:ptCount val="32"/>
                <c:pt idx="0">
                  <c:v>-0.052500000000002</c:v>
                </c:pt>
                <c:pt idx="1">
                  <c:v>0.0364000000000004</c:v>
                </c:pt>
                <c:pt idx="2">
                  <c:v>0.00140999999999991</c:v>
                </c:pt>
                <c:pt idx="3">
                  <c:v>0.00541999999999998</c:v>
                </c:pt>
                <c:pt idx="4">
                  <c:v>0.00405999999999995</c:v>
                </c:pt>
                <c:pt idx="5">
                  <c:v>9.99999999962142E-006</c:v>
                </c:pt>
                <c:pt idx="6">
                  <c:v>-0.00480999999999998</c:v>
                </c:pt>
                <c:pt idx="7">
                  <c:v>-0.0119799999999999</c:v>
                </c:pt>
                <c:pt idx="8">
                  <c:v>-0.00880999999999999</c:v>
                </c:pt>
                <c:pt idx="9">
                  <c:v>-0.00632999999999995</c:v>
                </c:pt>
                <c:pt idx="10">
                  <c:v>-0.00450000000000017</c:v>
                </c:pt>
                <c:pt idx="11">
                  <c:v>-0.000499999999999945</c:v>
                </c:pt>
                <c:pt idx="12">
                  <c:v>0.0024209999999999</c:v>
                </c:pt>
                <c:pt idx="13">
                  <c:v>0.00459900000000002</c:v>
                </c:pt>
                <c:pt idx="14">
                  <c:v>0.004469</c:v>
                </c:pt>
                <c:pt idx="15">
                  <c:v>0.00361599999999995</c:v>
                </c:pt>
                <c:pt idx="16">
                  <c:v>0.00456300000000001</c:v>
                </c:pt>
                <c:pt idx="17">
                  <c:v>0.003332</c:v>
                </c:pt>
                <c:pt idx="18">
                  <c:v>0.0029443</c:v>
                </c:pt>
                <c:pt idx="19">
                  <c:v>0.0029752</c:v>
                </c:pt>
                <c:pt idx="20">
                  <c:v>0.0024857</c:v>
                </c:pt>
                <c:pt idx="21">
                  <c:v>0.0021763</c:v>
                </c:pt>
                <c:pt idx="22">
                  <c:v>0.00161629</c:v>
                </c:pt>
                <c:pt idx="23">
                  <c:v>0.00144232</c:v>
                </c:pt>
                <c:pt idx="24">
                  <c:v>0.00122543</c:v>
                </c:pt>
                <c:pt idx="25">
                  <c:v>0.00101559</c:v>
                </c:pt>
                <c:pt idx="26">
                  <c:v>0.000876585</c:v>
                </c:pt>
                <c:pt idx="27">
                  <c:v>0.000686059</c:v>
                </c:pt>
                <c:pt idx="28">
                  <c:v>0.000511665</c:v>
                </c:pt>
                <c:pt idx="29">
                  <c:v>0.0003538845</c:v>
                </c:pt>
                <c:pt idx="30">
                  <c:v>0.000248004</c:v>
                </c:pt>
                <c:pt idx="31">
                  <c:v>0.00019485921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depth_stats_stc_new!$AT$1</c:f>
              <c:strCache>
                <c:ptCount val="1"/>
                <c:pt idx="0">
                  <c:v>n%(w+16p)=2,60935389838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depth_stats_stc_new!$AT$2:$AT$33</c:f>
              <c:numCache>
                <c:formatCode>0.00\ %</c:formatCode>
                <c:ptCount val="32"/>
                <c:pt idx="0">
                  <c:v>-0.0238000000000014</c:v>
                </c:pt>
                <c:pt idx="1">
                  <c:v>0.8323</c:v>
                </c:pt>
                <c:pt idx="2">
                  <c:v>-0.348239999999999</c:v>
                </c:pt>
                <c:pt idx="3">
                  <c:v>-0.204899999999999</c:v>
                </c:pt>
                <c:pt idx="4">
                  <c:v>-0.12419</c:v>
                </c:pt>
                <c:pt idx="5">
                  <c:v>-0.0819200000000002</c:v>
                </c:pt>
                <c:pt idx="6">
                  <c:v>-0.0597500000000002</c:v>
                </c:pt>
                <c:pt idx="7">
                  <c:v>-0.0403199999999999</c:v>
                </c:pt>
                <c:pt idx="8">
                  <c:v>-0.02047</c:v>
                </c:pt>
                <c:pt idx="9">
                  <c:v>-0.00703000000000009</c:v>
                </c:pt>
                <c:pt idx="10">
                  <c:v>0.00251999999999986</c:v>
                </c:pt>
                <c:pt idx="11">
                  <c:v>0.00685000000000002</c:v>
                </c:pt>
                <c:pt idx="12">
                  <c:v>0.00937899999999992</c:v>
                </c:pt>
                <c:pt idx="13">
                  <c:v>0.007768</c:v>
                </c:pt>
                <c:pt idx="14">
                  <c:v>0.00787900000000003</c:v>
                </c:pt>
                <c:pt idx="15">
                  <c:v>0.007245</c:v>
                </c:pt>
                <c:pt idx="16">
                  <c:v>0.007109</c:v>
                </c:pt>
                <c:pt idx="17">
                  <c:v>0.005024</c:v>
                </c:pt>
                <c:pt idx="18">
                  <c:v>0.0046754</c:v>
                </c:pt>
                <c:pt idx="19">
                  <c:v>0.003938</c:v>
                </c:pt>
                <c:pt idx="20">
                  <c:v>0.003413</c:v>
                </c:pt>
                <c:pt idx="21">
                  <c:v>0.0028093</c:v>
                </c:pt>
                <c:pt idx="22">
                  <c:v>0.00227991</c:v>
                </c:pt>
                <c:pt idx="23">
                  <c:v>0.0018554</c:v>
                </c:pt>
                <c:pt idx="24">
                  <c:v>0.00153812</c:v>
                </c:pt>
                <c:pt idx="25">
                  <c:v>0.00122166</c:v>
                </c:pt>
                <c:pt idx="26">
                  <c:v>0.000950435</c:v>
                </c:pt>
                <c:pt idx="27">
                  <c:v>0.00064104</c:v>
                </c:pt>
                <c:pt idx="28">
                  <c:v>0.000444227</c:v>
                </c:pt>
                <c:pt idx="29">
                  <c:v>0.0002968275</c:v>
                </c:pt>
                <c:pt idx="30">
                  <c:v>0.000180004</c:v>
                </c:pt>
                <c:pt idx="31">
                  <c:v>0.00011472521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depth_stats_stc_new!$AR$1</c:f>
              <c:strCache>
                <c:ptCount val="1"/>
                <c:pt idx="0">
                  <c:v>n%(w+14m)=2,5994475651946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depth_stats_stc_new!$AR$2:$AR$33</c:f>
              <c:numCache>
                <c:formatCode>0.00\ %</c:formatCode>
                <c:ptCount val="32"/>
                <c:pt idx="0">
                  <c:v>-0.135400000000001</c:v>
                </c:pt>
                <c:pt idx="1">
                  <c:v>0.6584</c:v>
                </c:pt>
                <c:pt idx="2">
                  <c:v>-0.1541</c:v>
                </c:pt>
                <c:pt idx="3">
                  <c:v>-0.1037</c:v>
                </c:pt>
                <c:pt idx="4">
                  <c:v>-0.0605000000000002</c:v>
                </c:pt>
                <c:pt idx="5">
                  <c:v>-0.0375500000000004</c:v>
                </c:pt>
                <c:pt idx="6">
                  <c:v>-0.03179</c:v>
                </c:pt>
                <c:pt idx="7">
                  <c:v>-0.03213</c:v>
                </c:pt>
                <c:pt idx="8">
                  <c:v>-0.0241000000000002</c:v>
                </c:pt>
                <c:pt idx="9">
                  <c:v>-0.0203800000000001</c:v>
                </c:pt>
                <c:pt idx="10">
                  <c:v>-0.0154800000000002</c:v>
                </c:pt>
                <c:pt idx="11">
                  <c:v>-0.00724999999999998</c:v>
                </c:pt>
                <c:pt idx="12">
                  <c:v>-0.00502500000000006</c:v>
                </c:pt>
                <c:pt idx="13">
                  <c:v>-0.00420799999999999</c:v>
                </c:pt>
                <c:pt idx="14">
                  <c:v>-0.00493899999999997</c:v>
                </c:pt>
                <c:pt idx="15">
                  <c:v>-0.00458500000000001</c:v>
                </c:pt>
                <c:pt idx="16">
                  <c:v>-0.00354499999999999</c:v>
                </c:pt>
                <c:pt idx="17">
                  <c:v>-0.00352799999999999</c:v>
                </c:pt>
                <c:pt idx="18">
                  <c:v>-0.0028067</c:v>
                </c:pt>
                <c:pt idx="19">
                  <c:v>-0.0020114</c:v>
                </c:pt>
                <c:pt idx="20">
                  <c:v>-0.0017369</c:v>
                </c:pt>
                <c:pt idx="21">
                  <c:v>-0.0014634</c:v>
                </c:pt>
                <c:pt idx="22">
                  <c:v>-0.00103703</c:v>
                </c:pt>
                <c:pt idx="23">
                  <c:v>-0.00067503</c:v>
                </c:pt>
                <c:pt idx="24">
                  <c:v>-0.0003093</c:v>
                </c:pt>
                <c:pt idx="25">
                  <c:v>-0.000152958</c:v>
                </c:pt>
                <c:pt idx="26">
                  <c:v>-6.2486E-005</c:v>
                </c:pt>
                <c:pt idx="27">
                  <c:v>-8.988E-006</c:v>
                </c:pt>
                <c:pt idx="28">
                  <c:v>-5.50999999999999E-006</c:v>
                </c:pt>
                <c:pt idx="29">
                  <c:v>-6.1085E-006</c:v>
                </c:pt>
                <c:pt idx="30">
                  <c:v>-7.3236E-006</c:v>
                </c:pt>
                <c:pt idx="31">
                  <c:v>6.6687E-007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depth_stats_stc_new!$AP$1</c:f>
              <c:strCache>
                <c:ptCount val="1"/>
                <c:pt idx="0">
                  <c:v>n%(w-2d)=2,61609561211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depth_stats_stc_new!$AP$2:$AP$33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4"/>
          <c:order val="4"/>
          <c:tx>
            <c:strRef>
              <c:f>depth_stats_stc_new!$AN$1</c:f>
              <c:strCache>
                <c:ptCount val="1"/>
                <c:pt idx="0">
                  <c:v>n%(w+28m)=2,57831829322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depth_stats_stc_new!$AN$2:$AN$33</c:f>
              <c:numCache>
                <c:formatCode>0.00\ %</c:formatCode>
                <c:ptCount val="32"/>
                <c:pt idx="0">
                  <c:v>0.0411999999999999</c:v>
                </c:pt>
                <c:pt idx="1">
                  <c:v>1.139</c:v>
                </c:pt>
                <c:pt idx="2">
                  <c:v>-0.347009999999999</c:v>
                </c:pt>
                <c:pt idx="3">
                  <c:v>-0.23422</c:v>
                </c:pt>
                <c:pt idx="4">
                  <c:v>-0.15327</c:v>
                </c:pt>
                <c:pt idx="5">
                  <c:v>-0.10884</c:v>
                </c:pt>
                <c:pt idx="6">
                  <c:v>-0.0869900000000001</c:v>
                </c:pt>
                <c:pt idx="7">
                  <c:v>-0.0720999999999998</c:v>
                </c:pt>
                <c:pt idx="8">
                  <c:v>-0.0561400000000001</c:v>
                </c:pt>
                <c:pt idx="9">
                  <c:v>-0.04406</c:v>
                </c:pt>
                <c:pt idx="10">
                  <c:v>-0.0324000000000002</c:v>
                </c:pt>
                <c:pt idx="11">
                  <c:v>-0.0212999999999999</c:v>
                </c:pt>
                <c:pt idx="12">
                  <c:v>-0.01471</c:v>
                </c:pt>
                <c:pt idx="13">
                  <c:v>-0.00864699999999996</c:v>
                </c:pt>
                <c:pt idx="14">
                  <c:v>-0.00412899999999999</c:v>
                </c:pt>
                <c:pt idx="15">
                  <c:v>-0.002444</c:v>
                </c:pt>
                <c:pt idx="16">
                  <c:v>0.000780000000000003</c:v>
                </c:pt>
                <c:pt idx="17">
                  <c:v>0.000418000000000002</c:v>
                </c:pt>
                <c:pt idx="18">
                  <c:v>0.000403500000000001</c:v>
                </c:pt>
                <c:pt idx="19">
                  <c:v>0.000857999999999998</c:v>
                </c:pt>
                <c:pt idx="20">
                  <c:v>0.000658699999999998</c:v>
                </c:pt>
                <c:pt idx="21">
                  <c:v>0.000688399999999999</c:v>
                </c:pt>
                <c:pt idx="22">
                  <c:v>0.00045068</c:v>
                </c:pt>
                <c:pt idx="23">
                  <c:v>0.000321940000000001</c:v>
                </c:pt>
                <c:pt idx="24">
                  <c:v>0.00028913</c:v>
                </c:pt>
                <c:pt idx="25">
                  <c:v>0.00027695</c:v>
                </c:pt>
                <c:pt idx="26">
                  <c:v>0.000240607</c:v>
                </c:pt>
                <c:pt idx="27">
                  <c:v>0.000184823</c:v>
                </c:pt>
                <c:pt idx="28">
                  <c:v>0.000156144</c:v>
                </c:pt>
                <c:pt idx="29">
                  <c:v>9.48885E-005</c:v>
                </c:pt>
                <c:pt idx="30">
                  <c:v>6.05716E-005</c:v>
                </c:pt>
                <c:pt idx="31">
                  <c:v>3.213321E-005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depth_stats_stc_new!$AL$1</c:f>
              <c:strCache>
                <c:ptCount val="1"/>
                <c:pt idx="0">
                  <c:v>n%(w-d)=2,61351080424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depth_stats_stc_new!$AL$2:$AL$33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6"/>
          <c:order val="6"/>
          <c:tx>
            <c:strRef>
              <c:f>depth_stats_stc_new!$AF$1</c:f>
              <c:strCache>
                <c:ptCount val="1"/>
                <c:pt idx="0">
                  <c:v>n%(w+5)=2,597911907764</c:v>
                </c:pt>
              </c:strCache>
            </c:strRef>
          </c:tx>
          <c:spPr>
            <a:solidFill>
              <a:srgbClr val="90A2D3"/>
            </a:solidFill>
            <a:ln w="19080">
              <a:solidFill>
                <a:srgbClr val="90A2D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depth_stats_stc_new!$AF$2:$AF$33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7"/>
          <c:order val="7"/>
          <c:tx>
            <c:strRef>
              <c:f>depth_stats_stc_new!$AH$1</c:f>
              <c:strCache>
                <c:ptCount val="1"/>
                <c:pt idx="0">
                  <c:v>n%(razor+64pc)=2,635747797645</c:v>
                </c:pt>
              </c:strCache>
            </c:strRef>
          </c:tx>
          <c:spPr>
            <a:solidFill>
              <a:srgbClr val="F1A78B"/>
            </a:solidFill>
            <a:ln w="19080">
              <a:solidFill>
                <a:srgbClr val="F1A78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depth_stats_stc_new!$AH$2:$AH$33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8"/>
          <c:order val="8"/>
          <c:tx>
            <c:strRef>
              <c:f>depth_stats_stc_new!$AJ$1</c:f>
              <c:strCache>
                <c:ptCount val="1"/>
                <c:pt idx="0">
                  <c:v>n%(razor+128pc)=2,625341268062</c:v>
                </c:pt>
              </c:strCache>
            </c:strRef>
          </c:tx>
          <c:spPr>
            <a:solidFill>
              <a:srgbClr val="BFBFBF"/>
            </a:solidFill>
            <a:ln w="19080">
              <a:solidFill>
                <a:srgbClr val="BFBF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depth_stats_stc_new!$AJ$2:$AJ$33</c:f>
              <c:numCache>
                <c:formatCode>General</c:formatCode>
                <c:ptCount val="32"/>
              </c:numCache>
            </c:numRef>
          </c:yVal>
          <c:smooth val="1"/>
        </c:ser>
        <c:axId val="69196058"/>
        <c:axId val="66593000"/>
      </c:scatterChart>
      <c:valAx>
        <c:axId val="69196058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6593000"/>
        <c:crosses val="autoZero"/>
        <c:crossBetween val="midCat"/>
      </c:valAx>
      <c:valAx>
        <c:axId val="6659300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919605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depth_stats_ltc!$H$1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depth_stats_ltc!$H$2:$H$33</c:f>
              <c:numCache>
                <c:formatCode>0.00\ %</c:formatCode>
                <c:ptCount val="32"/>
                <c:pt idx="0">
                  <c:v>-0.0570955583723389</c:v>
                </c:pt>
                <c:pt idx="1">
                  <c:v>-0.0894428884174651</c:v>
                </c:pt>
                <c:pt idx="2">
                  <c:v>-0.00687584035749911</c:v>
                </c:pt>
                <c:pt idx="3">
                  <c:v>0.0318117907434266</c:v>
                </c:pt>
                <c:pt idx="4">
                  <c:v>0.0485184482898111</c:v>
                </c:pt>
                <c:pt idx="5">
                  <c:v>0.0489634121544067</c:v>
                </c:pt>
                <c:pt idx="6">
                  <c:v>0.0512819883126441</c:v>
                </c:pt>
                <c:pt idx="7">
                  <c:v>0.0665109485511244</c:v>
                </c:pt>
                <c:pt idx="8">
                  <c:v>0.101947596878504</c:v>
                </c:pt>
                <c:pt idx="9">
                  <c:v>0.143242340978702</c:v>
                </c:pt>
                <c:pt idx="10">
                  <c:v>0.162723561484962</c:v>
                </c:pt>
                <c:pt idx="11">
                  <c:v>0.174041198265495</c:v>
                </c:pt>
                <c:pt idx="12">
                  <c:v>0.157475019177125</c:v>
                </c:pt>
                <c:pt idx="13">
                  <c:v>0.124947947608403</c:v>
                </c:pt>
                <c:pt idx="14">
                  <c:v>0.100793552705502</c:v>
                </c:pt>
                <c:pt idx="15">
                  <c:v>0.0914045304412685</c:v>
                </c:pt>
                <c:pt idx="16">
                  <c:v>0.101319449365094</c:v>
                </c:pt>
                <c:pt idx="17">
                  <c:v>0.117291956572861</c:v>
                </c:pt>
                <c:pt idx="18">
                  <c:v>0.138317629179466</c:v>
                </c:pt>
                <c:pt idx="19">
                  <c:v>0.16357388352962</c:v>
                </c:pt>
                <c:pt idx="20">
                  <c:v>0.196538609585245</c:v>
                </c:pt>
                <c:pt idx="21">
                  <c:v>0.240730737243485</c:v>
                </c:pt>
                <c:pt idx="22">
                  <c:v>0.297004000812325</c:v>
                </c:pt>
                <c:pt idx="23">
                  <c:v>0.367070155726466</c:v>
                </c:pt>
                <c:pt idx="24">
                  <c:v>0.447226204329784</c:v>
                </c:pt>
                <c:pt idx="25">
                  <c:v>0.537880366161069</c:v>
                </c:pt>
                <c:pt idx="26">
                  <c:v>0.636028649088843</c:v>
                </c:pt>
                <c:pt idx="27">
                  <c:v>0.735787890936893</c:v>
                </c:pt>
                <c:pt idx="28">
                  <c:v>0.838975386939266</c:v>
                </c:pt>
                <c:pt idx="29">
                  <c:v>0.934625384393566</c:v>
                </c:pt>
                <c:pt idx="30">
                  <c:v>1.02494289183831</c:v>
                </c:pt>
                <c:pt idx="31">
                  <c:v>1.10848184755961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depth_stats_ltc!$J$1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depth_stats_ltc!$J$2:$J$33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depth_stats_ltc!$L$1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depth_stats_ltc!$L$2:$L$33</c:f>
              <c:numCache>
                <c:formatCode>General</c:formatCode>
                <c:ptCount val="32"/>
              </c:numCache>
            </c:numRef>
          </c:yVal>
          <c:smooth val="1"/>
        </c:ser>
        <c:axId val="95895697"/>
        <c:axId val="95211715"/>
      </c:scatterChart>
      <c:valAx>
        <c:axId val="9589569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5211715"/>
        <c:crosses val="autoZero"/>
        <c:crossBetween val="midCat"/>
      </c:valAx>
      <c:valAx>
        <c:axId val="9521171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589569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depth_stats_ltc!$I$1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depth_stats_ltc!$I$2:$I$33</c:f>
              <c:numCache>
                <c:formatCode>0.00\ %</c:formatCode>
                <c:ptCount val="32"/>
                <c:pt idx="0">
                  <c:v>-1.0907</c:v>
                </c:pt>
                <c:pt idx="1">
                  <c:v>-1.7671</c:v>
                </c:pt>
                <c:pt idx="2">
                  <c:v>-0.0530600000000003</c:v>
                </c:pt>
                <c:pt idx="3">
                  <c:v>0.231410000000001</c:v>
                </c:pt>
                <c:pt idx="4">
                  <c:v>0.29212</c:v>
                </c:pt>
                <c:pt idx="5">
                  <c:v>0.22492</c:v>
                </c:pt>
                <c:pt idx="6">
                  <c:v>0.18259</c:v>
                </c:pt>
                <c:pt idx="7">
                  <c:v>0.19939</c:v>
                </c:pt>
                <c:pt idx="8">
                  <c:v>0.26472</c:v>
                </c:pt>
                <c:pt idx="9">
                  <c:v>0.31982</c:v>
                </c:pt>
                <c:pt idx="10">
                  <c:v>0.29963</c:v>
                </c:pt>
                <c:pt idx="11">
                  <c:v>0.2602</c:v>
                </c:pt>
                <c:pt idx="12">
                  <c:v>0.18303</c:v>
                </c:pt>
                <c:pt idx="13">
                  <c:v>0.108121</c:v>
                </c:pt>
                <c:pt idx="14">
                  <c:v>0.064093</c:v>
                </c:pt>
                <c:pt idx="15">
                  <c:v>0.042383</c:v>
                </c:pt>
                <c:pt idx="16">
                  <c:v>0.034525</c:v>
                </c:pt>
                <c:pt idx="17">
                  <c:v>0.029354</c:v>
                </c:pt>
                <c:pt idx="18">
                  <c:v>0.025279</c:v>
                </c:pt>
                <c:pt idx="19">
                  <c:v>0.021707</c:v>
                </c:pt>
                <c:pt idx="20">
                  <c:v>0.0189016</c:v>
                </c:pt>
                <c:pt idx="21">
                  <c:v>0.0167861</c:v>
                </c:pt>
                <c:pt idx="22">
                  <c:v>0.0149993</c:v>
                </c:pt>
                <c:pt idx="23">
                  <c:v>0.0134446</c:v>
                </c:pt>
                <c:pt idx="24">
                  <c:v>0.0119091</c:v>
                </c:pt>
                <c:pt idx="25">
                  <c:v>0.0104412</c:v>
                </c:pt>
                <c:pt idx="26">
                  <c:v>0.008989</c:v>
                </c:pt>
                <c:pt idx="27">
                  <c:v>0.00757035</c:v>
                </c:pt>
                <c:pt idx="28">
                  <c:v>0.00623807</c:v>
                </c:pt>
                <c:pt idx="29">
                  <c:v>0.005002</c:v>
                </c:pt>
                <c:pt idx="30">
                  <c:v>0.0038975</c:v>
                </c:pt>
                <c:pt idx="31">
                  <c:v>0.00295428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depth_stats_ltc!$K$1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depth_stats_ltc!$K$2:$K$33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depth_stats_ltc!$M$1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depth_stats_ltc!$M$2:$M$33</c:f>
              <c:numCache>
                <c:formatCode>General</c:formatCode>
                <c:ptCount val="32"/>
              </c:numCache>
            </c:numRef>
          </c:yVal>
          <c:smooth val="1"/>
        </c:ser>
        <c:axId val="62778309"/>
        <c:axId val="59508584"/>
      </c:scatterChart>
      <c:valAx>
        <c:axId val="6277830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9508584"/>
        <c:crosses val="autoZero"/>
        <c:crossBetween val="midCat"/>
      </c:valAx>
      <c:valAx>
        <c:axId val="595085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2778309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depth_stats_stc!$H$1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depth_stats_stc!$H$2:$H$33</c:f>
              <c:numCache>
                <c:formatCode>0.00\ %</c:formatCode>
                <c:ptCount val="32"/>
                <c:pt idx="0">
                  <c:v>0.00251598993443491</c:v>
                </c:pt>
                <c:pt idx="1">
                  <c:v>0.0243208577298846</c:v>
                </c:pt>
                <c:pt idx="2">
                  <c:v>-0.0181416271668096</c:v>
                </c:pt>
                <c:pt idx="3">
                  <c:v>-0.0164672967319226</c:v>
                </c:pt>
                <c:pt idx="4">
                  <c:v>-0.0134691752440679</c:v>
                </c:pt>
                <c:pt idx="5">
                  <c:v>-0.0130897582329648</c:v>
                </c:pt>
                <c:pt idx="6">
                  <c:v>-0.0120797062729059</c:v>
                </c:pt>
                <c:pt idx="7">
                  <c:v>-0.0110870179259006</c:v>
                </c:pt>
                <c:pt idx="8">
                  <c:v>-0.00982465022238976</c:v>
                </c:pt>
                <c:pt idx="9">
                  <c:v>-0.0109867262442385</c:v>
                </c:pt>
                <c:pt idx="10">
                  <c:v>-0.00921716600929123</c:v>
                </c:pt>
                <c:pt idx="11">
                  <c:v>-0.00772783231075902</c:v>
                </c:pt>
                <c:pt idx="12">
                  <c:v>-0.0114153149458174</c:v>
                </c:pt>
                <c:pt idx="13">
                  <c:v>-0.0136834657648111</c:v>
                </c:pt>
                <c:pt idx="14">
                  <c:v>-0.0163776726752838</c:v>
                </c:pt>
                <c:pt idx="15">
                  <c:v>-0.0122310969926955</c:v>
                </c:pt>
                <c:pt idx="16">
                  <c:v>-0.0198194024194409</c:v>
                </c:pt>
                <c:pt idx="17">
                  <c:v>-0.0131600620492964</c:v>
                </c:pt>
                <c:pt idx="18">
                  <c:v>-0.0130401232450525</c:v>
                </c:pt>
                <c:pt idx="19">
                  <c:v>-0.0169091427708734</c:v>
                </c:pt>
                <c:pt idx="20">
                  <c:v>0.00346242694336141</c:v>
                </c:pt>
                <c:pt idx="21">
                  <c:v>0.0095294739500762</c:v>
                </c:pt>
                <c:pt idx="22">
                  <c:v>0.054922156727681</c:v>
                </c:pt>
                <c:pt idx="23">
                  <c:v>0.0933610346656035</c:v>
                </c:pt>
                <c:pt idx="24">
                  <c:v>0.169363762880442</c:v>
                </c:pt>
                <c:pt idx="25">
                  <c:v>0.243442189157129</c:v>
                </c:pt>
                <c:pt idx="26">
                  <c:v>0.270652479651019</c:v>
                </c:pt>
                <c:pt idx="27">
                  <c:v>0.318981556017318</c:v>
                </c:pt>
                <c:pt idx="28">
                  <c:v>0.337986767676334</c:v>
                </c:pt>
                <c:pt idx="29">
                  <c:v>0.431110611587233</c:v>
                </c:pt>
                <c:pt idx="30">
                  <c:v>0.435371644243849</c:v>
                </c:pt>
                <c:pt idx="31">
                  <c:v>0.363926084614192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depth_stats_stc!$J$1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depth_stats_stc!$J$2:$J$33</c:f>
              <c:numCache>
                <c:formatCode>0.00\ %</c:formatCode>
                <c:ptCount val="32"/>
                <c:pt idx="0">
                  <c:v>-0.000571994670522713</c:v>
                </c:pt>
                <c:pt idx="1">
                  <c:v>0.0177811290531226</c:v>
                </c:pt>
                <c:pt idx="2">
                  <c:v>-0.0123579437937735</c:v>
                </c:pt>
                <c:pt idx="3">
                  <c:v>-0.00818557084775451</c:v>
                </c:pt>
                <c:pt idx="4">
                  <c:v>-0.00677353678802017</c:v>
                </c:pt>
                <c:pt idx="5">
                  <c:v>-0.0094546641517872</c:v>
                </c:pt>
                <c:pt idx="6">
                  <c:v>-0.010001857198974</c:v>
                </c:pt>
                <c:pt idx="7">
                  <c:v>-0.00806938816455727</c:v>
                </c:pt>
                <c:pt idx="8">
                  <c:v>-0.00553309753699738</c:v>
                </c:pt>
                <c:pt idx="9">
                  <c:v>-0.00752720364292125</c:v>
                </c:pt>
                <c:pt idx="10">
                  <c:v>-0.00812582232558778</c:v>
                </c:pt>
                <c:pt idx="11">
                  <c:v>-0.00747185586830224</c:v>
                </c:pt>
                <c:pt idx="12">
                  <c:v>-0.0137336218924853</c:v>
                </c:pt>
                <c:pt idx="13">
                  <c:v>-0.0152124255238064</c:v>
                </c:pt>
                <c:pt idx="14">
                  <c:v>-0.0179959036947439</c:v>
                </c:pt>
                <c:pt idx="15">
                  <c:v>-0.0125554652529978</c:v>
                </c:pt>
                <c:pt idx="16">
                  <c:v>-0.0109516824525526</c:v>
                </c:pt>
                <c:pt idx="17">
                  <c:v>0.00482484569109065</c:v>
                </c:pt>
                <c:pt idx="18">
                  <c:v>0.0217538131643584</c:v>
                </c:pt>
                <c:pt idx="19">
                  <c:v>0.0346181942808279</c:v>
                </c:pt>
                <c:pt idx="20">
                  <c:v>0.0595874386643462</c:v>
                </c:pt>
                <c:pt idx="21">
                  <c:v>0.0882878448091837</c:v>
                </c:pt>
                <c:pt idx="22">
                  <c:v>0.140570132662967</c:v>
                </c:pt>
                <c:pt idx="23">
                  <c:v>0.16302618777493</c:v>
                </c:pt>
                <c:pt idx="24">
                  <c:v>0.195914642659945</c:v>
                </c:pt>
                <c:pt idx="25">
                  <c:v>0.225143736211844</c:v>
                </c:pt>
                <c:pt idx="26">
                  <c:v>0.202876860155687</c:v>
                </c:pt>
                <c:pt idx="27">
                  <c:v>0.278461826834333</c:v>
                </c:pt>
                <c:pt idx="28">
                  <c:v>0.288039939249748</c:v>
                </c:pt>
                <c:pt idx="29">
                  <c:v>0.322640026090717</c:v>
                </c:pt>
                <c:pt idx="30">
                  <c:v>0.352936869182651</c:v>
                </c:pt>
                <c:pt idx="31">
                  <c:v>0.305513162236206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depth_stats_stc!$L$1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depth_stats_stc!$L$2:$L$33</c:f>
              <c:numCache>
                <c:formatCode>0.00\ %</c:formatCode>
                <c:ptCount val="32"/>
                <c:pt idx="0">
                  <c:v>-0.00222755226175275</c:v>
                </c:pt>
                <c:pt idx="1">
                  <c:v>0.000457379987624629</c:v>
                </c:pt>
                <c:pt idx="2">
                  <c:v>0.00254841692088137</c:v>
                </c:pt>
                <c:pt idx="3">
                  <c:v>0.00291385493019058</c:v>
                </c:pt>
                <c:pt idx="4">
                  <c:v>0.000598469880811248</c:v>
                </c:pt>
                <c:pt idx="5">
                  <c:v>-0.00255980778901987</c:v>
                </c:pt>
                <c:pt idx="6">
                  <c:v>-0.00334319620949719</c:v>
                </c:pt>
                <c:pt idx="7">
                  <c:v>-0.00233088648086799</c:v>
                </c:pt>
                <c:pt idx="8">
                  <c:v>-0.00205827843693696</c:v>
                </c:pt>
                <c:pt idx="9">
                  <c:v>-0.00430276439570454</c:v>
                </c:pt>
                <c:pt idx="10">
                  <c:v>-0.00391504947959476</c:v>
                </c:pt>
                <c:pt idx="11">
                  <c:v>-0.0033594163109969</c:v>
                </c:pt>
                <c:pt idx="12">
                  <c:v>-0.00258959084724619</c:v>
                </c:pt>
                <c:pt idx="13">
                  <c:v>-0.00251098562005669</c:v>
                </c:pt>
                <c:pt idx="14">
                  <c:v>0.00248446509051359</c:v>
                </c:pt>
                <c:pt idx="15">
                  <c:v>0.0121552529949982</c:v>
                </c:pt>
                <c:pt idx="16">
                  <c:v>0.0282488933047054</c:v>
                </c:pt>
                <c:pt idx="17">
                  <c:v>0.0528872418616109</c:v>
                </c:pt>
                <c:pt idx="18">
                  <c:v>0.083374965315147</c:v>
                </c:pt>
                <c:pt idx="19">
                  <c:v>0.117672518542497</c:v>
                </c:pt>
                <c:pt idx="20">
                  <c:v>0.166290173032715</c:v>
                </c:pt>
                <c:pt idx="21">
                  <c:v>0.231301928217963</c:v>
                </c:pt>
                <c:pt idx="22">
                  <c:v>0.306054723966387</c:v>
                </c:pt>
                <c:pt idx="23">
                  <c:v>0.354688734806723</c:v>
                </c:pt>
                <c:pt idx="24">
                  <c:v>0.421222143984</c:v>
                </c:pt>
                <c:pt idx="25">
                  <c:v>0.460339366832873</c:v>
                </c:pt>
                <c:pt idx="26">
                  <c:v>0.47564885727763</c:v>
                </c:pt>
                <c:pt idx="27">
                  <c:v>0.508110013629766</c:v>
                </c:pt>
                <c:pt idx="28">
                  <c:v>0.52249088080624</c:v>
                </c:pt>
                <c:pt idx="29">
                  <c:v>0.575258283315716</c:v>
                </c:pt>
                <c:pt idx="30">
                  <c:v>0.578274768862308</c:v>
                </c:pt>
                <c:pt idx="31">
                  <c:v>0.477666854877821</c:v>
                </c:pt>
              </c:numCache>
            </c:numRef>
          </c:yVal>
          <c:smooth val="1"/>
        </c:ser>
        <c:axId val="54233998"/>
        <c:axId val="30653375"/>
      </c:scatterChart>
      <c:valAx>
        <c:axId val="54233998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0653375"/>
        <c:crosses val="autoZero"/>
        <c:crossBetween val="midCat"/>
      </c:valAx>
      <c:valAx>
        <c:axId val="3065337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423399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depth_stats_stc!$I$1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depth_stats_stc!$I$2:$I$33</c:f>
              <c:numCache>
                <c:formatCode>0.00\ %</c:formatCode>
                <c:ptCount val="32"/>
                <c:pt idx="0">
                  <c:v>0.0493000000000023</c:v>
                </c:pt>
                <c:pt idx="1">
                  <c:v>0.512899999999998</c:v>
                </c:pt>
                <c:pt idx="2">
                  <c:v>-0.141089999999998</c:v>
                </c:pt>
                <c:pt idx="3">
                  <c:v>-0.11513</c:v>
                </c:pt>
                <c:pt idx="4">
                  <c:v>-0.0778400000000001</c:v>
                </c:pt>
                <c:pt idx="5">
                  <c:v>-0.0576099999999995</c:v>
                </c:pt>
                <c:pt idx="6">
                  <c:v>-0.0410599999999999</c:v>
                </c:pt>
                <c:pt idx="7">
                  <c:v>-0.03098</c:v>
                </c:pt>
                <c:pt idx="8">
                  <c:v>-0.0231600000000003</c:v>
                </c:pt>
                <c:pt idx="9">
                  <c:v>-0.0211000000000001</c:v>
                </c:pt>
                <c:pt idx="10">
                  <c:v>-0.01416</c:v>
                </c:pt>
                <c:pt idx="11">
                  <c:v>-0.00909000000000004</c:v>
                </c:pt>
                <c:pt idx="12">
                  <c:v>-0.00999399999999995</c:v>
                </c:pt>
                <c:pt idx="13">
                  <c:v>-0.00844899999999993</c:v>
                </c:pt>
                <c:pt idx="14">
                  <c:v>-0.00690299999999999</c:v>
                </c:pt>
                <c:pt idx="15">
                  <c:v>-0.00337699999999996</c:v>
                </c:pt>
                <c:pt idx="16">
                  <c:v>-0.00348999999999999</c:v>
                </c:pt>
                <c:pt idx="17">
                  <c:v>-0.00143</c:v>
                </c:pt>
                <c:pt idx="18">
                  <c:v>-0.0008687</c:v>
                </c:pt>
                <c:pt idx="19">
                  <c:v>-0.000685699999999997</c:v>
                </c:pt>
                <c:pt idx="20">
                  <c:v>8.52000000000006E-005</c:v>
                </c:pt>
                <c:pt idx="21">
                  <c:v>0.000142700000000001</c:v>
                </c:pt>
                <c:pt idx="22">
                  <c:v>0.00050271</c:v>
                </c:pt>
                <c:pt idx="23">
                  <c:v>0.00053858</c:v>
                </c:pt>
                <c:pt idx="24">
                  <c:v>0.00063098</c:v>
                </c:pt>
                <c:pt idx="25">
                  <c:v>0.00059024</c:v>
                </c:pt>
                <c:pt idx="26">
                  <c:v>0.00044189</c:v>
                </c:pt>
                <c:pt idx="27">
                  <c:v>0.000352482</c:v>
                </c:pt>
                <c:pt idx="28">
                  <c:v>0.000251435</c:v>
                </c:pt>
                <c:pt idx="29">
                  <c:v>0.000217273</c:v>
                </c:pt>
                <c:pt idx="30">
                  <c:v>0.000145935</c:v>
                </c:pt>
                <c:pt idx="31">
                  <c:v>8.7249E-005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depth_stats_stc!$K$1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depth_stats_stc!$K$2:$K$33</c:f>
              <c:numCache>
                <c:formatCode>0.00\ %</c:formatCode>
                <c:ptCount val="32"/>
                <c:pt idx="0">
                  <c:v>-0.0111999999999988</c:v>
                </c:pt>
                <c:pt idx="1">
                  <c:v>0.374500000000001</c:v>
                </c:pt>
                <c:pt idx="2">
                  <c:v>-0.0963399999999997</c:v>
                </c:pt>
                <c:pt idx="3">
                  <c:v>-0.0574299999999992</c:v>
                </c:pt>
                <c:pt idx="4">
                  <c:v>-0.0392599999999996</c:v>
                </c:pt>
                <c:pt idx="5">
                  <c:v>-0.0416799999999995</c:v>
                </c:pt>
                <c:pt idx="6">
                  <c:v>-0.03403</c:v>
                </c:pt>
                <c:pt idx="7">
                  <c:v>-0.02258</c:v>
                </c:pt>
                <c:pt idx="8">
                  <c:v>-0.0130700000000004</c:v>
                </c:pt>
                <c:pt idx="9">
                  <c:v>-0.01448</c:v>
                </c:pt>
                <c:pt idx="10">
                  <c:v>-0.0124899999999999</c:v>
                </c:pt>
                <c:pt idx="11">
                  <c:v>-0.00879000000000008</c:v>
                </c:pt>
                <c:pt idx="12">
                  <c:v>-0.01201</c:v>
                </c:pt>
                <c:pt idx="13">
                  <c:v>-0.00938600000000001</c:v>
                </c:pt>
                <c:pt idx="14">
                  <c:v>-0.007579</c:v>
                </c:pt>
                <c:pt idx="15">
                  <c:v>-0.00346599999999997</c:v>
                </c:pt>
                <c:pt idx="16">
                  <c:v>-0.00193699999999999</c:v>
                </c:pt>
                <c:pt idx="17">
                  <c:v>0.000529000000000002</c:v>
                </c:pt>
                <c:pt idx="18">
                  <c:v>0.00147460000000001</c:v>
                </c:pt>
                <c:pt idx="19">
                  <c:v>0.0014405</c:v>
                </c:pt>
                <c:pt idx="20">
                  <c:v>0.0015082</c:v>
                </c:pt>
                <c:pt idx="21">
                  <c:v>0.0013756</c:v>
                </c:pt>
                <c:pt idx="22">
                  <c:v>0.00134388</c:v>
                </c:pt>
                <c:pt idx="23">
                  <c:v>0.00097452</c:v>
                </c:pt>
                <c:pt idx="24">
                  <c:v>0.00073995</c:v>
                </c:pt>
                <c:pt idx="25">
                  <c:v>0.00054071</c:v>
                </c:pt>
                <c:pt idx="26">
                  <c:v>0.00031977</c:v>
                </c:pt>
                <c:pt idx="27">
                  <c:v>0.000301232</c:v>
                </c:pt>
                <c:pt idx="28">
                  <c:v>0.000208722</c:v>
                </c:pt>
                <c:pt idx="29">
                  <c:v>0.000153499</c:v>
                </c:pt>
                <c:pt idx="30">
                  <c:v>0.00011322</c:v>
                </c:pt>
                <c:pt idx="31">
                  <c:v>7.1021E-005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depth_stats_stc!$M$1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depth_stats_stc!$M$2:$M$33</c:f>
              <c:numCache>
                <c:formatCode>0.00\ %</c:formatCode>
                <c:ptCount val="32"/>
                <c:pt idx="0">
                  <c:v>-0.0435999999999979</c:v>
                </c:pt>
                <c:pt idx="1">
                  <c:v>0.00959999999999894</c:v>
                </c:pt>
                <c:pt idx="2">
                  <c:v>0.01999</c:v>
                </c:pt>
                <c:pt idx="3">
                  <c:v>0.0205400000000004</c:v>
                </c:pt>
                <c:pt idx="4">
                  <c:v>0.00347999999999971</c:v>
                </c:pt>
                <c:pt idx="5">
                  <c:v>-0.0113199999999996</c:v>
                </c:pt>
                <c:pt idx="6">
                  <c:v>-0.0114100000000001</c:v>
                </c:pt>
                <c:pt idx="7">
                  <c:v>-0.00653999999999977</c:v>
                </c:pt>
                <c:pt idx="8">
                  <c:v>-0.00487000000000037</c:v>
                </c:pt>
                <c:pt idx="9">
                  <c:v>-0.00829000000000013</c:v>
                </c:pt>
                <c:pt idx="10">
                  <c:v>-0.00602999999999998</c:v>
                </c:pt>
                <c:pt idx="11">
                  <c:v>-0.00395999999999996</c:v>
                </c:pt>
                <c:pt idx="12">
                  <c:v>-0.00227699999999997</c:v>
                </c:pt>
                <c:pt idx="13">
                  <c:v>-0.00155899999999998</c:v>
                </c:pt>
                <c:pt idx="14">
                  <c:v>0.00105700000000003</c:v>
                </c:pt>
                <c:pt idx="15">
                  <c:v>0.00339700000000004</c:v>
                </c:pt>
                <c:pt idx="16">
                  <c:v>0.00509499999999999</c:v>
                </c:pt>
                <c:pt idx="17">
                  <c:v>0.00594</c:v>
                </c:pt>
                <c:pt idx="18">
                  <c:v>0.00582980000000001</c:v>
                </c:pt>
                <c:pt idx="19">
                  <c:v>0.0051066</c:v>
                </c:pt>
                <c:pt idx="20">
                  <c:v>0.0044439</c:v>
                </c:pt>
                <c:pt idx="21">
                  <c:v>0.0038783</c:v>
                </c:pt>
                <c:pt idx="22">
                  <c:v>0.00318808</c:v>
                </c:pt>
                <c:pt idx="23">
                  <c:v>0.00234308</c:v>
                </c:pt>
                <c:pt idx="24">
                  <c:v>0.00179093</c:v>
                </c:pt>
                <c:pt idx="25">
                  <c:v>0.00125188</c:v>
                </c:pt>
                <c:pt idx="26">
                  <c:v>0.00086589</c:v>
                </c:pt>
                <c:pt idx="27">
                  <c:v>0.000621182</c:v>
                </c:pt>
                <c:pt idx="28">
                  <c:v>0.000429074</c:v>
                </c:pt>
                <c:pt idx="29">
                  <c:v>0.000313469</c:v>
                </c:pt>
                <c:pt idx="30">
                  <c:v>0.000209447</c:v>
                </c:pt>
                <c:pt idx="31">
                  <c:v>0.000121702</c:v>
                </c:pt>
              </c:numCache>
            </c:numRef>
          </c:yVal>
          <c:smooth val="1"/>
        </c:ser>
        <c:axId val="94439423"/>
        <c:axId val="36171786"/>
      </c:scatterChart>
      <c:valAx>
        <c:axId val="94439423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6171786"/>
        <c:crosses val="autoZero"/>
        <c:crossBetween val="midCat"/>
      </c:valAx>
      <c:valAx>
        <c:axId val="3617178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4439423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layout>
        <c:manualLayout>
          <c:xMode val="edge"/>
          <c:yMode val="edge"/>
          <c:x val="0.126078259782473"/>
          <c:y val="0.04004004004004"/>
          <c:w val="0.873796724590574"/>
          <c:h val="0.959737515293071"/>
        </c:manualLayout>
      </c:layout>
      <c:scatterChart>
        <c:scatterStyle val="lineMarker"/>
        <c:varyColors val="0"/>
        <c:ser>
          <c:idx val="0"/>
          <c:order val="0"/>
          <c:tx>
            <c:strRef>
              <c:f>Tabelle4!$C$1</c:f>
              <c:strCache>
                <c:ptCount val="1"/>
                <c:pt idx="0">
                  <c:v>fh%</c:v>
                </c:pt>
              </c:strCache>
            </c:strRef>
          </c:tx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Tabelle4!$A$2:$A$202</c:f>
              <c:numCache>
                <c:formatCode>General</c:formatCode>
                <c:ptCount val="201"/>
                <c:pt idx="0">
                  <c:v>-100</c:v>
                </c:pt>
                <c:pt idx="1">
                  <c:v>-99</c:v>
                </c:pt>
                <c:pt idx="2">
                  <c:v>-98</c:v>
                </c:pt>
                <c:pt idx="3">
                  <c:v>-97</c:v>
                </c:pt>
                <c:pt idx="4">
                  <c:v>-96</c:v>
                </c:pt>
                <c:pt idx="5">
                  <c:v>-95</c:v>
                </c:pt>
                <c:pt idx="6">
                  <c:v>-94</c:v>
                </c:pt>
                <c:pt idx="7">
                  <c:v>-93</c:v>
                </c:pt>
                <c:pt idx="8">
                  <c:v>-92</c:v>
                </c:pt>
                <c:pt idx="9">
                  <c:v>-91</c:v>
                </c:pt>
                <c:pt idx="10">
                  <c:v>-90</c:v>
                </c:pt>
                <c:pt idx="11">
                  <c:v>-89</c:v>
                </c:pt>
                <c:pt idx="12">
                  <c:v>-88</c:v>
                </c:pt>
                <c:pt idx="13">
                  <c:v>-87</c:v>
                </c:pt>
                <c:pt idx="14">
                  <c:v>-86</c:v>
                </c:pt>
                <c:pt idx="15">
                  <c:v>-85</c:v>
                </c:pt>
                <c:pt idx="16">
                  <c:v>-84</c:v>
                </c:pt>
                <c:pt idx="17">
                  <c:v>-83</c:v>
                </c:pt>
                <c:pt idx="18">
                  <c:v>-82</c:v>
                </c:pt>
                <c:pt idx="19">
                  <c:v>-81</c:v>
                </c:pt>
                <c:pt idx="20">
                  <c:v>-80</c:v>
                </c:pt>
                <c:pt idx="21">
                  <c:v>-79</c:v>
                </c:pt>
                <c:pt idx="22">
                  <c:v>-78</c:v>
                </c:pt>
                <c:pt idx="23">
                  <c:v>-77</c:v>
                </c:pt>
                <c:pt idx="24">
                  <c:v>-76</c:v>
                </c:pt>
                <c:pt idx="25">
                  <c:v>-75</c:v>
                </c:pt>
                <c:pt idx="26">
                  <c:v>-74</c:v>
                </c:pt>
                <c:pt idx="27">
                  <c:v>-73</c:v>
                </c:pt>
                <c:pt idx="28">
                  <c:v>-72</c:v>
                </c:pt>
                <c:pt idx="29">
                  <c:v>-71</c:v>
                </c:pt>
                <c:pt idx="30">
                  <c:v>-70</c:v>
                </c:pt>
                <c:pt idx="31">
                  <c:v>-69</c:v>
                </c:pt>
                <c:pt idx="32">
                  <c:v>-68</c:v>
                </c:pt>
                <c:pt idx="33">
                  <c:v>-67</c:v>
                </c:pt>
                <c:pt idx="34">
                  <c:v>-66</c:v>
                </c:pt>
                <c:pt idx="35">
                  <c:v>-65</c:v>
                </c:pt>
                <c:pt idx="36">
                  <c:v>-64</c:v>
                </c:pt>
                <c:pt idx="37">
                  <c:v>-63</c:v>
                </c:pt>
                <c:pt idx="38">
                  <c:v>-62</c:v>
                </c:pt>
                <c:pt idx="39">
                  <c:v>-61</c:v>
                </c:pt>
                <c:pt idx="40">
                  <c:v>-60</c:v>
                </c:pt>
                <c:pt idx="41">
                  <c:v>-59</c:v>
                </c:pt>
                <c:pt idx="42">
                  <c:v>-58</c:v>
                </c:pt>
                <c:pt idx="43">
                  <c:v>-57</c:v>
                </c:pt>
                <c:pt idx="44">
                  <c:v>-56</c:v>
                </c:pt>
                <c:pt idx="45">
                  <c:v>-55</c:v>
                </c:pt>
                <c:pt idx="46">
                  <c:v>-54</c:v>
                </c:pt>
                <c:pt idx="47">
                  <c:v>-53</c:v>
                </c:pt>
                <c:pt idx="48">
                  <c:v>-52</c:v>
                </c:pt>
                <c:pt idx="49">
                  <c:v>-51</c:v>
                </c:pt>
                <c:pt idx="50">
                  <c:v>-50</c:v>
                </c:pt>
                <c:pt idx="51">
                  <c:v>-49</c:v>
                </c:pt>
                <c:pt idx="52">
                  <c:v>-48</c:v>
                </c:pt>
                <c:pt idx="53">
                  <c:v>-47</c:v>
                </c:pt>
                <c:pt idx="54">
                  <c:v>-46</c:v>
                </c:pt>
                <c:pt idx="55">
                  <c:v>-45</c:v>
                </c:pt>
                <c:pt idx="56">
                  <c:v>-44</c:v>
                </c:pt>
                <c:pt idx="57">
                  <c:v>-43</c:v>
                </c:pt>
                <c:pt idx="58">
                  <c:v>-42</c:v>
                </c:pt>
                <c:pt idx="59">
                  <c:v>-41</c:v>
                </c:pt>
                <c:pt idx="60">
                  <c:v>-40</c:v>
                </c:pt>
                <c:pt idx="61">
                  <c:v>-39</c:v>
                </c:pt>
                <c:pt idx="62">
                  <c:v>-38</c:v>
                </c:pt>
                <c:pt idx="63">
                  <c:v>-37</c:v>
                </c:pt>
                <c:pt idx="64">
                  <c:v>-36</c:v>
                </c:pt>
                <c:pt idx="65">
                  <c:v>-35</c:v>
                </c:pt>
                <c:pt idx="66">
                  <c:v>-34</c:v>
                </c:pt>
                <c:pt idx="67">
                  <c:v>-33</c:v>
                </c:pt>
                <c:pt idx="68">
                  <c:v>-32</c:v>
                </c:pt>
                <c:pt idx="69">
                  <c:v>-31</c:v>
                </c:pt>
                <c:pt idx="70">
                  <c:v>-30</c:v>
                </c:pt>
                <c:pt idx="71">
                  <c:v>-29</c:v>
                </c:pt>
                <c:pt idx="72">
                  <c:v>-28</c:v>
                </c:pt>
                <c:pt idx="73">
                  <c:v>-27</c:v>
                </c:pt>
                <c:pt idx="74">
                  <c:v>-26</c:v>
                </c:pt>
                <c:pt idx="75">
                  <c:v>-25</c:v>
                </c:pt>
                <c:pt idx="76">
                  <c:v>-24</c:v>
                </c:pt>
                <c:pt idx="77">
                  <c:v>-23</c:v>
                </c:pt>
                <c:pt idx="78">
                  <c:v>-22</c:v>
                </c:pt>
                <c:pt idx="79">
                  <c:v>-21</c:v>
                </c:pt>
                <c:pt idx="80">
                  <c:v>-20</c:v>
                </c:pt>
                <c:pt idx="81">
                  <c:v>-19</c:v>
                </c:pt>
                <c:pt idx="82">
                  <c:v>-18</c:v>
                </c:pt>
                <c:pt idx="83">
                  <c:v>-17</c:v>
                </c:pt>
                <c:pt idx="84">
                  <c:v>-16</c:v>
                </c:pt>
                <c:pt idx="85">
                  <c:v>-15</c:v>
                </c:pt>
                <c:pt idx="86">
                  <c:v>-14</c:v>
                </c:pt>
                <c:pt idx="87">
                  <c:v>-13</c:v>
                </c:pt>
                <c:pt idx="88">
                  <c:v>-12</c:v>
                </c:pt>
                <c:pt idx="89">
                  <c:v>-11</c:v>
                </c:pt>
                <c:pt idx="90">
                  <c:v>-10</c:v>
                </c:pt>
                <c:pt idx="91">
                  <c:v>-9</c:v>
                </c:pt>
                <c:pt idx="92">
                  <c:v>-8</c:v>
                </c:pt>
                <c:pt idx="93">
                  <c:v>-7</c:v>
                </c:pt>
                <c:pt idx="94">
                  <c:v>-6</c:v>
                </c:pt>
                <c:pt idx="95">
                  <c:v>-5</c:v>
                </c:pt>
                <c:pt idx="96">
                  <c:v>-4</c:v>
                </c:pt>
                <c:pt idx="97">
                  <c:v>-3</c:v>
                </c:pt>
                <c:pt idx="98">
                  <c:v>-2</c:v>
                </c:pt>
                <c:pt idx="99">
                  <c:v>-1</c:v>
                </c:pt>
                <c:pt idx="100">
                  <c:v>0</c:v>
                </c:pt>
                <c:pt idx="101">
                  <c:v>1</c:v>
                </c:pt>
                <c:pt idx="102">
                  <c:v>2</c:v>
                </c:pt>
                <c:pt idx="103">
                  <c:v>3</c:v>
                </c:pt>
                <c:pt idx="104">
                  <c:v>4</c:v>
                </c:pt>
                <c:pt idx="105">
                  <c:v>5</c:v>
                </c:pt>
                <c:pt idx="106">
                  <c:v>6</c:v>
                </c:pt>
                <c:pt idx="107">
                  <c:v>7</c:v>
                </c:pt>
                <c:pt idx="108">
                  <c:v>8</c:v>
                </c:pt>
                <c:pt idx="109">
                  <c:v>9</c:v>
                </c:pt>
                <c:pt idx="110">
                  <c:v>10</c:v>
                </c:pt>
                <c:pt idx="111">
                  <c:v>11</c:v>
                </c:pt>
                <c:pt idx="112">
                  <c:v>12</c:v>
                </c:pt>
                <c:pt idx="113">
                  <c:v>13</c:v>
                </c:pt>
                <c:pt idx="114">
                  <c:v>14</c:v>
                </c:pt>
                <c:pt idx="115">
                  <c:v>15</c:v>
                </c:pt>
                <c:pt idx="116">
                  <c:v>16</c:v>
                </c:pt>
                <c:pt idx="117">
                  <c:v>17</c:v>
                </c:pt>
                <c:pt idx="118">
                  <c:v>18</c:v>
                </c:pt>
                <c:pt idx="119">
                  <c:v>19</c:v>
                </c:pt>
                <c:pt idx="120">
                  <c:v>20</c:v>
                </c:pt>
                <c:pt idx="121">
                  <c:v>21</c:v>
                </c:pt>
                <c:pt idx="122">
                  <c:v>22</c:v>
                </c:pt>
                <c:pt idx="123">
                  <c:v>23</c:v>
                </c:pt>
                <c:pt idx="124">
                  <c:v>24</c:v>
                </c:pt>
                <c:pt idx="125">
                  <c:v>25</c:v>
                </c:pt>
                <c:pt idx="126">
                  <c:v>26</c:v>
                </c:pt>
                <c:pt idx="127">
                  <c:v>27</c:v>
                </c:pt>
                <c:pt idx="128">
                  <c:v>28</c:v>
                </c:pt>
                <c:pt idx="129">
                  <c:v>29</c:v>
                </c:pt>
                <c:pt idx="130">
                  <c:v>30</c:v>
                </c:pt>
                <c:pt idx="131">
                  <c:v>31</c:v>
                </c:pt>
                <c:pt idx="132">
                  <c:v>32</c:v>
                </c:pt>
                <c:pt idx="133">
                  <c:v>33</c:v>
                </c:pt>
                <c:pt idx="134">
                  <c:v>34</c:v>
                </c:pt>
                <c:pt idx="135">
                  <c:v>35</c:v>
                </c:pt>
                <c:pt idx="136">
                  <c:v>36</c:v>
                </c:pt>
                <c:pt idx="137">
                  <c:v>37</c:v>
                </c:pt>
                <c:pt idx="138">
                  <c:v>38</c:v>
                </c:pt>
                <c:pt idx="139">
                  <c:v>39</c:v>
                </c:pt>
                <c:pt idx="140">
                  <c:v>40</c:v>
                </c:pt>
                <c:pt idx="141">
                  <c:v>41</c:v>
                </c:pt>
                <c:pt idx="142">
                  <c:v>42</c:v>
                </c:pt>
                <c:pt idx="143">
                  <c:v>43</c:v>
                </c:pt>
                <c:pt idx="144">
                  <c:v>44</c:v>
                </c:pt>
                <c:pt idx="145">
                  <c:v>45</c:v>
                </c:pt>
                <c:pt idx="146">
                  <c:v>46</c:v>
                </c:pt>
                <c:pt idx="147">
                  <c:v>47</c:v>
                </c:pt>
                <c:pt idx="148">
                  <c:v>48</c:v>
                </c:pt>
                <c:pt idx="149">
                  <c:v>49</c:v>
                </c:pt>
                <c:pt idx="150">
                  <c:v>50</c:v>
                </c:pt>
                <c:pt idx="151">
                  <c:v>51</c:v>
                </c:pt>
                <c:pt idx="152">
                  <c:v>52</c:v>
                </c:pt>
                <c:pt idx="153">
                  <c:v>53</c:v>
                </c:pt>
                <c:pt idx="154">
                  <c:v>54</c:v>
                </c:pt>
                <c:pt idx="155">
                  <c:v>55</c:v>
                </c:pt>
                <c:pt idx="156">
                  <c:v>56</c:v>
                </c:pt>
                <c:pt idx="157">
                  <c:v>57</c:v>
                </c:pt>
                <c:pt idx="158">
                  <c:v>58</c:v>
                </c:pt>
                <c:pt idx="159">
                  <c:v>59</c:v>
                </c:pt>
                <c:pt idx="160">
                  <c:v>60</c:v>
                </c:pt>
                <c:pt idx="161">
                  <c:v>61</c:v>
                </c:pt>
                <c:pt idx="162">
                  <c:v>62</c:v>
                </c:pt>
                <c:pt idx="163">
                  <c:v>63</c:v>
                </c:pt>
                <c:pt idx="164">
                  <c:v>64</c:v>
                </c:pt>
                <c:pt idx="165">
                  <c:v>65</c:v>
                </c:pt>
                <c:pt idx="166">
                  <c:v>66</c:v>
                </c:pt>
                <c:pt idx="167">
                  <c:v>67</c:v>
                </c:pt>
                <c:pt idx="168">
                  <c:v>68</c:v>
                </c:pt>
                <c:pt idx="169">
                  <c:v>69</c:v>
                </c:pt>
                <c:pt idx="170">
                  <c:v>70</c:v>
                </c:pt>
                <c:pt idx="171">
                  <c:v>71</c:v>
                </c:pt>
                <c:pt idx="172">
                  <c:v>72</c:v>
                </c:pt>
                <c:pt idx="173">
                  <c:v>73</c:v>
                </c:pt>
                <c:pt idx="174">
                  <c:v>74</c:v>
                </c:pt>
                <c:pt idx="175">
                  <c:v>75</c:v>
                </c:pt>
                <c:pt idx="176">
                  <c:v>76</c:v>
                </c:pt>
                <c:pt idx="177">
                  <c:v>77</c:v>
                </c:pt>
                <c:pt idx="178">
                  <c:v>78</c:v>
                </c:pt>
                <c:pt idx="179">
                  <c:v>79</c:v>
                </c:pt>
                <c:pt idx="180">
                  <c:v>80</c:v>
                </c:pt>
                <c:pt idx="181">
                  <c:v>81</c:v>
                </c:pt>
                <c:pt idx="182">
                  <c:v>82</c:v>
                </c:pt>
                <c:pt idx="183">
                  <c:v>83</c:v>
                </c:pt>
                <c:pt idx="184">
                  <c:v>84</c:v>
                </c:pt>
                <c:pt idx="185">
                  <c:v>85</c:v>
                </c:pt>
                <c:pt idx="186">
                  <c:v>86</c:v>
                </c:pt>
                <c:pt idx="187">
                  <c:v>87</c:v>
                </c:pt>
                <c:pt idx="188">
                  <c:v>88</c:v>
                </c:pt>
                <c:pt idx="189">
                  <c:v>89</c:v>
                </c:pt>
                <c:pt idx="190">
                  <c:v>90</c:v>
                </c:pt>
                <c:pt idx="191">
                  <c:v>91</c:v>
                </c:pt>
                <c:pt idx="192">
                  <c:v>92</c:v>
                </c:pt>
                <c:pt idx="193">
                  <c:v>93</c:v>
                </c:pt>
                <c:pt idx="194">
                  <c:v>94</c:v>
                </c:pt>
                <c:pt idx="195">
                  <c:v>95</c:v>
                </c:pt>
                <c:pt idx="196">
                  <c:v>96</c:v>
                </c:pt>
                <c:pt idx="197">
                  <c:v>97</c:v>
                </c:pt>
                <c:pt idx="198">
                  <c:v>98</c:v>
                </c:pt>
                <c:pt idx="199">
                  <c:v>99</c:v>
                </c:pt>
                <c:pt idx="200">
                  <c:v>100</c:v>
                </c:pt>
              </c:numCache>
            </c:numRef>
          </c:xVal>
          <c:yVal>
            <c:numRef>
              <c:f>Tabelle4!$C$2:$C$202</c:f>
              <c:numCache>
                <c:formatCode>General</c:formatCode>
                <c:ptCount val="201"/>
                <c:pt idx="0">
                  <c:v>5.00911</c:v>
                </c:pt>
                <c:pt idx="1">
                  <c:v>7.24638</c:v>
                </c:pt>
                <c:pt idx="2">
                  <c:v>6.25</c:v>
                </c:pt>
                <c:pt idx="3">
                  <c:v>11.7647</c:v>
                </c:pt>
                <c:pt idx="4">
                  <c:v>2.43902</c:v>
                </c:pt>
                <c:pt idx="5">
                  <c:v>11.6279</c:v>
                </c:pt>
                <c:pt idx="6">
                  <c:v>4.10959</c:v>
                </c:pt>
                <c:pt idx="7">
                  <c:v>4.08163</c:v>
                </c:pt>
                <c:pt idx="8">
                  <c:v>2.77778</c:v>
                </c:pt>
                <c:pt idx="9">
                  <c:v>8</c:v>
                </c:pt>
                <c:pt idx="10">
                  <c:v>3.07692</c:v>
                </c:pt>
                <c:pt idx="11">
                  <c:v>6.34921</c:v>
                </c:pt>
                <c:pt idx="12">
                  <c:v>8.10811</c:v>
                </c:pt>
                <c:pt idx="13">
                  <c:v>2.27273</c:v>
                </c:pt>
                <c:pt idx="14">
                  <c:v>9.47368</c:v>
                </c:pt>
                <c:pt idx="15">
                  <c:v>3.47826</c:v>
                </c:pt>
                <c:pt idx="16">
                  <c:v>7.14286</c:v>
                </c:pt>
                <c:pt idx="17">
                  <c:v>8.33333</c:v>
                </c:pt>
                <c:pt idx="18">
                  <c:v>5.06329</c:v>
                </c:pt>
                <c:pt idx="19">
                  <c:v>6.38298</c:v>
                </c:pt>
                <c:pt idx="20">
                  <c:v>5.40541</c:v>
                </c:pt>
                <c:pt idx="21">
                  <c:v>4.65116</c:v>
                </c:pt>
                <c:pt idx="22">
                  <c:v>7.04225</c:v>
                </c:pt>
                <c:pt idx="23">
                  <c:v>3.57143</c:v>
                </c:pt>
                <c:pt idx="24">
                  <c:v>7.57576</c:v>
                </c:pt>
                <c:pt idx="25">
                  <c:v>7.24638</c:v>
                </c:pt>
                <c:pt idx="26">
                  <c:v>5.26316</c:v>
                </c:pt>
                <c:pt idx="27">
                  <c:v>7.89474</c:v>
                </c:pt>
                <c:pt idx="28">
                  <c:v>7.14286</c:v>
                </c:pt>
                <c:pt idx="29">
                  <c:v>8.13953</c:v>
                </c:pt>
                <c:pt idx="30">
                  <c:v>6.98925</c:v>
                </c:pt>
                <c:pt idx="31">
                  <c:v>11.2676</c:v>
                </c:pt>
                <c:pt idx="32">
                  <c:v>11.1675</c:v>
                </c:pt>
                <c:pt idx="33">
                  <c:v>8.29876</c:v>
                </c:pt>
                <c:pt idx="34">
                  <c:v>5.46875</c:v>
                </c:pt>
                <c:pt idx="35">
                  <c:v>7.60456</c:v>
                </c:pt>
                <c:pt idx="36">
                  <c:v>4.41989</c:v>
                </c:pt>
                <c:pt idx="37">
                  <c:v>3.7037</c:v>
                </c:pt>
                <c:pt idx="38">
                  <c:v>5.09383</c:v>
                </c:pt>
                <c:pt idx="39">
                  <c:v>4.90196</c:v>
                </c:pt>
                <c:pt idx="40">
                  <c:v>6</c:v>
                </c:pt>
                <c:pt idx="41">
                  <c:v>7.50605</c:v>
                </c:pt>
                <c:pt idx="42">
                  <c:v>4.8433</c:v>
                </c:pt>
                <c:pt idx="43">
                  <c:v>5.04451</c:v>
                </c:pt>
                <c:pt idx="44">
                  <c:v>3.61757</c:v>
                </c:pt>
                <c:pt idx="45">
                  <c:v>4.14747</c:v>
                </c:pt>
                <c:pt idx="46">
                  <c:v>5.54415</c:v>
                </c:pt>
                <c:pt idx="47">
                  <c:v>4.81013</c:v>
                </c:pt>
                <c:pt idx="48">
                  <c:v>4.375</c:v>
                </c:pt>
                <c:pt idx="49">
                  <c:v>6.06796</c:v>
                </c:pt>
                <c:pt idx="50">
                  <c:v>4.4484</c:v>
                </c:pt>
                <c:pt idx="51">
                  <c:v>4.6875</c:v>
                </c:pt>
                <c:pt idx="52">
                  <c:v>4.58015</c:v>
                </c:pt>
                <c:pt idx="53">
                  <c:v>3.65385</c:v>
                </c:pt>
                <c:pt idx="54">
                  <c:v>4.22323</c:v>
                </c:pt>
                <c:pt idx="55">
                  <c:v>3.27044</c:v>
                </c:pt>
                <c:pt idx="56">
                  <c:v>3.55828</c:v>
                </c:pt>
                <c:pt idx="57">
                  <c:v>4.56621</c:v>
                </c:pt>
                <c:pt idx="58">
                  <c:v>2.59849</c:v>
                </c:pt>
                <c:pt idx="59">
                  <c:v>4.06835</c:v>
                </c:pt>
                <c:pt idx="60">
                  <c:v>2.94785</c:v>
                </c:pt>
                <c:pt idx="61">
                  <c:v>4.23453</c:v>
                </c:pt>
                <c:pt idx="62">
                  <c:v>4.03917</c:v>
                </c:pt>
                <c:pt idx="63">
                  <c:v>3.8105</c:v>
                </c:pt>
                <c:pt idx="64">
                  <c:v>2.82776</c:v>
                </c:pt>
                <c:pt idx="65">
                  <c:v>3.88484</c:v>
                </c:pt>
                <c:pt idx="66">
                  <c:v>3.64936</c:v>
                </c:pt>
                <c:pt idx="67">
                  <c:v>3.5279</c:v>
                </c:pt>
                <c:pt idx="68">
                  <c:v>3.79301</c:v>
                </c:pt>
                <c:pt idx="69">
                  <c:v>4.20896</c:v>
                </c:pt>
                <c:pt idx="70">
                  <c:v>3.78044</c:v>
                </c:pt>
                <c:pt idx="71">
                  <c:v>4.59205</c:v>
                </c:pt>
                <c:pt idx="72">
                  <c:v>3.88007</c:v>
                </c:pt>
                <c:pt idx="73">
                  <c:v>3.45135</c:v>
                </c:pt>
                <c:pt idx="74">
                  <c:v>3.56146</c:v>
                </c:pt>
                <c:pt idx="75">
                  <c:v>3.93123</c:v>
                </c:pt>
                <c:pt idx="76">
                  <c:v>3.6981</c:v>
                </c:pt>
                <c:pt idx="77">
                  <c:v>3.73896</c:v>
                </c:pt>
                <c:pt idx="78">
                  <c:v>3.49557</c:v>
                </c:pt>
                <c:pt idx="79">
                  <c:v>3.82029</c:v>
                </c:pt>
                <c:pt idx="80">
                  <c:v>3.45441</c:v>
                </c:pt>
                <c:pt idx="81">
                  <c:v>3.8722</c:v>
                </c:pt>
                <c:pt idx="82">
                  <c:v>3.71792</c:v>
                </c:pt>
                <c:pt idx="83">
                  <c:v>3.57071</c:v>
                </c:pt>
                <c:pt idx="84">
                  <c:v>3.57243</c:v>
                </c:pt>
                <c:pt idx="85">
                  <c:v>3.8775</c:v>
                </c:pt>
                <c:pt idx="86">
                  <c:v>3.81758</c:v>
                </c:pt>
                <c:pt idx="87">
                  <c:v>3.98692</c:v>
                </c:pt>
                <c:pt idx="88">
                  <c:v>3.99339</c:v>
                </c:pt>
                <c:pt idx="89">
                  <c:v>4.36919</c:v>
                </c:pt>
                <c:pt idx="90">
                  <c:v>4.49893</c:v>
                </c:pt>
                <c:pt idx="91">
                  <c:v>4.66779</c:v>
                </c:pt>
                <c:pt idx="92">
                  <c:v>4.835</c:v>
                </c:pt>
                <c:pt idx="93">
                  <c:v>4.9983</c:v>
                </c:pt>
                <c:pt idx="94">
                  <c:v>5.25335</c:v>
                </c:pt>
                <c:pt idx="95">
                  <c:v>5.41395</c:v>
                </c:pt>
                <c:pt idx="96">
                  <c:v>5.35717</c:v>
                </c:pt>
                <c:pt idx="97">
                  <c:v>5.32823</c:v>
                </c:pt>
                <c:pt idx="98">
                  <c:v>5.2015</c:v>
                </c:pt>
                <c:pt idx="99">
                  <c:v>5.04838</c:v>
                </c:pt>
                <c:pt idx="100">
                  <c:v>22.288</c:v>
                </c:pt>
                <c:pt idx="101">
                  <c:v>46.3601</c:v>
                </c:pt>
                <c:pt idx="102">
                  <c:v>48.1893</c:v>
                </c:pt>
                <c:pt idx="103">
                  <c:v>50.6587</c:v>
                </c:pt>
                <c:pt idx="104">
                  <c:v>52.0671</c:v>
                </c:pt>
                <c:pt idx="105">
                  <c:v>53.3293</c:v>
                </c:pt>
                <c:pt idx="106">
                  <c:v>54.1439</c:v>
                </c:pt>
                <c:pt idx="107">
                  <c:v>55.9893</c:v>
                </c:pt>
                <c:pt idx="108">
                  <c:v>57.1486</c:v>
                </c:pt>
                <c:pt idx="109">
                  <c:v>57.5182</c:v>
                </c:pt>
                <c:pt idx="110">
                  <c:v>58.9235</c:v>
                </c:pt>
                <c:pt idx="111">
                  <c:v>59.1926</c:v>
                </c:pt>
                <c:pt idx="112">
                  <c:v>60.2842</c:v>
                </c:pt>
                <c:pt idx="113">
                  <c:v>61.1636</c:v>
                </c:pt>
                <c:pt idx="114">
                  <c:v>61.0936</c:v>
                </c:pt>
                <c:pt idx="115">
                  <c:v>61.6592</c:v>
                </c:pt>
                <c:pt idx="116">
                  <c:v>62.7054</c:v>
                </c:pt>
                <c:pt idx="117">
                  <c:v>62.8293</c:v>
                </c:pt>
                <c:pt idx="118">
                  <c:v>63.2024</c:v>
                </c:pt>
                <c:pt idx="119">
                  <c:v>64.0333</c:v>
                </c:pt>
                <c:pt idx="120">
                  <c:v>64.9262</c:v>
                </c:pt>
                <c:pt idx="121">
                  <c:v>65.6737</c:v>
                </c:pt>
                <c:pt idx="122">
                  <c:v>66.6004</c:v>
                </c:pt>
                <c:pt idx="123">
                  <c:v>67.4526</c:v>
                </c:pt>
                <c:pt idx="124">
                  <c:v>67.294</c:v>
                </c:pt>
                <c:pt idx="125">
                  <c:v>67.8116</c:v>
                </c:pt>
                <c:pt idx="126">
                  <c:v>68.3108</c:v>
                </c:pt>
                <c:pt idx="127">
                  <c:v>69.34</c:v>
                </c:pt>
                <c:pt idx="128">
                  <c:v>69.7338</c:v>
                </c:pt>
                <c:pt idx="129">
                  <c:v>69.8042</c:v>
                </c:pt>
                <c:pt idx="130">
                  <c:v>70.4599</c:v>
                </c:pt>
                <c:pt idx="131">
                  <c:v>71.0162</c:v>
                </c:pt>
                <c:pt idx="132">
                  <c:v>70.5959</c:v>
                </c:pt>
                <c:pt idx="133">
                  <c:v>71.8073</c:v>
                </c:pt>
                <c:pt idx="134">
                  <c:v>71.8673</c:v>
                </c:pt>
                <c:pt idx="135">
                  <c:v>72.6279</c:v>
                </c:pt>
                <c:pt idx="136">
                  <c:v>72.7493</c:v>
                </c:pt>
                <c:pt idx="137">
                  <c:v>72.9043</c:v>
                </c:pt>
                <c:pt idx="138">
                  <c:v>73.8433</c:v>
                </c:pt>
                <c:pt idx="139">
                  <c:v>73.2041</c:v>
                </c:pt>
                <c:pt idx="140">
                  <c:v>72.7624</c:v>
                </c:pt>
                <c:pt idx="141">
                  <c:v>73.5732</c:v>
                </c:pt>
                <c:pt idx="142">
                  <c:v>73.9663</c:v>
                </c:pt>
                <c:pt idx="143">
                  <c:v>75.7643</c:v>
                </c:pt>
                <c:pt idx="144">
                  <c:v>75.3298</c:v>
                </c:pt>
                <c:pt idx="145">
                  <c:v>74.2929</c:v>
                </c:pt>
                <c:pt idx="146">
                  <c:v>75.8835</c:v>
                </c:pt>
                <c:pt idx="147">
                  <c:v>75.308</c:v>
                </c:pt>
                <c:pt idx="148">
                  <c:v>75.1792</c:v>
                </c:pt>
                <c:pt idx="149">
                  <c:v>76.3141</c:v>
                </c:pt>
                <c:pt idx="150">
                  <c:v>77.3891</c:v>
                </c:pt>
                <c:pt idx="151">
                  <c:v>77.5563</c:v>
                </c:pt>
                <c:pt idx="152">
                  <c:v>78.3695</c:v>
                </c:pt>
                <c:pt idx="153">
                  <c:v>77.6984</c:v>
                </c:pt>
                <c:pt idx="154">
                  <c:v>79.1335</c:v>
                </c:pt>
                <c:pt idx="155">
                  <c:v>77.9587</c:v>
                </c:pt>
                <c:pt idx="156">
                  <c:v>78.8058</c:v>
                </c:pt>
                <c:pt idx="157">
                  <c:v>80.0071</c:v>
                </c:pt>
                <c:pt idx="158">
                  <c:v>79.0011</c:v>
                </c:pt>
                <c:pt idx="159">
                  <c:v>79.786</c:v>
                </c:pt>
                <c:pt idx="160">
                  <c:v>79.0153</c:v>
                </c:pt>
                <c:pt idx="161">
                  <c:v>78.1686</c:v>
                </c:pt>
                <c:pt idx="162">
                  <c:v>80.5168</c:v>
                </c:pt>
                <c:pt idx="163">
                  <c:v>81.6389</c:v>
                </c:pt>
                <c:pt idx="164">
                  <c:v>82.3069</c:v>
                </c:pt>
                <c:pt idx="165">
                  <c:v>80.7742</c:v>
                </c:pt>
                <c:pt idx="166">
                  <c:v>81.9237</c:v>
                </c:pt>
                <c:pt idx="167">
                  <c:v>82.4727</c:v>
                </c:pt>
                <c:pt idx="168">
                  <c:v>82.963</c:v>
                </c:pt>
                <c:pt idx="169">
                  <c:v>82.5673</c:v>
                </c:pt>
                <c:pt idx="170">
                  <c:v>81.2697</c:v>
                </c:pt>
                <c:pt idx="171">
                  <c:v>79.8091</c:v>
                </c:pt>
                <c:pt idx="172">
                  <c:v>82.6915</c:v>
                </c:pt>
                <c:pt idx="173">
                  <c:v>82.9723</c:v>
                </c:pt>
                <c:pt idx="174">
                  <c:v>83.5526</c:v>
                </c:pt>
                <c:pt idx="175">
                  <c:v>81.7888</c:v>
                </c:pt>
                <c:pt idx="176">
                  <c:v>82.5087</c:v>
                </c:pt>
                <c:pt idx="177">
                  <c:v>84.2388</c:v>
                </c:pt>
                <c:pt idx="178">
                  <c:v>83.6976</c:v>
                </c:pt>
                <c:pt idx="179">
                  <c:v>84.446</c:v>
                </c:pt>
                <c:pt idx="180">
                  <c:v>84.0685</c:v>
                </c:pt>
                <c:pt idx="181">
                  <c:v>83.0097</c:v>
                </c:pt>
                <c:pt idx="182">
                  <c:v>83.1477</c:v>
                </c:pt>
                <c:pt idx="183">
                  <c:v>85.0435</c:v>
                </c:pt>
                <c:pt idx="184">
                  <c:v>82.648</c:v>
                </c:pt>
                <c:pt idx="185">
                  <c:v>84.9541</c:v>
                </c:pt>
                <c:pt idx="186">
                  <c:v>84.3544</c:v>
                </c:pt>
                <c:pt idx="187">
                  <c:v>80.5044</c:v>
                </c:pt>
                <c:pt idx="188">
                  <c:v>83.8895</c:v>
                </c:pt>
                <c:pt idx="189">
                  <c:v>86.9616</c:v>
                </c:pt>
                <c:pt idx="190">
                  <c:v>88.4422</c:v>
                </c:pt>
                <c:pt idx="191">
                  <c:v>80.9456</c:v>
                </c:pt>
                <c:pt idx="192">
                  <c:v>87.7375</c:v>
                </c:pt>
                <c:pt idx="193">
                  <c:v>80.8799</c:v>
                </c:pt>
                <c:pt idx="194">
                  <c:v>87.169</c:v>
                </c:pt>
                <c:pt idx="195">
                  <c:v>81.8737</c:v>
                </c:pt>
                <c:pt idx="196">
                  <c:v>82.6271</c:v>
                </c:pt>
                <c:pt idx="197">
                  <c:v>82.6506</c:v>
                </c:pt>
                <c:pt idx="198">
                  <c:v>73.4021</c:v>
                </c:pt>
                <c:pt idx="199">
                  <c:v>88.1503</c:v>
                </c:pt>
                <c:pt idx="200">
                  <c:v>80.7281</c:v>
                </c:pt>
              </c:numCache>
            </c:numRef>
          </c:yVal>
          <c:smooth val="0"/>
        </c:ser>
        <c:axId val="33766797"/>
        <c:axId val="87463833"/>
      </c:scatterChart>
      <c:valAx>
        <c:axId val="3376679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7463833"/>
        <c:crossesAt val="0"/>
        <c:crossBetween val="midCat"/>
      </c:valAx>
      <c:valAx>
        <c:axId val="87463833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3766797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allnode!$A$1:$A$1000</c:f>
              <c:numCache>
                <c:formatCode>General</c:formatCode>
                <c:ptCount val="10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</c:numCache>
            </c:numRef>
          </c:xVal>
          <c:yVal>
            <c:numRef>
              <c:f>allnode!$B$1:$B$1000</c:f>
              <c:numCache>
                <c:formatCode>General</c:formatCode>
                <c:ptCount val="1000"/>
                <c:pt idx="0">
                  <c:v>13.3811</c:v>
                </c:pt>
                <c:pt idx="1">
                  <c:v>13.2765</c:v>
                </c:pt>
                <c:pt idx="2">
                  <c:v>13.1761</c:v>
                </c:pt>
                <c:pt idx="3">
                  <c:v>13.0792</c:v>
                </c:pt>
                <c:pt idx="4">
                  <c:v>12.9739</c:v>
                </c:pt>
                <c:pt idx="5">
                  <c:v>12.8667</c:v>
                </c:pt>
                <c:pt idx="6">
                  <c:v>12.764</c:v>
                </c:pt>
                <c:pt idx="7">
                  <c:v>12.6629</c:v>
                </c:pt>
                <c:pt idx="8">
                  <c:v>12.5667</c:v>
                </c:pt>
                <c:pt idx="9">
                  <c:v>12.4691</c:v>
                </c:pt>
                <c:pt idx="10">
                  <c:v>12.372</c:v>
                </c:pt>
                <c:pt idx="11">
                  <c:v>12.2775</c:v>
                </c:pt>
                <c:pt idx="12">
                  <c:v>12.1858</c:v>
                </c:pt>
                <c:pt idx="13">
                  <c:v>12.0945</c:v>
                </c:pt>
                <c:pt idx="14">
                  <c:v>12.0032</c:v>
                </c:pt>
                <c:pt idx="15">
                  <c:v>11.9176</c:v>
                </c:pt>
                <c:pt idx="16">
                  <c:v>11.8289</c:v>
                </c:pt>
                <c:pt idx="17">
                  <c:v>11.7412</c:v>
                </c:pt>
                <c:pt idx="18">
                  <c:v>11.6587</c:v>
                </c:pt>
                <c:pt idx="19">
                  <c:v>11.5748</c:v>
                </c:pt>
                <c:pt idx="20">
                  <c:v>11.498</c:v>
                </c:pt>
                <c:pt idx="21">
                  <c:v>11.42</c:v>
                </c:pt>
                <c:pt idx="22">
                  <c:v>11.3388</c:v>
                </c:pt>
                <c:pt idx="23">
                  <c:v>11.265</c:v>
                </c:pt>
                <c:pt idx="24">
                  <c:v>11.192</c:v>
                </c:pt>
                <c:pt idx="25">
                  <c:v>11.116</c:v>
                </c:pt>
                <c:pt idx="26">
                  <c:v>11.0445</c:v>
                </c:pt>
                <c:pt idx="27">
                  <c:v>10.9753</c:v>
                </c:pt>
                <c:pt idx="28">
                  <c:v>10.9045</c:v>
                </c:pt>
                <c:pt idx="29">
                  <c:v>10.8382</c:v>
                </c:pt>
                <c:pt idx="30">
                  <c:v>10.7666</c:v>
                </c:pt>
                <c:pt idx="31">
                  <c:v>10.696</c:v>
                </c:pt>
                <c:pt idx="32">
                  <c:v>10.6263</c:v>
                </c:pt>
                <c:pt idx="33">
                  <c:v>10.5611</c:v>
                </c:pt>
                <c:pt idx="34">
                  <c:v>10.4967</c:v>
                </c:pt>
                <c:pt idx="35">
                  <c:v>10.4339</c:v>
                </c:pt>
                <c:pt idx="36">
                  <c:v>10.3729</c:v>
                </c:pt>
                <c:pt idx="37">
                  <c:v>10.3119</c:v>
                </c:pt>
                <c:pt idx="38">
                  <c:v>10.2556</c:v>
                </c:pt>
                <c:pt idx="39">
                  <c:v>10.1928</c:v>
                </c:pt>
                <c:pt idx="40">
                  <c:v>10.1292</c:v>
                </c:pt>
                <c:pt idx="41">
                  <c:v>10.0707</c:v>
                </c:pt>
                <c:pt idx="42">
                  <c:v>10.0182</c:v>
                </c:pt>
                <c:pt idx="43">
                  <c:v>9.96087</c:v>
                </c:pt>
                <c:pt idx="44">
                  <c:v>9.90538</c:v>
                </c:pt>
                <c:pt idx="45">
                  <c:v>9.8462</c:v>
                </c:pt>
                <c:pt idx="46">
                  <c:v>9.79274</c:v>
                </c:pt>
                <c:pt idx="47">
                  <c:v>9.73933</c:v>
                </c:pt>
                <c:pt idx="48">
                  <c:v>9.68246</c:v>
                </c:pt>
                <c:pt idx="49">
                  <c:v>9.63096</c:v>
                </c:pt>
                <c:pt idx="50">
                  <c:v>9.57679</c:v>
                </c:pt>
                <c:pt idx="51">
                  <c:v>9.52488</c:v>
                </c:pt>
                <c:pt idx="52">
                  <c:v>9.47363</c:v>
                </c:pt>
                <c:pt idx="53">
                  <c:v>9.42122</c:v>
                </c:pt>
                <c:pt idx="54">
                  <c:v>9.36942</c:v>
                </c:pt>
                <c:pt idx="55">
                  <c:v>9.32503</c:v>
                </c:pt>
                <c:pt idx="56">
                  <c:v>9.27966</c:v>
                </c:pt>
                <c:pt idx="57">
                  <c:v>9.23124</c:v>
                </c:pt>
                <c:pt idx="58">
                  <c:v>9.18702</c:v>
                </c:pt>
                <c:pt idx="59">
                  <c:v>9.14174</c:v>
                </c:pt>
                <c:pt idx="60">
                  <c:v>9.09197</c:v>
                </c:pt>
                <c:pt idx="61">
                  <c:v>9.04862</c:v>
                </c:pt>
                <c:pt idx="62">
                  <c:v>9.00207</c:v>
                </c:pt>
                <c:pt idx="63">
                  <c:v>8.95531</c:v>
                </c:pt>
                <c:pt idx="64">
                  <c:v>8.91044</c:v>
                </c:pt>
                <c:pt idx="65">
                  <c:v>8.86668</c:v>
                </c:pt>
                <c:pt idx="66">
                  <c:v>8.82143</c:v>
                </c:pt>
                <c:pt idx="67">
                  <c:v>8.77653</c:v>
                </c:pt>
                <c:pt idx="68">
                  <c:v>8.73488</c:v>
                </c:pt>
                <c:pt idx="69">
                  <c:v>8.6908</c:v>
                </c:pt>
                <c:pt idx="70">
                  <c:v>8.64604</c:v>
                </c:pt>
                <c:pt idx="71">
                  <c:v>8.60527</c:v>
                </c:pt>
                <c:pt idx="72">
                  <c:v>8.56006</c:v>
                </c:pt>
                <c:pt idx="73">
                  <c:v>8.51556</c:v>
                </c:pt>
                <c:pt idx="74">
                  <c:v>8.46834</c:v>
                </c:pt>
                <c:pt idx="75">
                  <c:v>8.42947</c:v>
                </c:pt>
                <c:pt idx="76">
                  <c:v>8.38979</c:v>
                </c:pt>
                <c:pt idx="77">
                  <c:v>8.34864</c:v>
                </c:pt>
                <c:pt idx="78">
                  <c:v>8.30678</c:v>
                </c:pt>
                <c:pt idx="79">
                  <c:v>8.26512</c:v>
                </c:pt>
                <c:pt idx="80">
                  <c:v>8.22347</c:v>
                </c:pt>
                <c:pt idx="81">
                  <c:v>8.17685</c:v>
                </c:pt>
                <c:pt idx="82">
                  <c:v>8.144</c:v>
                </c:pt>
                <c:pt idx="83">
                  <c:v>8.10569</c:v>
                </c:pt>
                <c:pt idx="84">
                  <c:v>8.06644</c:v>
                </c:pt>
                <c:pt idx="85">
                  <c:v>8.02578</c:v>
                </c:pt>
                <c:pt idx="86">
                  <c:v>7.98701</c:v>
                </c:pt>
                <c:pt idx="87">
                  <c:v>7.94903</c:v>
                </c:pt>
                <c:pt idx="88">
                  <c:v>7.90812</c:v>
                </c:pt>
                <c:pt idx="89">
                  <c:v>7.87252</c:v>
                </c:pt>
                <c:pt idx="90">
                  <c:v>7.83087</c:v>
                </c:pt>
                <c:pt idx="91">
                  <c:v>7.79566</c:v>
                </c:pt>
                <c:pt idx="92">
                  <c:v>7.75562</c:v>
                </c:pt>
                <c:pt idx="93">
                  <c:v>7.71872</c:v>
                </c:pt>
                <c:pt idx="94">
                  <c:v>7.68084</c:v>
                </c:pt>
                <c:pt idx="95">
                  <c:v>7.64381</c:v>
                </c:pt>
                <c:pt idx="96">
                  <c:v>7.60948</c:v>
                </c:pt>
                <c:pt idx="97">
                  <c:v>7.57401</c:v>
                </c:pt>
                <c:pt idx="98">
                  <c:v>7.54293</c:v>
                </c:pt>
                <c:pt idx="99">
                  <c:v>7.5062</c:v>
                </c:pt>
                <c:pt idx="100">
                  <c:v>7.47203</c:v>
                </c:pt>
                <c:pt idx="101">
                  <c:v>7.43904</c:v>
                </c:pt>
                <c:pt idx="102">
                  <c:v>7.4068</c:v>
                </c:pt>
                <c:pt idx="103">
                  <c:v>7.37067</c:v>
                </c:pt>
                <c:pt idx="104">
                  <c:v>7.33831</c:v>
                </c:pt>
                <c:pt idx="105">
                  <c:v>7.30625</c:v>
                </c:pt>
                <c:pt idx="106">
                  <c:v>7.27347</c:v>
                </c:pt>
                <c:pt idx="107">
                  <c:v>7.2398</c:v>
                </c:pt>
                <c:pt idx="108">
                  <c:v>7.20962</c:v>
                </c:pt>
                <c:pt idx="109">
                  <c:v>7.17628</c:v>
                </c:pt>
                <c:pt idx="110">
                  <c:v>7.14379</c:v>
                </c:pt>
                <c:pt idx="111">
                  <c:v>7.10859</c:v>
                </c:pt>
                <c:pt idx="112">
                  <c:v>7.08111</c:v>
                </c:pt>
                <c:pt idx="113">
                  <c:v>7.04747</c:v>
                </c:pt>
                <c:pt idx="114">
                  <c:v>7.01519</c:v>
                </c:pt>
                <c:pt idx="115">
                  <c:v>6.98408</c:v>
                </c:pt>
                <c:pt idx="116">
                  <c:v>6.94756</c:v>
                </c:pt>
                <c:pt idx="117">
                  <c:v>6.91711</c:v>
                </c:pt>
                <c:pt idx="118">
                  <c:v>6.8871</c:v>
                </c:pt>
                <c:pt idx="119">
                  <c:v>6.85186</c:v>
                </c:pt>
                <c:pt idx="120">
                  <c:v>6.81789</c:v>
                </c:pt>
                <c:pt idx="121">
                  <c:v>6.78657</c:v>
                </c:pt>
                <c:pt idx="122">
                  <c:v>6.75704</c:v>
                </c:pt>
                <c:pt idx="123">
                  <c:v>6.72592</c:v>
                </c:pt>
                <c:pt idx="124">
                  <c:v>6.69688</c:v>
                </c:pt>
                <c:pt idx="125">
                  <c:v>6.66805</c:v>
                </c:pt>
                <c:pt idx="126">
                  <c:v>6.64143</c:v>
                </c:pt>
                <c:pt idx="127">
                  <c:v>6.61387</c:v>
                </c:pt>
                <c:pt idx="128">
                  <c:v>6.58458</c:v>
                </c:pt>
                <c:pt idx="129">
                  <c:v>6.55609</c:v>
                </c:pt>
                <c:pt idx="130">
                  <c:v>6.52643</c:v>
                </c:pt>
                <c:pt idx="131">
                  <c:v>6.50052</c:v>
                </c:pt>
                <c:pt idx="132">
                  <c:v>6.47011</c:v>
                </c:pt>
                <c:pt idx="133">
                  <c:v>6.442</c:v>
                </c:pt>
                <c:pt idx="134">
                  <c:v>6.41451</c:v>
                </c:pt>
                <c:pt idx="135">
                  <c:v>6.38831</c:v>
                </c:pt>
                <c:pt idx="136">
                  <c:v>6.3571</c:v>
                </c:pt>
                <c:pt idx="137">
                  <c:v>6.32832</c:v>
                </c:pt>
                <c:pt idx="138">
                  <c:v>6.29835</c:v>
                </c:pt>
                <c:pt idx="139">
                  <c:v>6.27077</c:v>
                </c:pt>
                <c:pt idx="140">
                  <c:v>6.24242</c:v>
                </c:pt>
                <c:pt idx="141">
                  <c:v>6.21676</c:v>
                </c:pt>
                <c:pt idx="142">
                  <c:v>6.1904</c:v>
                </c:pt>
                <c:pt idx="143">
                  <c:v>6.16727</c:v>
                </c:pt>
                <c:pt idx="144">
                  <c:v>6.14039</c:v>
                </c:pt>
                <c:pt idx="145">
                  <c:v>6.11511</c:v>
                </c:pt>
                <c:pt idx="146">
                  <c:v>6.08688</c:v>
                </c:pt>
                <c:pt idx="147">
                  <c:v>6.06482</c:v>
                </c:pt>
                <c:pt idx="148">
                  <c:v>6.03937</c:v>
                </c:pt>
                <c:pt idx="149">
                  <c:v>6.01043</c:v>
                </c:pt>
                <c:pt idx="150">
                  <c:v>5.98282</c:v>
                </c:pt>
                <c:pt idx="151">
                  <c:v>5.95139</c:v>
                </c:pt>
                <c:pt idx="152">
                  <c:v>5.92541</c:v>
                </c:pt>
                <c:pt idx="153">
                  <c:v>5.89911</c:v>
                </c:pt>
                <c:pt idx="154">
                  <c:v>5.8737</c:v>
                </c:pt>
                <c:pt idx="155">
                  <c:v>5.85059</c:v>
                </c:pt>
                <c:pt idx="156">
                  <c:v>5.82521</c:v>
                </c:pt>
                <c:pt idx="157">
                  <c:v>5.80033</c:v>
                </c:pt>
                <c:pt idx="158">
                  <c:v>5.77522</c:v>
                </c:pt>
                <c:pt idx="159">
                  <c:v>5.75068</c:v>
                </c:pt>
                <c:pt idx="160">
                  <c:v>5.72536</c:v>
                </c:pt>
                <c:pt idx="161">
                  <c:v>5.70041</c:v>
                </c:pt>
                <c:pt idx="162">
                  <c:v>5.67537</c:v>
                </c:pt>
                <c:pt idx="163">
                  <c:v>5.65179</c:v>
                </c:pt>
                <c:pt idx="164">
                  <c:v>5.62983</c:v>
                </c:pt>
                <c:pt idx="165">
                  <c:v>5.60709</c:v>
                </c:pt>
                <c:pt idx="166">
                  <c:v>5.58792</c:v>
                </c:pt>
                <c:pt idx="167">
                  <c:v>5.55962</c:v>
                </c:pt>
                <c:pt idx="168">
                  <c:v>5.54222</c:v>
                </c:pt>
                <c:pt idx="169">
                  <c:v>5.51948</c:v>
                </c:pt>
                <c:pt idx="170">
                  <c:v>5.4924</c:v>
                </c:pt>
                <c:pt idx="171">
                  <c:v>5.4707</c:v>
                </c:pt>
                <c:pt idx="172">
                  <c:v>5.44775</c:v>
                </c:pt>
                <c:pt idx="173">
                  <c:v>5.4251</c:v>
                </c:pt>
                <c:pt idx="174">
                  <c:v>5.40211</c:v>
                </c:pt>
                <c:pt idx="175">
                  <c:v>5.37638</c:v>
                </c:pt>
                <c:pt idx="176">
                  <c:v>5.35183</c:v>
                </c:pt>
                <c:pt idx="177">
                  <c:v>5.3322</c:v>
                </c:pt>
                <c:pt idx="178">
                  <c:v>5.30882</c:v>
                </c:pt>
                <c:pt idx="179">
                  <c:v>5.28694</c:v>
                </c:pt>
                <c:pt idx="180">
                  <c:v>5.26216</c:v>
                </c:pt>
                <c:pt idx="181">
                  <c:v>5.24219</c:v>
                </c:pt>
                <c:pt idx="182">
                  <c:v>5.21742</c:v>
                </c:pt>
                <c:pt idx="183">
                  <c:v>5.19298</c:v>
                </c:pt>
                <c:pt idx="184">
                  <c:v>5.16813</c:v>
                </c:pt>
                <c:pt idx="185">
                  <c:v>5.14739</c:v>
                </c:pt>
                <c:pt idx="186">
                  <c:v>5.12624</c:v>
                </c:pt>
                <c:pt idx="187">
                  <c:v>5.10736</c:v>
                </c:pt>
                <c:pt idx="188">
                  <c:v>5.08107</c:v>
                </c:pt>
                <c:pt idx="189">
                  <c:v>5.06156</c:v>
                </c:pt>
                <c:pt idx="190">
                  <c:v>5.04708</c:v>
                </c:pt>
                <c:pt idx="191">
                  <c:v>5.02214</c:v>
                </c:pt>
                <c:pt idx="192">
                  <c:v>5.00361</c:v>
                </c:pt>
                <c:pt idx="193">
                  <c:v>4.98195</c:v>
                </c:pt>
                <c:pt idx="194">
                  <c:v>4.96188</c:v>
                </c:pt>
                <c:pt idx="195">
                  <c:v>4.9487</c:v>
                </c:pt>
                <c:pt idx="196">
                  <c:v>4.9286</c:v>
                </c:pt>
                <c:pt idx="197">
                  <c:v>4.91193</c:v>
                </c:pt>
                <c:pt idx="198">
                  <c:v>4.88909</c:v>
                </c:pt>
                <c:pt idx="199">
                  <c:v>4.86574</c:v>
                </c:pt>
                <c:pt idx="200">
                  <c:v>4.84833</c:v>
                </c:pt>
                <c:pt idx="201">
                  <c:v>4.83286</c:v>
                </c:pt>
                <c:pt idx="202">
                  <c:v>4.81292</c:v>
                </c:pt>
                <c:pt idx="203">
                  <c:v>4.79762</c:v>
                </c:pt>
                <c:pt idx="204">
                  <c:v>4.77348</c:v>
                </c:pt>
                <c:pt idx="205">
                  <c:v>4.75297</c:v>
                </c:pt>
                <c:pt idx="206">
                  <c:v>4.73353</c:v>
                </c:pt>
                <c:pt idx="207">
                  <c:v>4.71807</c:v>
                </c:pt>
                <c:pt idx="208">
                  <c:v>4.69437</c:v>
                </c:pt>
                <c:pt idx="209">
                  <c:v>4.67553</c:v>
                </c:pt>
                <c:pt idx="210">
                  <c:v>4.65923</c:v>
                </c:pt>
                <c:pt idx="211">
                  <c:v>4.64254</c:v>
                </c:pt>
                <c:pt idx="212">
                  <c:v>4.62769</c:v>
                </c:pt>
                <c:pt idx="213">
                  <c:v>4.61356</c:v>
                </c:pt>
                <c:pt idx="214">
                  <c:v>4.59239</c:v>
                </c:pt>
                <c:pt idx="215">
                  <c:v>4.56993</c:v>
                </c:pt>
                <c:pt idx="216">
                  <c:v>4.5497</c:v>
                </c:pt>
                <c:pt idx="217">
                  <c:v>4.52994</c:v>
                </c:pt>
                <c:pt idx="218">
                  <c:v>4.51066</c:v>
                </c:pt>
                <c:pt idx="219">
                  <c:v>4.49375</c:v>
                </c:pt>
                <c:pt idx="220">
                  <c:v>4.47487</c:v>
                </c:pt>
                <c:pt idx="221">
                  <c:v>4.45858</c:v>
                </c:pt>
                <c:pt idx="222">
                  <c:v>4.43543</c:v>
                </c:pt>
                <c:pt idx="223">
                  <c:v>4.41361</c:v>
                </c:pt>
                <c:pt idx="224">
                  <c:v>4.39956</c:v>
                </c:pt>
                <c:pt idx="225">
                  <c:v>4.3847</c:v>
                </c:pt>
                <c:pt idx="226">
                  <c:v>4.36685</c:v>
                </c:pt>
                <c:pt idx="227">
                  <c:v>4.3488</c:v>
                </c:pt>
                <c:pt idx="228">
                  <c:v>4.33422</c:v>
                </c:pt>
                <c:pt idx="229">
                  <c:v>4.31713</c:v>
                </c:pt>
                <c:pt idx="230">
                  <c:v>4.30737</c:v>
                </c:pt>
                <c:pt idx="231">
                  <c:v>4.28828</c:v>
                </c:pt>
                <c:pt idx="232">
                  <c:v>4.26912</c:v>
                </c:pt>
                <c:pt idx="233">
                  <c:v>4.25845</c:v>
                </c:pt>
                <c:pt idx="234">
                  <c:v>4.23727</c:v>
                </c:pt>
                <c:pt idx="235">
                  <c:v>4.22183</c:v>
                </c:pt>
                <c:pt idx="236">
                  <c:v>4.20777</c:v>
                </c:pt>
                <c:pt idx="237">
                  <c:v>4.18972</c:v>
                </c:pt>
                <c:pt idx="238">
                  <c:v>4.17344</c:v>
                </c:pt>
                <c:pt idx="239">
                  <c:v>4.15183</c:v>
                </c:pt>
                <c:pt idx="240">
                  <c:v>4.13512</c:v>
                </c:pt>
                <c:pt idx="241">
                  <c:v>4.11612</c:v>
                </c:pt>
                <c:pt idx="242">
                  <c:v>4.09697</c:v>
                </c:pt>
                <c:pt idx="243">
                  <c:v>4.08049</c:v>
                </c:pt>
                <c:pt idx="244">
                  <c:v>4.06316</c:v>
                </c:pt>
                <c:pt idx="245">
                  <c:v>4.04647</c:v>
                </c:pt>
                <c:pt idx="246">
                  <c:v>4.02902</c:v>
                </c:pt>
                <c:pt idx="247">
                  <c:v>4.01422</c:v>
                </c:pt>
                <c:pt idx="248">
                  <c:v>4.00389</c:v>
                </c:pt>
                <c:pt idx="249">
                  <c:v>3.98835</c:v>
                </c:pt>
                <c:pt idx="250">
                  <c:v>3.97478</c:v>
                </c:pt>
                <c:pt idx="251">
                  <c:v>3.96178</c:v>
                </c:pt>
                <c:pt idx="252">
                  <c:v>3.94459</c:v>
                </c:pt>
                <c:pt idx="253">
                  <c:v>3.92654</c:v>
                </c:pt>
                <c:pt idx="254">
                  <c:v>3.9087</c:v>
                </c:pt>
                <c:pt idx="255">
                  <c:v>3.89492</c:v>
                </c:pt>
                <c:pt idx="256">
                  <c:v>3.88317</c:v>
                </c:pt>
                <c:pt idx="257">
                  <c:v>3.86568</c:v>
                </c:pt>
                <c:pt idx="258">
                  <c:v>3.85149</c:v>
                </c:pt>
                <c:pt idx="259">
                  <c:v>3.83747</c:v>
                </c:pt>
                <c:pt idx="260">
                  <c:v>3.82424</c:v>
                </c:pt>
                <c:pt idx="261">
                  <c:v>3.80569</c:v>
                </c:pt>
                <c:pt idx="262">
                  <c:v>3.78874</c:v>
                </c:pt>
                <c:pt idx="263">
                  <c:v>3.76927</c:v>
                </c:pt>
                <c:pt idx="264">
                  <c:v>3.75862</c:v>
                </c:pt>
                <c:pt idx="265">
                  <c:v>3.74445</c:v>
                </c:pt>
                <c:pt idx="266">
                  <c:v>3.73472</c:v>
                </c:pt>
                <c:pt idx="267">
                  <c:v>3.72079</c:v>
                </c:pt>
                <c:pt idx="268">
                  <c:v>3.704</c:v>
                </c:pt>
                <c:pt idx="269">
                  <c:v>3.69346</c:v>
                </c:pt>
                <c:pt idx="270">
                  <c:v>3.67877</c:v>
                </c:pt>
                <c:pt idx="271">
                  <c:v>3.66001</c:v>
                </c:pt>
                <c:pt idx="272">
                  <c:v>3.64466</c:v>
                </c:pt>
                <c:pt idx="273">
                  <c:v>3.63127</c:v>
                </c:pt>
                <c:pt idx="274">
                  <c:v>3.61691</c:v>
                </c:pt>
                <c:pt idx="275">
                  <c:v>3.60132</c:v>
                </c:pt>
                <c:pt idx="276">
                  <c:v>3.58653</c:v>
                </c:pt>
                <c:pt idx="277">
                  <c:v>3.57062</c:v>
                </c:pt>
                <c:pt idx="278">
                  <c:v>3.5518</c:v>
                </c:pt>
                <c:pt idx="279">
                  <c:v>3.53933</c:v>
                </c:pt>
                <c:pt idx="280">
                  <c:v>3.52625</c:v>
                </c:pt>
                <c:pt idx="281">
                  <c:v>3.50648</c:v>
                </c:pt>
                <c:pt idx="282">
                  <c:v>3.49578</c:v>
                </c:pt>
                <c:pt idx="283">
                  <c:v>3.47968</c:v>
                </c:pt>
                <c:pt idx="284">
                  <c:v>3.46655</c:v>
                </c:pt>
                <c:pt idx="285">
                  <c:v>3.45416</c:v>
                </c:pt>
                <c:pt idx="286">
                  <c:v>3.44285</c:v>
                </c:pt>
                <c:pt idx="287">
                  <c:v>3.43151</c:v>
                </c:pt>
                <c:pt idx="288">
                  <c:v>3.41944</c:v>
                </c:pt>
                <c:pt idx="289">
                  <c:v>3.40521</c:v>
                </c:pt>
                <c:pt idx="290">
                  <c:v>3.39575</c:v>
                </c:pt>
                <c:pt idx="291">
                  <c:v>3.37981</c:v>
                </c:pt>
                <c:pt idx="292">
                  <c:v>3.36019</c:v>
                </c:pt>
                <c:pt idx="293">
                  <c:v>3.34957</c:v>
                </c:pt>
                <c:pt idx="294">
                  <c:v>3.33787</c:v>
                </c:pt>
                <c:pt idx="295">
                  <c:v>3.32333</c:v>
                </c:pt>
                <c:pt idx="296">
                  <c:v>3.31229</c:v>
                </c:pt>
                <c:pt idx="297">
                  <c:v>3.30194</c:v>
                </c:pt>
                <c:pt idx="298">
                  <c:v>3.2848</c:v>
                </c:pt>
                <c:pt idx="299">
                  <c:v>3.27646</c:v>
                </c:pt>
                <c:pt idx="300">
                  <c:v>3.26415</c:v>
                </c:pt>
                <c:pt idx="301">
                  <c:v>3.25213</c:v>
                </c:pt>
                <c:pt idx="302">
                  <c:v>3.23406</c:v>
                </c:pt>
                <c:pt idx="303">
                  <c:v>3.21682</c:v>
                </c:pt>
                <c:pt idx="304">
                  <c:v>3.20849</c:v>
                </c:pt>
                <c:pt idx="305">
                  <c:v>3.18996</c:v>
                </c:pt>
                <c:pt idx="306">
                  <c:v>3.17349</c:v>
                </c:pt>
                <c:pt idx="307">
                  <c:v>3.16468</c:v>
                </c:pt>
                <c:pt idx="308">
                  <c:v>3.15559</c:v>
                </c:pt>
                <c:pt idx="309">
                  <c:v>3.13128</c:v>
                </c:pt>
                <c:pt idx="310">
                  <c:v>3.11522</c:v>
                </c:pt>
                <c:pt idx="311">
                  <c:v>3.09908</c:v>
                </c:pt>
                <c:pt idx="312">
                  <c:v>3.08592</c:v>
                </c:pt>
                <c:pt idx="313">
                  <c:v>3.06906</c:v>
                </c:pt>
                <c:pt idx="314">
                  <c:v>3.06232</c:v>
                </c:pt>
                <c:pt idx="315">
                  <c:v>3.04972</c:v>
                </c:pt>
                <c:pt idx="316">
                  <c:v>3.03265</c:v>
                </c:pt>
                <c:pt idx="317">
                  <c:v>3.02114</c:v>
                </c:pt>
                <c:pt idx="318">
                  <c:v>3.00461</c:v>
                </c:pt>
                <c:pt idx="319">
                  <c:v>2.99313</c:v>
                </c:pt>
                <c:pt idx="320">
                  <c:v>2.97341</c:v>
                </c:pt>
                <c:pt idx="321">
                  <c:v>2.96126</c:v>
                </c:pt>
                <c:pt idx="322">
                  <c:v>2.9496</c:v>
                </c:pt>
                <c:pt idx="323">
                  <c:v>2.94119</c:v>
                </c:pt>
                <c:pt idx="324">
                  <c:v>2.92999</c:v>
                </c:pt>
                <c:pt idx="325">
                  <c:v>2.91687</c:v>
                </c:pt>
                <c:pt idx="326">
                  <c:v>2.90509</c:v>
                </c:pt>
                <c:pt idx="327">
                  <c:v>2.89373</c:v>
                </c:pt>
                <c:pt idx="328">
                  <c:v>2.88252</c:v>
                </c:pt>
                <c:pt idx="329">
                  <c:v>2.87265</c:v>
                </c:pt>
                <c:pt idx="330">
                  <c:v>2.85904</c:v>
                </c:pt>
                <c:pt idx="331">
                  <c:v>2.84452</c:v>
                </c:pt>
                <c:pt idx="332">
                  <c:v>2.83394</c:v>
                </c:pt>
                <c:pt idx="333">
                  <c:v>2.82894</c:v>
                </c:pt>
                <c:pt idx="334">
                  <c:v>2.81969</c:v>
                </c:pt>
                <c:pt idx="335">
                  <c:v>2.81558</c:v>
                </c:pt>
                <c:pt idx="336">
                  <c:v>2.80231</c:v>
                </c:pt>
                <c:pt idx="337">
                  <c:v>2.78515</c:v>
                </c:pt>
                <c:pt idx="338">
                  <c:v>2.77109</c:v>
                </c:pt>
                <c:pt idx="339">
                  <c:v>2.76222</c:v>
                </c:pt>
                <c:pt idx="340">
                  <c:v>2.75562</c:v>
                </c:pt>
                <c:pt idx="341">
                  <c:v>2.7473</c:v>
                </c:pt>
                <c:pt idx="342">
                  <c:v>2.73624</c:v>
                </c:pt>
                <c:pt idx="343">
                  <c:v>2.72356</c:v>
                </c:pt>
                <c:pt idx="344">
                  <c:v>2.71813</c:v>
                </c:pt>
                <c:pt idx="345">
                  <c:v>2.71028</c:v>
                </c:pt>
                <c:pt idx="346">
                  <c:v>2.69883</c:v>
                </c:pt>
                <c:pt idx="347">
                  <c:v>2.68696</c:v>
                </c:pt>
                <c:pt idx="348">
                  <c:v>2.67942</c:v>
                </c:pt>
                <c:pt idx="349">
                  <c:v>2.6717</c:v>
                </c:pt>
                <c:pt idx="350">
                  <c:v>2.66103</c:v>
                </c:pt>
                <c:pt idx="351">
                  <c:v>2.64734</c:v>
                </c:pt>
                <c:pt idx="352">
                  <c:v>2.63601</c:v>
                </c:pt>
                <c:pt idx="353">
                  <c:v>2.62062</c:v>
                </c:pt>
                <c:pt idx="354">
                  <c:v>2.60649</c:v>
                </c:pt>
                <c:pt idx="355">
                  <c:v>2.60091</c:v>
                </c:pt>
                <c:pt idx="356">
                  <c:v>2.59195</c:v>
                </c:pt>
                <c:pt idx="357">
                  <c:v>2.58052</c:v>
                </c:pt>
                <c:pt idx="358">
                  <c:v>2.57425</c:v>
                </c:pt>
                <c:pt idx="359">
                  <c:v>2.57101</c:v>
                </c:pt>
                <c:pt idx="360">
                  <c:v>2.56013</c:v>
                </c:pt>
                <c:pt idx="361">
                  <c:v>2.55335</c:v>
                </c:pt>
                <c:pt idx="362">
                  <c:v>2.54644</c:v>
                </c:pt>
                <c:pt idx="363">
                  <c:v>2.53543</c:v>
                </c:pt>
                <c:pt idx="364">
                  <c:v>2.52634</c:v>
                </c:pt>
                <c:pt idx="365">
                  <c:v>2.51828</c:v>
                </c:pt>
                <c:pt idx="366">
                  <c:v>2.50418</c:v>
                </c:pt>
                <c:pt idx="367">
                  <c:v>2.49468</c:v>
                </c:pt>
                <c:pt idx="368">
                  <c:v>2.48152</c:v>
                </c:pt>
                <c:pt idx="369">
                  <c:v>2.46765</c:v>
                </c:pt>
                <c:pt idx="370">
                  <c:v>2.45855</c:v>
                </c:pt>
                <c:pt idx="371">
                  <c:v>2.45144</c:v>
                </c:pt>
                <c:pt idx="372">
                  <c:v>2.44508</c:v>
                </c:pt>
                <c:pt idx="373">
                  <c:v>2.43419</c:v>
                </c:pt>
                <c:pt idx="374">
                  <c:v>2.42722</c:v>
                </c:pt>
                <c:pt idx="375">
                  <c:v>2.41757</c:v>
                </c:pt>
                <c:pt idx="376">
                  <c:v>2.40832</c:v>
                </c:pt>
                <c:pt idx="377">
                  <c:v>2.39758</c:v>
                </c:pt>
                <c:pt idx="378">
                  <c:v>2.39125</c:v>
                </c:pt>
                <c:pt idx="379">
                  <c:v>2.38084</c:v>
                </c:pt>
                <c:pt idx="380">
                  <c:v>2.3705</c:v>
                </c:pt>
                <c:pt idx="381">
                  <c:v>2.36129</c:v>
                </c:pt>
                <c:pt idx="382">
                  <c:v>2.35452</c:v>
                </c:pt>
                <c:pt idx="383">
                  <c:v>2.34489</c:v>
                </c:pt>
                <c:pt idx="384">
                  <c:v>2.33407</c:v>
                </c:pt>
                <c:pt idx="385">
                  <c:v>2.32292</c:v>
                </c:pt>
                <c:pt idx="386">
                  <c:v>2.312</c:v>
                </c:pt>
                <c:pt idx="387">
                  <c:v>2.30844</c:v>
                </c:pt>
                <c:pt idx="388">
                  <c:v>2.29669</c:v>
                </c:pt>
                <c:pt idx="389">
                  <c:v>2.28638</c:v>
                </c:pt>
                <c:pt idx="390">
                  <c:v>2.27272</c:v>
                </c:pt>
                <c:pt idx="391">
                  <c:v>2.26406</c:v>
                </c:pt>
                <c:pt idx="392">
                  <c:v>2.25777</c:v>
                </c:pt>
                <c:pt idx="393">
                  <c:v>2.25083</c:v>
                </c:pt>
                <c:pt idx="394">
                  <c:v>2.23898</c:v>
                </c:pt>
                <c:pt idx="395">
                  <c:v>2.23116</c:v>
                </c:pt>
                <c:pt idx="396">
                  <c:v>2.21947</c:v>
                </c:pt>
                <c:pt idx="397">
                  <c:v>2.21238</c:v>
                </c:pt>
                <c:pt idx="398">
                  <c:v>2.202</c:v>
                </c:pt>
                <c:pt idx="399">
                  <c:v>2.18525</c:v>
                </c:pt>
                <c:pt idx="400">
                  <c:v>2.17126</c:v>
                </c:pt>
                <c:pt idx="401">
                  <c:v>2.16132</c:v>
                </c:pt>
                <c:pt idx="402">
                  <c:v>2.15505</c:v>
                </c:pt>
                <c:pt idx="403">
                  <c:v>2.14898</c:v>
                </c:pt>
                <c:pt idx="404">
                  <c:v>2.13759</c:v>
                </c:pt>
                <c:pt idx="405">
                  <c:v>2.13065</c:v>
                </c:pt>
                <c:pt idx="406">
                  <c:v>2.11634</c:v>
                </c:pt>
                <c:pt idx="407">
                  <c:v>2.11244</c:v>
                </c:pt>
                <c:pt idx="408">
                  <c:v>2.09874</c:v>
                </c:pt>
                <c:pt idx="409">
                  <c:v>2.08877</c:v>
                </c:pt>
                <c:pt idx="410">
                  <c:v>2.07328</c:v>
                </c:pt>
                <c:pt idx="411">
                  <c:v>2.0624</c:v>
                </c:pt>
                <c:pt idx="412">
                  <c:v>2.05563</c:v>
                </c:pt>
                <c:pt idx="413">
                  <c:v>2.04256</c:v>
                </c:pt>
                <c:pt idx="414">
                  <c:v>2.04099</c:v>
                </c:pt>
                <c:pt idx="415">
                  <c:v>2.03411</c:v>
                </c:pt>
                <c:pt idx="416">
                  <c:v>2.02559</c:v>
                </c:pt>
                <c:pt idx="417">
                  <c:v>2.0282</c:v>
                </c:pt>
                <c:pt idx="418">
                  <c:v>2.01928</c:v>
                </c:pt>
                <c:pt idx="419">
                  <c:v>2.01212</c:v>
                </c:pt>
                <c:pt idx="420">
                  <c:v>2.00573</c:v>
                </c:pt>
                <c:pt idx="421">
                  <c:v>1.99561</c:v>
                </c:pt>
                <c:pt idx="422">
                  <c:v>1.99087</c:v>
                </c:pt>
                <c:pt idx="423">
                  <c:v>1.98212</c:v>
                </c:pt>
                <c:pt idx="424">
                  <c:v>1.97531</c:v>
                </c:pt>
                <c:pt idx="425">
                  <c:v>1.97166</c:v>
                </c:pt>
                <c:pt idx="426">
                  <c:v>1.96536</c:v>
                </c:pt>
                <c:pt idx="427">
                  <c:v>1.95895</c:v>
                </c:pt>
                <c:pt idx="428">
                  <c:v>1.95092</c:v>
                </c:pt>
                <c:pt idx="429">
                  <c:v>1.94069</c:v>
                </c:pt>
                <c:pt idx="430">
                  <c:v>1.93452</c:v>
                </c:pt>
                <c:pt idx="431">
                  <c:v>1.93614</c:v>
                </c:pt>
                <c:pt idx="432">
                  <c:v>1.93017</c:v>
                </c:pt>
                <c:pt idx="433">
                  <c:v>1.9261</c:v>
                </c:pt>
                <c:pt idx="434">
                  <c:v>1.91732</c:v>
                </c:pt>
                <c:pt idx="435">
                  <c:v>1.91916</c:v>
                </c:pt>
                <c:pt idx="436">
                  <c:v>1.91744</c:v>
                </c:pt>
                <c:pt idx="437">
                  <c:v>1.90723</c:v>
                </c:pt>
                <c:pt idx="438">
                  <c:v>1.90405</c:v>
                </c:pt>
                <c:pt idx="439">
                  <c:v>1.89011</c:v>
                </c:pt>
                <c:pt idx="440">
                  <c:v>1.88181</c:v>
                </c:pt>
                <c:pt idx="441">
                  <c:v>1.87754</c:v>
                </c:pt>
                <c:pt idx="442">
                  <c:v>1.86609</c:v>
                </c:pt>
                <c:pt idx="443">
                  <c:v>1.86345</c:v>
                </c:pt>
                <c:pt idx="444">
                  <c:v>1.86107</c:v>
                </c:pt>
                <c:pt idx="445">
                  <c:v>1.85655</c:v>
                </c:pt>
                <c:pt idx="446">
                  <c:v>1.85185</c:v>
                </c:pt>
                <c:pt idx="447">
                  <c:v>1.84963</c:v>
                </c:pt>
                <c:pt idx="448">
                  <c:v>1.84243</c:v>
                </c:pt>
                <c:pt idx="449">
                  <c:v>1.83473</c:v>
                </c:pt>
                <c:pt idx="450">
                  <c:v>1.82742</c:v>
                </c:pt>
                <c:pt idx="451">
                  <c:v>1.8194</c:v>
                </c:pt>
                <c:pt idx="452">
                  <c:v>1.80912</c:v>
                </c:pt>
                <c:pt idx="453">
                  <c:v>1.79978</c:v>
                </c:pt>
                <c:pt idx="454">
                  <c:v>1.79165</c:v>
                </c:pt>
                <c:pt idx="455">
                  <c:v>1.77865</c:v>
                </c:pt>
                <c:pt idx="456">
                  <c:v>1.76763</c:v>
                </c:pt>
                <c:pt idx="457">
                  <c:v>1.7607</c:v>
                </c:pt>
                <c:pt idx="458">
                  <c:v>1.75377</c:v>
                </c:pt>
                <c:pt idx="459">
                  <c:v>1.74307</c:v>
                </c:pt>
                <c:pt idx="460">
                  <c:v>1.74149</c:v>
                </c:pt>
                <c:pt idx="461">
                  <c:v>1.73445</c:v>
                </c:pt>
                <c:pt idx="462">
                  <c:v>1.73075</c:v>
                </c:pt>
                <c:pt idx="463">
                  <c:v>1.71809</c:v>
                </c:pt>
                <c:pt idx="464">
                  <c:v>1.71416</c:v>
                </c:pt>
                <c:pt idx="465">
                  <c:v>1.70688</c:v>
                </c:pt>
                <c:pt idx="466">
                  <c:v>1.70786</c:v>
                </c:pt>
                <c:pt idx="467">
                  <c:v>1.70047</c:v>
                </c:pt>
                <c:pt idx="468">
                  <c:v>1.69076</c:v>
                </c:pt>
                <c:pt idx="469">
                  <c:v>1.68366</c:v>
                </c:pt>
                <c:pt idx="470">
                  <c:v>1.67442</c:v>
                </c:pt>
                <c:pt idx="471">
                  <c:v>1.66798</c:v>
                </c:pt>
                <c:pt idx="472">
                  <c:v>1.66772</c:v>
                </c:pt>
                <c:pt idx="473">
                  <c:v>1.65772</c:v>
                </c:pt>
                <c:pt idx="474">
                  <c:v>1.64661</c:v>
                </c:pt>
                <c:pt idx="475">
                  <c:v>1.64278</c:v>
                </c:pt>
                <c:pt idx="476">
                  <c:v>1.64559</c:v>
                </c:pt>
                <c:pt idx="477">
                  <c:v>1.64449</c:v>
                </c:pt>
                <c:pt idx="478">
                  <c:v>1.64032</c:v>
                </c:pt>
                <c:pt idx="479">
                  <c:v>1.62877</c:v>
                </c:pt>
                <c:pt idx="480">
                  <c:v>1.62129</c:v>
                </c:pt>
                <c:pt idx="481">
                  <c:v>1.61617</c:v>
                </c:pt>
                <c:pt idx="482">
                  <c:v>1.6081</c:v>
                </c:pt>
                <c:pt idx="483">
                  <c:v>1.60023</c:v>
                </c:pt>
                <c:pt idx="484">
                  <c:v>1.59006</c:v>
                </c:pt>
                <c:pt idx="485">
                  <c:v>1.57613</c:v>
                </c:pt>
                <c:pt idx="486">
                  <c:v>1.56576</c:v>
                </c:pt>
                <c:pt idx="487">
                  <c:v>1.5692</c:v>
                </c:pt>
                <c:pt idx="488">
                  <c:v>1.56574</c:v>
                </c:pt>
                <c:pt idx="489">
                  <c:v>1.55796</c:v>
                </c:pt>
                <c:pt idx="490">
                  <c:v>1.55414</c:v>
                </c:pt>
                <c:pt idx="491">
                  <c:v>1.55352</c:v>
                </c:pt>
                <c:pt idx="492">
                  <c:v>1.54731</c:v>
                </c:pt>
                <c:pt idx="493">
                  <c:v>1.53788</c:v>
                </c:pt>
                <c:pt idx="494">
                  <c:v>1.52787</c:v>
                </c:pt>
                <c:pt idx="495">
                  <c:v>1.5247</c:v>
                </c:pt>
                <c:pt idx="496">
                  <c:v>1.51503</c:v>
                </c:pt>
                <c:pt idx="497">
                  <c:v>1.50386</c:v>
                </c:pt>
                <c:pt idx="498">
                  <c:v>1.49836</c:v>
                </c:pt>
                <c:pt idx="499">
                  <c:v>1.48872</c:v>
                </c:pt>
                <c:pt idx="500">
                  <c:v>1.48992</c:v>
                </c:pt>
                <c:pt idx="501">
                  <c:v>1.48968</c:v>
                </c:pt>
                <c:pt idx="502">
                  <c:v>1.48561</c:v>
                </c:pt>
                <c:pt idx="503">
                  <c:v>1.47833</c:v>
                </c:pt>
                <c:pt idx="504">
                  <c:v>1.46578</c:v>
                </c:pt>
                <c:pt idx="505">
                  <c:v>1.46856</c:v>
                </c:pt>
                <c:pt idx="506">
                  <c:v>1.45739</c:v>
                </c:pt>
                <c:pt idx="507">
                  <c:v>1.45868</c:v>
                </c:pt>
                <c:pt idx="508">
                  <c:v>1.45664</c:v>
                </c:pt>
                <c:pt idx="509">
                  <c:v>1.45955</c:v>
                </c:pt>
                <c:pt idx="510">
                  <c:v>1.45427</c:v>
                </c:pt>
                <c:pt idx="511">
                  <c:v>1.4502</c:v>
                </c:pt>
                <c:pt idx="512">
                  <c:v>1.44746</c:v>
                </c:pt>
                <c:pt idx="513">
                  <c:v>1.44337</c:v>
                </c:pt>
                <c:pt idx="514">
                  <c:v>1.44195</c:v>
                </c:pt>
                <c:pt idx="515">
                  <c:v>1.43664</c:v>
                </c:pt>
                <c:pt idx="516">
                  <c:v>1.43232</c:v>
                </c:pt>
                <c:pt idx="517">
                  <c:v>1.43212</c:v>
                </c:pt>
                <c:pt idx="518">
                  <c:v>1.43192</c:v>
                </c:pt>
                <c:pt idx="519">
                  <c:v>1.42588</c:v>
                </c:pt>
                <c:pt idx="520">
                  <c:v>1.42591</c:v>
                </c:pt>
                <c:pt idx="521">
                  <c:v>1.42317</c:v>
                </c:pt>
                <c:pt idx="522">
                  <c:v>1.40897</c:v>
                </c:pt>
                <c:pt idx="523">
                  <c:v>1.39856</c:v>
                </c:pt>
                <c:pt idx="524">
                  <c:v>1.39081</c:v>
                </c:pt>
                <c:pt idx="525">
                  <c:v>1.38741</c:v>
                </c:pt>
                <c:pt idx="526">
                  <c:v>1.37589</c:v>
                </c:pt>
                <c:pt idx="527">
                  <c:v>1.36957</c:v>
                </c:pt>
                <c:pt idx="528">
                  <c:v>1.36611</c:v>
                </c:pt>
                <c:pt idx="529">
                  <c:v>1.36619</c:v>
                </c:pt>
                <c:pt idx="530">
                  <c:v>1.36197</c:v>
                </c:pt>
                <c:pt idx="531">
                  <c:v>1.3532</c:v>
                </c:pt>
                <c:pt idx="532">
                  <c:v>1.34352</c:v>
                </c:pt>
                <c:pt idx="533">
                  <c:v>1.33848</c:v>
                </c:pt>
                <c:pt idx="534">
                  <c:v>1.33562</c:v>
                </c:pt>
                <c:pt idx="535">
                  <c:v>1.32753</c:v>
                </c:pt>
                <c:pt idx="536">
                  <c:v>1.3251</c:v>
                </c:pt>
                <c:pt idx="537">
                  <c:v>1.317</c:v>
                </c:pt>
                <c:pt idx="538">
                  <c:v>1.31838</c:v>
                </c:pt>
                <c:pt idx="539">
                  <c:v>1.32305</c:v>
                </c:pt>
                <c:pt idx="540">
                  <c:v>1.31158</c:v>
                </c:pt>
                <c:pt idx="541">
                  <c:v>1.30921</c:v>
                </c:pt>
                <c:pt idx="542">
                  <c:v>1.30895</c:v>
                </c:pt>
                <c:pt idx="543">
                  <c:v>1.30653</c:v>
                </c:pt>
                <c:pt idx="544">
                  <c:v>1.30038</c:v>
                </c:pt>
                <c:pt idx="545">
                  <c:v>1.29785</c:v>
                </c:pt>
                <c:pt idx="546">
                  <c:v>1.29418</c:v>
                </c:pt>
                <c:pt idx="547">
                  <c:v>1.29277</c:v>
                </c:pt>
                <c:pt idx="548">
                  <c:v>1.29288</c:v>
                </c:pt>
                <c:pt idx="549">
                  <c:v>1.28599</c:v>
                </c:pt>
                <c:pt idx="550">
                  <c:v>1.28003</c:v>
                </c:pt>
                <c:pt idx="551">
                  <c:v>1.27777</c:v>
                </c:pt>
                <c:pt idx="552">
                  <c:v>1.26893</c:v>
                </c:pt>
                <c:pt idx="553">
                  <c:v>1.27487</c:v>
                </c:pt>
                <c:pt idx="554">
                  <c:v>1.26572</c:v>
                </c:pt>
                <c:pt idx="555">
                  <c:v>1.25428</c:v>
                </c:pt>
                <c:pt idx="556">
                  <c:v>1.25079</c:v>
                </c:pt>
                <c:pt idx="557">
                  <c:v>1.24712</c:v>
                </c:pt>
                <c:pt idx="558">
                  <c:v>1.2399</c:v>
                </c:pt>
                <c:pt idx="559">
                  <c:v>1.23015</c:v>
                </c:pt>
                <c:pt idx="560">
                  <c:v>1.21541</c:v>
                </c:pt>
                <c:pt idx="561">
                  <c:v>1.21586</c:v>
                </c:pt>
                <c:pt idx="562">
                  <c:v>1.21442</c:v>
                </c:pt>
                <c:pt idx="563">
                  <c:v>1.21027</c:v>
                </c:pt>
                <c:pt idx="564">
                  <c:v>1.20872</c:v>
                </c:pt>
                <c:pt idx="565">
                  <c:v>1.20534</c:v>
                </c:pt>
                <c:pt idx="566">
                  <c:v>1.19998</c:v>
                </c:pt>
                <c:pt idx="567">
                  <c:v>1.19522</c:v>
                </c:pt>
                <c:pt idx="568">
                  <c:v>1.19313</c:v>
                </c:pt>
                <c:pt idx="569">
                  <c:v>1.18337</c:v>
                </c:pt>
                <c:pt idx="570">
                  <c:v>1.18287</c:v>
                </c:pt>
                <c:pt idx="571">
                  <c:v>1.17867</c:v>
                </c:pt>
                <c:pt idx="572">
                  <c:v>1.16646</c:v>
                </c:pt>
                <c:pt idx="573">
                  <c:v>1.1589</c:v>
                </c:pt>
                <c:pt idx="574">
                  <c:v>1.15857</c:v>
                </c:pt>
                <c:pt idx="575">
                  <c:v>1.15447</c:v>
                </c:pt>
                <c:pt idx="576">
                  <c:v>1.15916</c:v>
                </c:pt>
                <c:pt idx="577">
                  <c:v>1.16099</c:v>
                </c:pt>
                <c:pt idx="578">
                  <c:v>1.15659</c:v>
                </c:pt>
                <c:pt idx="579">
                  <c:v>1.15499</c:v>
                </c:pt>
                <c:pt idx="580">
                  <c:v>1.15496</c:v>
                </c:pt>
                <c:pt idx="581">
                  <c:v>1.14866</c:v>
                </c:pt>
                <c:pt idx="582">
                  <c:v>1.14442</c:v>
                </c:pt>
                <c:pt idx="583">
                  <c:v>1.13959</c:v>
                </c:pt>
                <c:pt idx="584">
                  <c:v>1.14141</c:v>
                </c:pt>
                <c:pt idx="585">
                  <c:v>1.13772</c:v>
                </c:pt>
                <c:pt idx="586">
                  <c:v>1.13913</c:v>
                </c:pt>
                <c:pt idx="587">
                  <c:v>1.14047</c:v>
                </c:pt>
                <c:pt idx="588">
                  <c:v>1.14314</c:v>
                </c:pt>
                <c:pt idx="589">
                  <c:v>1.14501</c:v>
                </c:pt>
                <c:pt idx="590">
                  <c:v>1.13632</c:v>
                </c:pt>
                <c:pt idx="591">
                  <c:v>1.13267</c:v>
                </c:pt>
                <c:pt idx="592">
                  <c:v>1.12575</c:v>
                </c:pt>
                <c:pt idx="593">
                  <c:v>1.11986</c:v>
                </c:pt>
                <c:pt idx="594">
                  <c:v>1.11305</c:v>
                </c:pt>
                <c:pt idx="595">
                  <c:v>1.11584</c:v>
                </c:pt>
                <c:pt idx="596">
                  <c:v>1.11233</c:v>
                </c:pt>
                <c:pt idx="597">
                  <c:v>1.10526</c:v>
                </c:pt>
                <c:pt idx="598">
                  <c:v>1.09975</c:v>
                </c:pt>
                <c:pt idx="599">
                  <c:v>1.09142</c:v>
                </c:pt>
                <c:pt idx="600">
                  <c:v>1.09787</c:v>
                </c:pt>
                <c:pt idx="601">
                  <c:v>1.09638</c:v>
                </c:pt>
                <c:pt idx="602">
                  <c:v>1.09198</c:v>
                </c:pt>
                <c:pt idx="603">
                  <c:v>1.09303</c:v>
                </c:pt>
                <c:pt idx="604">
                  <c:v>1.09566</c:v>
                </c:pt>
                <c:pt idx="605">
                  <c:v>1.08987</c:v>
                </c:pt>
                <c:pt idx="606">
                  <c:v>1.08889</c:v>
                </c:pt>
                <c:pt idx="607">
                  <c:v>1.08163</c:v>
                </c:pt>
                <c:pt idx="608">
                  <c:v>1.08059</c:v>
                </c:pt>
                <c:pt idx="609">
                  <c:v>1.07545</c:v>
                </c:pt>
                <c:pt idx="610">
                  <c:v>1.07034</c:v>
                </c:pt>
                <c:pt idx="611">
                  <c:v>1.06931</c:v>
                </c:pt>
                <c:pt idx="612">
                  <c:v>1.07291</c:v>
                </c:pt>
                <c:pt idx="613">
                  <c:v>1.05754</c:v>
                </c:pt>
                <c:pt idx="614">
                  <c:v>1.05744</c:v>
                </c:pt>
                <c:pt idx="615">
                  <c:v>1.05955</c:v>
                </c:pt>
                <c:pt idx="616">
                  <c:v>1.06126</c:v>
                </c:pt>
                <c:pt idx="617">
                  <c:v>1.05689</c:v>
                </c:pt>
                <c:pt idx="618">
                  <c:v>1.05715</c:v>
                </c:pt>
                <c:pt idx="619">
                  <c:v>1.06132</c:v>
                </c:pt>
                <c:pt idx="620">
                  <c:v>1.06295</c:v>
                </c:pt>
                <c:pt idx="621">
                  <c:v>1.04954</c:v>
                </c:pt>
                <c:pt idx="622">
                  <c:v>1.04526</c:v>
                </c:pt>
                <c:pt idx="623">
                  <c:v>1.04287</c:v>
                </c:pt>
                <c:pt idx="624">
                  <c:v>1.04037</c:v>
                </c:pt>
                <c:pt idx="625">
                  <c:v>1.03756</c:v>
                </c:pt>
                <c:pt idx="626">
                  <c:v>1.03602</c:v>
                </c:pt>
                <c:pt idx="627">
                  <c:v>1.0311</c:v>
                </c:pt>
                <c:pt idx="628">
                  <c:v>1.02429</c:v>
                </c:pt>
                <c:pt idx="629">
                  <c:v>1.02176</c:v>
                </c:pt>
                <c:pt idx="630">
                  <c:v>1.02247</c:v>
                </c:pt>
                <c:pt idx="631">
                  <c:v>1.02144</c:v>
                </c:pt>
                <c:pt idx="632">
                  <c:v>1.01412</c:v>
                </c:pt>
                <c:pt idx="633">
                  <c:v>1.01332</c:v>
                </c:pt>
                <c:pt idx="634">
                  <c:v>1.01006</c:v>
                </c:pt>
                <c:pt idx="635">
                  <c:v>1.01084</c:v>
                </c:pt>
                <c:pt idx="636">
                  <c:v>1.00346</c:v>
                </c:pt>
                <c:pt idx="637">
                  <c:v>1.00232</c:v>
                </c:pt>
                <c:pt idx="638">
                  <c:v>0.997439</c:v>
                </c:pt>
                <c:pt idx="639">
                  <c:v>0.998802</c:v>
                </c:pt>
                <c:pt idx="640">
                  <c:v>1.00459</c:v>
                </c:pt>
                <c:pt idx="641">
                  <c:v>1.00999</c:v>
                </c:pt>
                <c:pt idx="642">
                  <c:v>0.997403</c:v>
                </c:pt>
                <c:pt idx="643">
                  <c:v>1.00106</c:v>
                </c:pt>
                <c:pt idx="644">
                  <c:v>1.00467</c:v>
                </c:pt>
                <c:pt idx="645">
                  <c:v>0.989914</c:v>
                </c:pt>
                <c:pt idx="646">
                  <c:v>0.986927</c:v>
                </c:pt>
                <c:pt idx="647">
                  <c:v>0.982923</c:v>
                </c:pt>
                <c:pt idx="648">
                  <c:v>0.988778</c:v>
                </c:pt>
                <c:pt idx="649">
                  <c:v>0.977316</c:v>
                </c:pt>
                <c:pt idx="650">
                  <c:v>0.978502</c:v>
                </c:pt>
                <c:pt idx="651">
                  <c:v>0.975207</c:v>
                </c:pt>
                <c:pt idx="652">
                  <c:v>0.971229</c:v>
                </c:pt>
                <c:pt idx="653">
                  <c:v>0.965412</c:v>
                </c:pt>
                <c:pt idx="654">
                  <c:v>0.960873</c:v>
                </c:pt>
                <c:pt idx="655">
                  <c:v>0.956736</c:v>
                </c:pt>
                <c:pt idx="656">
                  <c:v>0.954714</c:v>
                </c:pt>
                <c:pt idx="657">
                  <c:v>0.952572</c:v>
                </c:pt>
                <c:pt idx="658">
                  <c:v>0.950167</c:v>
                </c:pt>
                <c:pt idx="659">
                  <c:v>0.945074</c:v>
                </c:pt>
                <c:pt idx="660">
                  <c:v>0.945083</c:v>
                </c:pt>
                <c:pt idx="661">
                  <c:v>0.940149</c:v>
                </c:pt>
                <c:pt idx="662">
                  <c:v>0.932648</c:v>
                </c:pt>
                <c:pt idx="663">
                  <c:v>0.930281</c:v>
                </c:pt>
                <c:pt idx="664">
                  <c:v>0.919516</c:v>
                </c:pt>
                <c:pt idx="665">
                  <c:v>0.918997</c:v>
                </c:pt>
                <c:pt idx="666">
                  <c:v>0.918933</c:v>
                </c:pt>
                <c:pt idx="667">
                  <c:v>0.918673</c:v>
                </c:pt>
                <c:pt idx="668">
                  <c:v>0.916867</c:v>
                </c:pt>
                <c:pt idx="669">
                  <c:v>0.917604</c:v>
                </c:pt>
                <c:pt idx="670">
                  <c:v>0.911895</c:v>
                </c:pt>
                <c:pt idx="671">
                  <c:v>0.900582</c:v>
                </c:pt>
                <c:pt idx="672">
                  <c:v>0.903145</c:v>
                </c:pt>
                <c:pt idx="673">
                  <c:v>0.8978</c:v>
                </c:pt>
                <c:pt idx="674">
                  <c:v>0.894687</c:v>
                </c:pt>
                <c:pt idx="675">
                  <c:v>0.889</c:v>
                </c:pt>
                <c:pt idx="676">
                  <c:v>0.890856</c:v>
                </c:pt>
                <c:pt idx="677">
                  <c:v>0.887374</c:v>
                </c:pt>
                <c:pt idx="678">
                  <c:v>0.889216</c:v>
                </c:pt>
                <c:pt idx="679">
                  <c:v>0.888813</c:v>
                </c:pt>
                <c:pt idx="680">
                  <c:v>0.885463</c:v>
                </c:pt>
                <c:pt idx="681">
                  <c:v>0.886816</c:v>
                </c:pt>
                <c:pt idx="682">
                  <c:v>0.888542</c:v>
                </c:pt>
                <c:pt idx="683">
                  <c:v>0.884235</c:v>
                </c:pt>
                <c:pt idx="684">
                  <c:v>0.88317</c:v>
                </c:pt>
                <c:pt idx="685">
                  <c:v>0.882509</c:v>
                </c:pt>
                <c:pt idx="686">
                  <c:v>0.884956</c:v>
                </c:pt>
                <c:pt idx="687">
                  <c:v>0.875521</c:v>
                </c:pt>
                <c:pt idx="688">
                  <c:v>0.875011</c:v>
                </c:pt>
                <c:pt idx="689">
                  <c:v>0.87648</c:v>
                </c:pt>
                <c:pt idx="690">
                  <c:v>0.874883</c:v>
                </c:pt>
                <c:pt idx="691">
                  <c:v>0.877166</c:v>
                </c:pt>
                <c:pt idx="692">
                  <c:v>0.882218</c:v>
                </c:pt>
                <c:pt idx="693">
                  <c:v>0.878166</c:v>
                </c:pt>
                <c:pt idx="694">
                  <c:v>0.877465</c:v>
                </c:pt>
                <c:pt idx="695">
                  <c:v>0.879546</c:v>
                </c:pt>
                <c:pt idx="696">
                  <c:v>0.881513</c:v>
                </c:pt>
                <c:pt idx="697">
                  <c:v>0.886463</c:v>
                </c:pt>
                <c:pt idx="698">
                  <c:v>0.891158</c:v>
                </c:pt>
                <c:pt idx="699">
                  <c:v>0.889867</c:v>
                </c:pt>
                <c:pt idx="700">
                  <c:v>0.872326</c:v>
                </c:pt>
                <c:pt idx="701">
                  <c:v>0.858203</c:v>
                </c:pt>
                <c:pt idx="702">
                  <c:v>0.859943</c:v>
                </c:pt>
                <c:pt idx="703">
                  <c:v>0.857851</c:v>
                </c:pt>
                <c:pt idx="704">
                  <c:v>0.86255</c:v>
                </c:pt>
                <c:pt idx="705">
                  <c:v>0.857831</c:v>
                </c:pt>
                <c:pt idx="706">
                  <c:v>0.863328</c:v>
                </c:pt>
                <c:pt idx="707">
                  <c:v>0.855415</c:v>
                </c:pt>
                <c:pt idx="708">
                  <c:v>0.859522</c:v>
                </c:pt>
                <c:pt idx="709">
                  <c:v>0.863873</c:v>
                </c:pt>
                <c:pt idx="710">
                  <c:v>0.858325</c:v>
                </c:pt>
                <c:pt idx="711">
                  <c:v>0.852806</c:v>
                </c:pt>
                <c:pt idx="712">
                  <c:v>0.847341</c:v>
                </c:pt>
                <c:pt idx="713">
                  <c:v>0.845265</c:v>
                </c:pt>
                <c:pt idx="714">
                  <c:v>0.84296</c:v>
                </c:pt>
                <c:pt idx="715">
                  <c:v>0.832811</c:v>
                </c:pt>
                <c:pt idx="716">
                  <c:v>0.823839</c:v>
                </c:pt>
                <c:pt idx="717">
                  <c:v>0.824728</c:v>
                </c:pt>
                <c:pt idx="718">
                  <c:v>0.826622</c:v>
                </c:pt>
                <c:pt idx="719">
                  <c:v>0.824735</c:v>
                </c:pt>
                <c:pt idx="720">
                  <c:v>0.825793</c:v>
                </c:pt>
                <c:pt idx="721">
                  <c:v>0.823432</c:v>
                </c:pt>
                <c:pt idx="722">
                  <c:v>0.820416</c:v>
                </c:pt>
                <c:pt idx="723">
                  <c:v>0.821648</c:v>
                </c:pt>
                <c:pt idx="724">
                  <c:v>0.82229</c:v>
                </c:pt>
                <c:pt idx="725">
                  <c:v>0.808715</c:v>
                </c:pt>
                <c:pt idx="726">
                  <c:v>0.809356</c:v>
                </c:pt>
                <c:pt idx="727">
                  <c:v>0.806482</c:v>
                </c:pt>
                <c:pt idx="728">
                  <c:v>0.807057</c:v>
                </c:pt>
                <c:pt idx="729">
                  <c:v>0.811198</c:v>
                </c:pt>
                <c:pt idx="730">
                  <c:v>0.804646</c:v>
                </c:pt>
                <c:pt idx="731">
                  <c:v>0.805836</c:v>
                </c:pt>
                <c:pt idx="732">
                  <c:v>0.806761</c:v>
                </c:pt>
                <c:pt idx="733">
                  <c:v>0.807355</c:v>
                </c:pt>
                <c:pt idx="734">
                  <c:v>0.807453</c:v>
                </c:pt>
                <c:pt idx="735">
                  <c:v>0.811739</c:v>
                </c:pt>
                <c:pt idx="736">
                  <c:v>0.812338</c:v>
                </c:pt>
                <c:pt idx="737">
                  <c:v>0.816923</c:v>
                </c:pt>
                <c:pt idx="738">
                  <c:v>0.809717</c:v>
                </c:pt>
                <c:pt idx="739">
                  <c:v>0.813722</c:v>
                </c:pt>
                <c:pt idx="740">
                  <c:v>0.798459</c:v>
                </c:pt>
                <c:pt idx="741">
                  <c:v>0.790641</c:v>
                </c:pt>
                <c:pt idx="742">
                  <c:v>0.790498</c:v>
                </c:pt>
                <c:pt idx="743">
                  <c:v>0.794751</c:v>
                </c:pt>
                <c:pt idx="744">
                  <c:v>0.799082</c:v>
                </c:pt>
                <c:pt idx="745">
                  <c:v>0.791949</c:v>
                </c:pt>
                <c:pt idx="746">
                  <c:v>0.796053</c:v>
                </c:pt>
                <c:pt idx="747">
                  <c:v>0.792129</c:v>
                </c:pt>
                <c:pt idx="748">
                  <c:v>0.791955</c:v>
                </c:pt>
                <c:pt idx="749">
                  <c:v>0.7878</c:v>
                </c:pt>
                <c:pt idx="750">
                  <c:v>0.787168</c:v>
                </c:pt>
                <c:pt idx="751">
                  <c:v>0.787871</c:v>
                </c:pt>
                <c:pt idx="752">
                  <c:v>0.783894</c:v>
                </c:pt>
                <c:pt idx="753">
                  <c:v>0.775227</c:v>
                </c:pt>
                <c:pt idx="754">
                  <c:v>0.770896</c:v>
                </c:pt>
                <c:pt idx="755">
                  <c:v>0.762328</c:v>
                </c:pt>
                <c:pt idx="756">
                  <c:v>0.761588</c:v>
                </c:pt>
                <c:pt idx="757">
                  <c:v>0.765576</c:v>
                </c:pt>
                <c:pt idx="758">
                  <c:v>0.761163</c:v>
                </c:pt>
                <c:pt idx="759">
                  <c:v>0.760473</c:v>
                </c:pt>
                <c:pt idx="760">
                  <c:v>0.756728</c:v>
                </c:pt>
                <c:pt idx="761">
                  <c:v>0.756416</c:v>
                </c:pt>
                <c:pt idx="762">
                  <c:v>0.751267</c:v>
                </c:pt>
                <c:pt idx="763">
                  <c:v>0.755163</c:v>
                </c:pt>
                <c:pt idx="764">
                  <c:v>0.758892</c:v>
                </c:pt>
                <c:pt idx="765">
                  <c:v>0.753711</c:v>
                </c:pt>
                <c:pt idx="766">
                  <c:v>0.748856</c:v>
                </c:pt>
                <c:pt idx="767">
                  <c:v>0.751949</c:v>
                </c:pt>
                <c:pt idx="768">
                  <c:v>0.746582</c:v>
                </c:pt>
                <c:pt idx="769">
                  <c:v>0.750223</c:v>
                </c:pt>
                <c:pt idx="770">
                  <c:v>0.75429</c:v>
                </c:pt>
                <c:pt idx="771">
                  <c:v>0.757755</c:v>
                </c:pt>
                <c:pt idx="772">
                  <c:v>0.761433</c:v>
                </c:pt>
                <c:pt idx="773">
                  <c:v>0.766027</c:v>
                </c:pt>
                <c:pt idx="774">
                  <c:v>0.765122</c:v>
                </c:pt>
                <c:pt idx="775">
                  <c:v>0.759996</c:v>
                </c:pt>
                <c:pt idx="776">
                  <c:v>0.754258</c:v>
                </c:pt>
                <c:pt idx="777">
                  <c:v>0.759283</c:v>
                </c:pt>
                <c:pt idx="778">
                  <c:v>0.753435</c:v>
                </c:pt>
                <c:pt idx="779">
                  <c:v>0.737624</c:v>
                </c:pt>
                <c:pt idx="780">
                  <c:v>0.74133</c:v>
                </c:pt>
                <c:pt idx="781">
                  <c:v>0.739815</c:v>
                </c:pt>
                <c:pt idx="782">
                  <c:v>0.743793</c:v>
                </c:pt>
                <c:pt idx="783">
                  <c:v>0.748495</c:v>
                </c:pt>
                <c:pt idx="784">
                  <c:v>0.746724</c:v>
                </c:pt>
                <c:pt idx="785">
                  <c:v>0.736008</c:v>
                </c:pt>
                <c:pt idx="786">
                  <c:v>0.734841</c:v>
                </c:pt>
                <c:pt idx="787">
                  <c:v>0.723439</c:v>
                </c:pt>
                <c:pt idx="788">
                  <c:v>0.712021</c:v>
                </c:pt>
                <c:pt idx="789">
                  <c:v>0.704814</c:v>
                </c:pt>
                <c:pt idx="790">
                  <c:v>0.698236</c:v>
                </c:pt>
                <c:pt idx="791">
                  <c:v>0.696643</c:v>
                </c:pt>
                <c:pt idx="792">
                  <c:v>0.699634</c:v>
                </c:pt>
                <c:pt idx="793">
                  <c:v>0.702838</c:v>
                </c:pt>
                <c:pt idx="794">
                  <c:v>0.701435</c:v>
                </c:pt>
                <c:pt idx="795">
                  <c:v>0.694893</c:v>
                </c:pt>
                <c:pt idx="796">
                  <c:v>0.693316</c:v>
                </c:pt>
                <c:pt idx="797">
                  <c:v>0.68564</c:v>
                </c:pt>
                <c:pt idx="798">
                  <c:v>0.689466</c:v>
                </c:pt>
                <c:pt idx="799">
                  <c:v>0.688137</c:v>
                </c:pt>
                <c:pt idx="800">
                  <c:v>0.686866</c:v>
                </c:pt>
                <c:pt idx="801">
                  <c:v>0.684588</c:v>
                </c:pt>
                <c:pt idx="802">
                  <c:v>0.687304</c:v>
                </c:pt>
                <c:pt idx="803">
                  <c:v>0.685624</c:v>
                </c:pt>
                <c:pt idx="804">
                  <c:v>0.688682</c:v>
                </c:pt>
                <c:pt idx="805">
                  <c:v>0.686252</c:v>
                </c:pt>
                <c:pt idx="806">
                  <c:v>0.677677</c:v>
                </c:pt>
                <c:pt idx="807">
                  <c:v>0.67018</c:v>
                </c:pt>
                <c:pt idx="808">
                  <c:v>0.656266</c:v>
                </c:pt>
                <c:pt idx="809">
                  <c:v>0.647923</c:v>
                </c:pt>
                <c:pt idx="810">
                  <c:v>0.651352</c:v>
                </c:pt>
                <c:pt idx="811">
                  <c:v>0.654588</c:v>
                </c:pt>
                <c:pt idx="812">
                  <c:v>0.652289</c:v>
                </c:pt>
                <c:pt idx="813">
                  <c:v>0.638109</c:v>
                </c:pt>
                <c:pt idx="814">
                  <c:v>0.629903</c:v>
                </c:pt>
                <c:pt idx="815">
                  <c:v>0.621341</c:v>
                </c:pt>
                <c:pt idx="816">
                  <c:v>0.613054</c:v>
                </c:pt>
                <c:pt idx="817">
                  <c:v>0.610161</c:v>
                </c:pt>
                <c:pt idx="818">
                  <c:v>0.607792</c:v>
                </c:pt>
                <c:pt idx="819">
                  <c:v>0.604506</c:v>
                </c:pt>
                <c:pt idx="820">
                  <c:v>0.60725</c:v>
                </c:pt>
                <c:pt idx="821">
                  <c:v>0.610583</c:v>
                </c:pt>
                <c:pt idx="822">
                  <c:v>0.60794</c:v>
                </c:pt>
                <c:pt idx="823">
                  <c:v>0.598653</c:v>
                </c:pt>
                <c:pt idx="824">
                  <c:v>0.595649</c:v>
                </c:pt>
                <c:pt idx="825">
                  <c:v>0.599029</c:v>
                </c:pt>
                <c:pt idx="826">
                  <c:v>0.595464</c:v>
                </c:pt>
                <c:pt idx="827">
                  <c:v>0.597774</c:v>
                </c:pt>
                <c:pt idx="828">
                  <c:v>0.600908</c:v>
                </c:pt>
                <c:pt idx="829">
                  <c:v>0.603841</c:v>
                </c:pt>
                <c:pt idx="830">
                  <c:v>0.594699</c:v>
                </c:pt>
                <c:pt idx="831">
                  <c:v>0.59137</c:v>
                </c:pt>
                <c:pt idx="832">
                  <c:v>0.581357</c:v>
                </c:pt>
                <c:pt idx="833">
                  <c:v>0.584181</c:v>
                </c:pt>
                <c:pt idx="834">
                  <c:v>0.587033</c:v>
                </c:pt>
                <c:pt idx="835">
                  <c:v>0.582627</c:v>
                </c:pt>
                <c:pt idx="836">
                  <c:v>0.58534</c:v>
                </c:pt>
                <c:pt idx="837">
                  <c:v>0.581124</c:v>
                </c:pt>
                <c:pt idx="838">
                  <c:v>0.583736</c:v>
                </c:pt>
                <c:pt idx="839">
                  <c:v>0.57971</c:v>
                </c:pt>
                <c:pt idx="840">
                  <c:v>0.569839</c:v>
                </c:pt>
                <c:pt idx="841">
                  <c:v>0.565742</c:v>
                </c:pt>
                <c:pt idx="842">
                  <c:v>0.569468</c:v>
                </c:pt>
                <c:pt idx="843">
                  <c:v>0.572493</c:v>
                </c:pt>
                <c:pt idx="844">
                  <c:v>0.5683</c:v>
                </c:pt>
                <c:pt idx="845">
                  <c:v>0.571588</c:v>
                </c:pt>
                <c:pt idx="846">
                  <c:v>0.574189</c:v>
                </c:pt>
                <c:pt idx="847">
                  <c:v>0.56974</c:v>
                </c:pt>
                <c:pt idx="848">
                  <c:v>0.572155</c:v>
                </c:pt>
                <c:pt idx="849">
                  <c:v>0.56794</c:v>
                </c:pt>
                <c:pt idx="850">
                  <c:v>0.557023</c:v>
                </c:pt>
                <c:pt idx="851">
                  <c:v>0.538059</c:v>
                </c:pt>
                <c:pt idx="852">
                  <c:v>0.54058</c:v>
                </c:pt>
                <c:pt idx="853">
                  <c:v>0.536504</c:v>
                </c:pt>
                <c:pt idx="854">
                  <c:v>0.539791</c:v>
                </c:pt>
                <c:pt idx="855">
                  <c:v>0.542283</c:v>
                </c:pt>
                <c:pt idx="856">
                  <c:v>0.544839</c:v>
                </c:pt>
                <c:pt idx="857">
                  <c:v>0.547661</c:v>
                </c:pt>
                <c:pt idx="858">
                  <c:v>0.550554</c:v>
                </c:pt>
                <c:pt idx="859">
                  <c:v>0.545754</c:v>
                </c:pt>
                <c:pt idx="860">
                  <c:v>0.540865</c:v>
                </c:pt>
                <c:pt idx="861">
                  <c:v>0.535445</c:v>
                </c:pt>
                <c:pt idx="862">
                  <c:v>0.538164</c:v>
                </c:pt>
                <c:pt idx="863">
                  <c:v>0.533171</c:v>
                </c:pt>
                <c:pt idx="864">
                  <c:v>0.536563</c:v>
                </c:pt>
                <c:pt idx="865">
                  <c:v>0.523681</c:v>
                </c:pt>
                <c:pt idx="866">
                  <c:v>0.518335</c:v>
                </c:pt>
                <c:pt idx="867">
                  <c:v>0.521279</c:v>
                </c:pt>
                <c:pt idx="868">
                  <c:v>0.523315</c:v>
                </c:pt>
                <c:pt idx="869">
                  <c:v>0.526109</c:v>
                </c:pt>
                <c:pt idx="870">
                  <c:v>0.512942</c:v>
                </c:pt>
                <c:pt idx="871">
                  <c:v>0.507614</c:v>
                </c:pt>
                <c:pt idx="872">
                  <c:v>0.51053</c:v>
                </c:pt>
                <c:pt idx="873">
                  <c:v>0.513726</c:v>
                </c:pt>
                <c:pt idx="874">
                  <c:v>0.515963</c:v>
                </c:pt>
                <c:pt idx="875">
                  <c:v>0.502309</c:v>
                </c:pt>
                <c:pt idx="876">
                  <c:v>0.504763</c:v>
                </c:pt>
                <c:pt idx="877">
                  <c:v>0.507822</c:v>
                </c:pt>
                <c:pt idx="878">
                  <c:v>0.510498</c:v>
                </c:pt>
                <c:pt idx="879">
                  <c:v>0.512693</c:v>
                </c:pt>
                <c:pt idx="880">
                  <c:v>0.51525</c:v>
                </c:pt>
                <c:pt idx="881">
                  <c:v>0.501379</c:v>
                </c:pt>
                <c:pt idx="882">
                  <c:v>0.503525</c:v>
                </c:pt>
                <c:pt idx="883">
                  <c:v>0.506415</c:v>
                </c:pt>
                <c:pt idx="884">
                  <c:v>0.509079</c:v>
                </c:pt>
                <c:pt idx="885">
                  <c:v>0.511858</c:v>
                </c:pt>
                <c:pt idx="886">
                  <c:v>0.514447</c:v>
                </c:pt>
                <c:pt idx="887">
                  <c:v>0.508621</c:v>
                </c:pt>
                <c:pt idx="888">
                  <c:v>0.510734</c:v>
                </c:pt>
                <c:pt idx="889">
                  <c:v>0.512553</c:v>
                </c:pt>
                <c:pt idx="890">
                  <c:v>0.515194</c:v>
                </c:pt>
                <c:pt idx="891">
                  <c:v>0.517726</c:v>
                </c:pt>
                <c:pt idx="892">
                  <c:v>0.510968</c:v>
                </c:pt>
                <c:pt idx="893">
                  <c:v>0.513456</c:v>
                </c:pt>
                <c:pt idx="894">
                  <c:v>0.497999</c:v>
                </c:pt>
                <c:pt idx="895">
                  <c:v>0.500447</c:v>
                </c:pt>
                <c:pt idx="896">
                  <c:v>0.485262</c:v>
                </c:pt>
                <c:pt idx="897">
                  <c:v>0.487849</c:v>
                </c:pt>
                <c:pt idx="898">
                  <c:v>0.489441</c:v>
                </c:pt>
                <c:pt idx="899">
                  <c:v>0.482608</c:v>
                </c:pt>
                <c:pt idx="900">
                  <c:v>0.476321</c:v>
                </c:pt>
                <c:pt idx="901">
                  <c:v>0.478865</c:v>
                </c:pt>
                <c:pt idx="902">
                  <c:v>0.471698</c:v>
                </c:pt>
                <c:pt idx="903">
                  <c:v>0.464943</c:v>
                </c:pt>
                <c:pt idx="904">
                  <c:v>0.467683</c:v>
                </c:pt>
                <c:pt idx="905">
                  <c:v>0.460613</c:v>
                </c:pt>
                <c:pt idx="906">
                  <c:v>0.462788</c:v>
                </c:pt>
                <c:pt idx="907">
                  <c:v>0.4561</c:v>
                </c:pt>
                <c:pt idx="908">
                  <c:v>0.448003</c:v>
                </c:pt>
                <c:pt idx="909">
                  <c:v>0.449675</c:v>
                </c:pt>
                <c:pt idx="910">
                  <c:v>0.451749</c:v>
                </c:pt>
                <c:pt idx="911">
                  <c:v>0.453712</c:v>
                </c:pt>
                <c:pt idx="912">
                  <c:v>0.455912</c:v>
                </c:pt>
                <c:pt idx="913">
                  <c:v>0.458671</c:v>
                </c:pt>
                <c:pt idx="914">
                  <c:v>0.460513</c:v>
                </c:pt>
                <c:pt idx="915">
                  <c:v>0.452756</c:v>
                </c:pt>
                <c:pt idx="916">
                  <c:v>0.45513</c:v>
                </c:pt>
                <c:pt idx="917">
                  <c:v>0.457848</c:v>
                </c:pt>
                <c:pt idx="918">
                  <c:v>0.45045</c:v>
                </c:pt>
                <c:pt idx="919">
                  <c:v>0.45258</c:v>
                </c:pt>
                <c:pt idx="920">
                  <c:v>0.455327</c:v>
                </c:pt>
                <c:pt idx="921">
                  <c:v>0.457736</c:v>
                </c:pt>
                <c:pt idx="922">
                  <c:v>0.460405</c:v>
                </c:pt>
                <c:pt idx="923">
                  <c:v>0.463106</c:v>
                </c:pt>
                <c:pt idx="924">
                  <c:v>0.465309</c:v>
                </c:pt>
                <c:pt idx="925">
                  <c:v>0.467824</c:v>
                </c:pt>
                <c:pt idx="926">
                  <c:v>0.459722</c:v>
                </c:pt>
                <c:pt idx="927">
                  <c:v>0.451017</c:v>
                </c:pt>
                <c:pt idx="928">
                  <c:v>0.453443</c:v>
                </c:pt>
                <c:pt idx="929">
                  <c:v>0.445151</c:v>
                </c:pt>
                <c:pt idx="930">
                  <c:v>0.447332</c:v>
                </c:pt>
                <c:pt idx="931">
                  <c:v>0.428311</c:v>
                </c:pt>
                <c:pt idx="932">
                  <c:v>0.430385</c:v>
                </c:pt>
                <c:pt idx="933">
                  <c:v>0.431965</c:v>
                </c:pt>
                <c:pt idx="934">
                  <c:v>0.434924</c:v>
                </c:pt>
                <c:pt idx="935">
                  <c:v>0.437063</c:v>
                </c:pt>
                <c:pt idx="936">
                  <c:v>0.439416</c:v>
                </c:pt>
                <c:pt idx="937">
                  <c:v>0.442038</c:v>
                </c:pt>
                <c:pt idx="938">
                  <c:v>0.444741</c:v>
                </c:pt>
                <c:pt idx="939">
                  <c:v>0.446728</c:v>
                </c:pt>
                <c:pt idx="940">
                  <c:v>0.43776</c:v>
                </c:pt>
                <c:pt idx="941">
                  <c:v>0.428121</c:v>
                </c:pt>
                <c:pt idx="942">
                  <c:v>0.429767</c:v>
                </c:pt>
                <c:pt idx="943">
                  <c:v>0.43172</c:v>
                </c:pt>
                <c:pt idx="944">
                  <c:v>0.434236</c:v>
                </c:pt>
                <c:pt idx="945">
                  <c:v>0.43598</c:v>
                </c:pt>
                <c:pt idx="946">
                  <c:v>0.438192</c:v>
                </c:pt>
                <c:pt idx="947">
                  <c:v>0.440427</c:v>
                </c:pt>
                <c:pt idx="948">
                  <c:v>0.430934</c:v>
                </c:pt>
                <c:pt idx="949">
                  <c:v>0.420905</c:v>
                </c:pt>
                <c:pt idx="950">
                  <c:v>0.411136</c:v>
                </c:pt>
                <c:pt idx="951">
                  <c:v>0.412882</c:v>
                </c:pt>
                <c:pt idx="952">
                  <c:v>0.415282</c:v>
                </c:pt>
                <c:pt idx="953">
                  <c:v>0.416518</c:v>
                </c:pt>
                <c:pt idx="954">
                  <c:v>0.406261</c:v>
                </c:pt>
                <c:pt idx="955">
                  <c:v>0.409195</c:v>
                </c:pt>
                <c:pt idx="956">
                  <c:v>0.411174</c:v>
                </c:pt>
                <c:pt idx="957">
                  <c:v>0.413123</c:v>
                </c:pt>
                <c:pt idx="958">
                  <c:v>0.414533</c:v>
                </c:pt>
                <c:pt idx="959">
                  <c:v>0.417127</c:v>
                </c:pt>
                <c:pt idx="960">
                  <c:v>0.418977</c:v>
                </c:pt>
                <c:pt idx="961">
                  <c:v>0.421941</c:v>
                </c:pt>
                <c:pt idx="962">
                  <c:v>0.424152</c:v>
                </c:pt>
                <c:pt idx="963">
                  <c:v>0.426065</c:v>
                </c:pt>
                <c:pt idx="964">
                  <c:v>0.428104</c:v>
                </c:pt>
                <c:pt idx="965">
                  <c:v>0.430216</c:v>
                </c:pt>
                <c:pt idx="966">
                  <c:v>0.432295</c:v>
                </c:pt>
                <c:pt idx="967">
                  <c:v>0.434061</c:v>
                </c:pt>
                <c:pt idx="968">
                  <c:v>0.435786</c:v>
                </c:pt>
                <c:pt idx="969">
                  <c:v>0.438257</c:v>
                </c:pt>
                <c:pt idx="970">
                  <c:v>0.441043</c:v>
                </c:pt>
                <c:pt idx="971">
                  <c:v>0.443459</c:v>
                </c:pt>
                <c:pt idx="972">
                  <c:v>0.445434</c:v>
                </c:pt>
                <c:pt idx="973">
                  <c:v>0.447368</c:v>
                </c:pt>
                <c:pt idx="974">
                  <c:v>0.449974</c:v>
                </c:pt>
                <c:pt idx="975">
                  <c:v>0.439707</c:v>
                </c:pt>
                <c:pt idx="976">
                  <c:v>0.442004</c:v>
                </c:pt>
                <c:pt idx="977">
                  <c:v>0.444145</c:v>
                </c:pt>
                <c:pt idx="978">
                  <c:v>0.432549</c:v>
                </c:pt>
                <c:pt idx="979">
                  <c:v>0.434783</c:v>
                </c:pt>
                <c:pt idx="980">
                  <c:v>0.43692</c:v>
                </c:pt>
                <c:pt idx="981">
                  <c:v>0.439379</c:v>
                </c:pt>
                <c:pt idx="982">
                  <c:v>0.427822</c:v>
                </c:pt>
                <c:pt idx="983">
                  <c:v>0.429839</c:v>
                </c:pt>
                <c:pt idx="984">
                  <c:v>0.432056</c:v>
                </c:pt>
                <c:pt idx="985">
                  <c:v>0.434174</c:v>
                </c:pt>
                <c:pt idx="986">
                  <c:v>0.435822</c:v>
                </c:pt>
                <c:pt idx="987">
                  <c:v>0.42343</c:v>
                </c:pt>
                <c:pt idx="988">
                  <c:v>0.411289</c:v>
                </c:pt>
                <c:pt idx="989">
                  <c:v>0.41287</c:v>
                </c:pt>
                <c:pt idx="990">
                  <c:v>0.415413</c:v>
                </c:pt>
                <c:pt idx="991">
                  <c:v>0.403866</c:v>
                </c:pt>
                <c:pt idx="992">
                  <c:v>0.406386</c:v>
                </c:pt>
                <c:pt idx="993">
                  <c:v>0.408282</c:v>
                </c:pt>
                <c:pt idx="994">
                  <c:v>0.409956</c:v>
                </c:pt>
                <c:pt idx="995">
                  <c:v>0.411946</c:v>
                </c:pt>
                <c:pt idx="996">
                  <c:v>0.413956</c:v>
                </c:pt>
                <c:pt idx="997">
                  <c:v>0.386387</c:v>
                </c:pt>
                <c:pt idx="998">
                  <c:v>0.388582</c:v>
                </c:pt>
                <c:pt idx="999">
                  <c:v>0.375488</c:v>
                </c:pt>
              </c:numCache>
            </c:numRef>
          </c:yVal>
          <c:smooth val="0"/>
        </c:ser>
        <c:axId val="63165299"/>
        <c:axId val="83657201"/>
      </c:scatterChart>
      <c:valAx>
        <c:axId val="6316529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3657201"/>
        <c:crossesAt val="0"/>
        <c:crossBetween val="midCat"/>
      </c:valAx>
      <c:valAx>
        <c:axId val="83657201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3165299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smooth val="0"/>
        </c:ser>
        <c:axId val="61709257"/>
        <c:axId val="99179131"/>
      </c:scatterChart>
      <c:valAx>
        <c:axId val="6170925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9179131"/>
        <c:crossesAt val="0"/>
        <c:crossBetween val="midCat"/>
      </c:valAx>
      <c:valAx>
        <c:axId val="99179131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1709257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13.3305</c:v>
                </c:pt>
                <c:pt idx="1">
                  <c:v>13.3166</c:v>
                </c:pt>
                <c:pt idx="2">
                  <c:v>13.2731</c:v>
                </c:pt>
                <c:pt idx="3">
                  <c:v>13.2804</c:v>
                </c:pt>
                <c:pt idx="4">
                  <c:v>13.2421</c:v>
                </c:pt>
                <c:pt idx="5">
                  <c:v>13.2219</c:v>
                </c:pt>
                <c:pt idx="6">
                  <c:v>13.2012</c:v>
                </c:pt>
                <c:pt idx="7">
                  <c:v>13.1523</c:v>
                </c:pt>
                <c:pt idx="8">
                  <c:v>13.1133</c:v>
                </c:pt>
              </c:numCache>
            </c:numRef>
          </c:yVal>
          <c:smooth val="0"/>
        </c:ser>
        <c:axId val="9112732"/>
        <c:axId val="54901227"/>
      </c:scatterChart>
      <c:valAx>
        <c:axId val="911273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4901227"/>
        <c:crossesAt val="0"/>
        <c:crossBetween val="midCat"/>
      </c:valAx>
      <c:valAx>
        <c:axId val="54901227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112732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20.6074</c:v>
                </c:pt>
                <c:pt idx="1">
                  <c:v>20.3151</c:v>
                </c:pt>
                <c:pt idx="2">
                  <c:v>20.3089</c:v>
                </c:pt>
                <c:pt idx="3">
                  <c:v>20.4035</c:v>
                </c:pt>
                <c:pt idx="4">
                  <c:v>20.4954</c:v>
                </c:pt>
                <c:pt idx="5">
                  <c:v>20.5378</c:v>
                </c:pt>
                <c:pt idx="6">
                  <c:v>20.5643</c:v>
                </c:pt>
                <c:pt idx="7">
                  <c:v>20.5703</c:v>
                </c:pt>
                <c:pt idx="8">
                  <c:v>20.5566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label 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9"/>
                <c:pt idx="0">
                  <c:v>20.4728</c:v>
                </c:pt>
                <c:pt idx="1">
                  <c:v>20.4996</c:v>
                </c:pt>
                <c:pt idx="2">
                  <c:v>20.5329</c:v>
                </c:pt>
                <c:pt idx="3">
                  <c:v>20.5961</c:v>
                </c:pt>
                <c:pt idx="4">
                  <c:v>20.3458</c:v>
                </c:pt>
                <c:pt idx="5">
                  <c:v>20.3316</c:v>
                </c:pt>
                <c:pt idx="6">
                  <c:v>20.3618</c:v>
                </c:pt>
                <c:pt idx="7">
                  <c:v>20.4336</c:v>
                </c:pt>
                <c:pt idx="8">
                  <c:v>20.4421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label 4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D320"/>
            </a:solidFill>
            <a:ln cap="rnd" w="28800">
              <a:solidFill>
                <a:srgbClr val="FFD32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5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4</c:f>
              <c:numCache>
                <c:formatCode>General</c:formatCode>
                <c:ptCount val="9"/>
                <c:pt idx="0">
                  <c:v>20.5513</c:v>
                </c:pt>
                <c:pt idx="1">
                  <c:v>20.5285</c:v>
                </c:pt>
                <c:pt idx="2">
                  <c:v>20.5415</c:v>
                </c:pt>
                <c:pt idx="3">
                  <c:v>20.5345</c:v>
                </c:pt>
                <c:pt idx="4">
                  <c:v>20.5383</c:v>
                </c:pt>
                <c:pt idx="5">
                  <c:v>20.5221</c:v>
                </c:pt>
                <c:pt idx="6">
                  <c:v>20.5093</c:v>
                </c:pt>
                <c:pt idx="7">
                  <c:v>20.505</c:v>
                </c:pt>
                <c:pt idx="8">
                  <c:v>20.5355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label 6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579D1C"/>
            </a:solidFill>
            <a:ln cap="rnd" w="28800">
              <a:solidFill>
                <a:srgbClr val="579D1C"/>
              </a:solidFill>
              <a:round/>
            </a:ln>
          </c:spPr>
          <c:marker>
            <c:symbol val="x"/>
            <c:size val="7"/>
            <c:spPr>
              <a:solidFill>
                <a:srgbClr val="579D1C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6</c:f>
              <c:numCache>
                <c:formatCode>General</c:formatCode>
                <c:ptCount val="9"/>
                <c:pt idx="0">
                  <c:v>20.5345</c:v>
                </c:pt>
                <c:pt idx="1">
                  <c:v>20.5534</c:v>
                </c:pt>
                <c:pt idx="2">
                  <c:v>20.5395</c:v>
                </c:pt>
                <c:pt idx="3">
                  <c:v>20.5289</c:v>
                </c:pt>
                <c:pt idx="4">
                  <c:v>20.5324</c:v>
                </c:pt>
                <c:pt idx="5">
                  <c:v>20.5323</c:v>
                </c:pt>
                <c:pt idx="6">
                  <c:v>20.5265</c:v>
                </c:pt>
                <c:pt idx="7">
                  <c:v>20.5365</c:v>
                </c:pt>
                <c:pt idx="8">
                  <c:v>20.5259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label 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7E0021"/>
            </a:solidFill>
            <a:ln cap="rnd" w="28800">
              <a:solidFill>
                <a:srgbClr val="7E0021"/>
              </a:solidFill>
              <a:round/>
            </a:ln>
          </c:spPr>
          <c:marker>
            <c:symbol val="square"/>
            <c:size val="7"/>
            <c:spPr>
              <a:solidFill>
                <a:srgbClr val="7E002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8</c:f>
              <c:numCache>
                <c:formatCode>General</c:formatCode>
                <c:ptCount val="9"/>
                <c:pt idx="0">
                  <c:v>20.6947</c:v>
                </c:pt>
                <c:pt idx="1">
                  <c:v>20.6887</c:v>
                </c:pt>
                <c:pt idx="2">
                  <c:v>20.6913</c:v>
                </c:pt>
                <c:pt idx="3">
                  <c:v>20.695</c:v>
                </c:pt>
                <c:pt idx="4">
                  <c:v>20.7009</c:v>
                </c:pt>
                <c:pt idx="5">
                  <c:v>20.6907</c:v>
                </c:pt>
                <c:pt idx="6">
                  <c:v>20.6933</c:v>
                </c:pt>
                <c:pt idx="7">
                  <c:v>20.683</c:v>
                </c:pt>
                <c:pt idx="8">
                  <c:v>20.6757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label 10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83CAFF"/>
            </a:solidFill>
            <a:ln cap="rnd" w="28800">
              <a:solidFill>
                <a:srgbClr val="83CAFF"/>
              </a:solidFill>
              <a:round/>
            </a:ln>
          </c:spPr>
          <c:marker>
            <c:symbol val="circle"/>
            <c:size val="7"/>
            <c:spPr>
              <a:solidFill>
                <a:srgbClr val="83CA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10</c:f>
              <c:numCache>
                <c:formatCode>General</c:formatCode>
                <c:ptCount val="9"/>
                <c:pt idx="0">
                  <c:v>20.5765</c:v>
                </c:pt>
                <c:pt idx="1">
                  <c:v>20.5709</c:v>
                </c:pt>
                <c:pt idx="2">
                  <c:v>20.5652</c:v>
                </c:pt>
                <c:pt idx="3">
                  <c:v>20.5578</c:v>
                </c:pt>
                <c:pt idx="4">
                  <c:v>20.5519</c:v>
                </c:pt>
                <c:pt idx="5">
                  <c:v>20.5558</c:v>
                </c:pt>
                <c:pt idx="6">
                  <c:v>20.5548</c:v>
                </c:pt>
                <c:pt idx="7">
                  <c:v>20.5499</c:v>
                </c:pt>
                <c:pt idx="8">
                  <c:v>20.566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label 12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314004"/>
            </a:solidFill>
            <a:ln cap="rnd" w="28800">
              <a:solidFill>
                <a:srgbClr val="314004"/>
              </a:solidFill>
              <a:round/>
            </a:ln>
          </c:spPr>
          <c:marker>
            <c:symbol val="plus"/>
            <c:size val="7"/>
            <c:spPr>
              <a:solidFill>
                <a:srgbClr val="31400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12</c:f>
              <c:numCache>
                <c:formatCode>General</c:formatCode>
                <c:ptCount val="9"/>
                <c:pt idx="0">
                  <c:v>0</c:v>
                </c:pt>
                <c:pt idx="1">
                  <c:v>953</c:v>
                </c:pt>
                <c:pt idx="2">
                  <c:v>72429</c:v>
                </c:pt>
                <c:pt idx="3">
                  <c:v>86689</c:v>
                </c:pt>
                <c:pt idx="4">
                  <c:v>4425</c:v>
                </c:pt>
                <c:pt idx="5">
                  <c:v>81779</c:v>
                </c:pt>
                <c:pt idx="6">
                  <c:v>67336</c:v>
                </c:pt>
                <c:pt idx="7">
                  <c:v>359</c:v>
                </c:pt>
                <c:pt idx="8">
                  <c:v>50979</c:v>
                </c:pt>
              </c:numCache>
            </c:numRef>
          </c:yVal>
          <c:smooth val="0"/>
        </c:ser>
        <c:axId val="25935920"/>
        <c:axId val="11948419"/>
      </c:scatterChart>
      <c:valAx>
        <c:axId val="2593592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1948419"/>
        <c:crossesAt val="0"/>
        <c:crossBetween val="midCat"/>
      </c:valAx>
      <c:valAx>
        <c:axId val="11948419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5935920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layout>
        <c:manualLayout>
          <c:xMode val="edge"/>
          <c:yMode val="edge"/>
          <c:x val="0.0189398674834354"/>
          <c:y val="0.0400444938820912"/>
          <c:w val="0.778222277784723"/>
          <c:h val="0.959733036707453"/>
        </c:manualLayout>
      </c:layout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6.11329</c:v>
                </c:pt>
                <c:pt idx="1">
                  <c:v>6.13414</c:v>
                </c:pt>
                <c:pt idx="2">
                  <c:v>6.18455</c:v>
                </c:pt>
                <c:pt idx="3">
                  <c:v>6.18466</c:v>
                </c:pt>
                <c:pt idx="4">
                  <c:v>6.21101</c:v>
                </c:pt>
                <c:pt idx="5">
                  <c:v>6.1445</c:v>
                </c:pt>
                <c:pt idx="6">
                  <c:v>6.11738</c:v>
                </c:pt>
                <c:pt idx="7">
                  <c:v>6.07317</c:v>
                </c:pt>
                <c:pt idx="8">
                  <c:v>6.03159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label 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9"/>
                <c:pt idx="0">
                  <c:v>6.1499</c:v>
                </c:pt>
                <c:pt idx="1">
                  <c:v>6.0888</c:v>
                </c:pt>
                <c:pt idx="2">
                  <c:v>6.0597</c:v>
                </c:pt>
                <c:pt idx="3">
                  <c:v>6.07742</c:v>
                </c:pt>
                <c:pt idx="4">
                  <c:v>6.09793</c:v>
                </c:pt>
                <c:pt idx="5">
                  <c:v>6.02138</c:v>
                </c:pt>
                <c:pt idx="6">
                  <c:v>5.96813</c:v>
                </c:pt>
                <c:pt idx="7">
                  <c:v>5.99589</c:v>
                </c:pt>
                <c:pt idx="8">
                  <c:v>6.0573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label 4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D320"/>
            </a:solidFill>
            <a:ln cap="rnd" w="28800">
              <a:solidFill>
                <a:srgbClr val="FFD32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5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4</c:f>
              <c:numCache>
                <c:formatCode>General</c:formatCode>
                <c:ptCount val="9"/>
                <c:pt idx="0">
                  <c:v>6.18157</c:v>
                </c:pt>
                <c:pt idx="1">
                  <c:v>6.18196</c:v>
                </c:pt>
                <c:pt idx="2">
                  <c:v>6.18158</c:v>
                </c:pt>
                <c:pt idx="3">
                  <c:v>6.1625</c:v>
                </c:pt>
                <c:pt idx="4">
                  <c:v>6.13927</c:v>
                </c:pt>
                <c:pt idx="5">
                  <c:v>6.13687</c:v>
                </c:pt>
                <c:pt idx="6">
                  <c:v>6.1049</c:v>
                </c:pt>
                <c:pt idx="7">
                  <c:v>6.08922</c:v>
                </c:pt>
                <c:pt idx="8">
                  <c:v>6.09969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label 6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579D1C"/>
            </a:solidFill>
            <a:ln cap="rnd" w="28800">
              <a:solidFill>
                <a:srgbClr val="579D1C"/>
              </a:solidFill>
              <a:round/>
            </a:ln>
          </c:spPr>
          <c:marker>
            <c:symbol val="x"/>
            <c:size val="7"/>
            <c:spPr>
              <a:solidFill>
                <a:srgbClr val="579D1C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6</c:f>
              <c:numCache>
                <c:formatCode>General</c:formatCode>
                <c:ptCount val="9"/>
                <c:pt idx="0">
                  <c:v>6.119</c:v>
                </c:pt>
                <c:pt idx="1">
                  <c:v>6.09237</c:v>
                </c:pt>
                <c:pt idx="2">
                  <c:v>6.0955</c:v>
                </c:pt>
                <c:pt idx="3">
                  <c:v>6.08235</c:v>
                </c:pt>
                <c:pt idx="4">
                  <c:v>6.04839</c:v>
                </c:pt>
                <c:pt idx="5">
                  <c:v>6.03394</c:v>
                </c:pt>
                <c:pt idx="6">
                  <c:v>6.03753</c:v>
                </c:pt>
                <c:pt idx="7">
                  <c:v>6.02337</c:v>
                </c:pt>
                <c:pt idx="8">
                  <c:v>6.01649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label 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7E0021"/>
            </a:solidFill>
            <a:ln cap="rnd" w="28800">
              <a:solidFill>
                <a:srgbClr val="7E0021"/>
              </a:solidFill>
              <a:round/>
            </a:ln>
          </c:spPr>
          <c:marker>
            <c:symbol val="square"/>
            <c:size val="7"/>
            <c:spPr>
              <a:solidFill>
                <a:srgbClr val="7E002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8</c:f>
              <c:numCache>
                <c:formatCode>General</c:formatCode>
                <c:ptCount val="9"/>
                <c:pt idx="0">
                  <c:v>6.27454</c:v>
                </c:pt>
                <c:pt idx="1">
                  <c:v>6.28378</c:v>
                </c:pt>
                <c:pt idx="2">
                  <c:v>6.26247</c:v>
                </c:pt>
                <c:pt idx="3">
                  <c:v>6.23654</c:v>
                </c:pt>
                <c:pt idx="4">
                  <c:v>6.23637</c:v>
                </c:pt>
                <c:pt idx="5">
                  <c:v>6.21791</c:v>
                </c:pt>
                <c:pt idx="6">
                  <c:v>6.19559</c:v>
                </c:pt>
                <c:pt idx="7">
                  <c:v>6.19332</c:v>
                </c:pt>
                <c:pt idx="8">
                  <c:v>6.17366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label 10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83CAFF"/>
            </a:solidFill>
            <a:ln cap="rnd" w="28800">
              <a:solidFill>
                <a:srgbClr val="83CAFF"/>
              </a:solidFill>
              <a:round/>
            </a:ln>
          </c:spPr>
          <c:marker>
            <c:symbol val="circle"/>
            <c:size val="7"/>
            <c:spPr>
              <a:solidFill>
                <a:srgbClr val="83CA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10</c:f>
              <c:numCache>
                <c:formatCode>General</c:formatCode>
                <c:ptCount val="9"/>
                <c:pt idx="0">
                  <c:v>6.16502</c:v>
                </c:pt>
                <c:pt idx="1">
                  <c:v>6.11937</c:v>
                </c:pt>
                <c:pt idx="2">
                  <c:v>6.12575</c:v>
                </c:pt>
                <c:pt idx="3">
                  <c:v>6.08759</c:v>
                </c:pt>
                <c:pt idx="4">
                  <c:v>6.07295</c:v>
                </c:pt>
                <c:pt idx="5">
                  <c:v>6.06991</c:v>
                </c:pt>
                <c:pt idx="6">
                  <c:v>6.06101</c:v>
                </c:pt>
                <c:pt idx="7">
                  <c:v>6.03834</c:v>
                </c:pt>
                <c:pt idx="8">
                  <c:v>6.03581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label 12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314004"/>
            </a:solidFill>
            <a:ln cap="rnd" w="28800">
              <a:solidFill>
                <a:srgbClr val="314004"/>
              </a:solidFill>
              <a:round/>
            </a:ln>
          </c:spPr>
          <c:marker>
            <c:symbol val="plus"/>
            <c:size val="7"/>
            <c:spPr>
              <a:solidFill>
                <a:srgbClr val="31400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12</c:f>
              <c:numCache>
                <c:formatCode>General</c:formatCode>
                <c:ptCount val="9"/>
                <c:pt idx="0">
                  <c:v>6.21133</c:v>
                </c:pt>
                <c:pt idx="1">
                  <c:v>6.20045</c:v>
                </c:pt>
                <c:pt idx="2">
                  <c:v>6.18689</c:v>
                </c:pt>
                <c:pt idx="3">
                  <c:v>6.17821</c:v>
                </c:pt>
                <c:pt idx="4">
                  <c:v>6.15278</c:v>
                </c:pt>
                <c:pt idx="5">
                  <c:v>6.15107</c:v>
                </c:pt>
                <c:pt idx="6">
                  <c:v>6.11342</c:v>
                </c:pt>
                <c:pt idx="7">
                  <c:v>6.11036</c:v>
                </c:pt>
                <c:pt idx="8">
                  <c:v>6.09547</c:v>
                </c:pt>
              </c:numCache>
            </c:numRef>
          </c:yVal>
          <c:smooth val="0"/>
        </c:ser>
        <c:axId val="34971794"/>
        <c:axId val="39159541"/>
      </c:scatterChart>
      <c:valAx>
        <c:axId val="3497179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9159541"/>
        <c:crossesAt val="0"/>
        <c:crossBetween val="midCat"/>
      </c:valAx>
      <c:valAx>
        <c:axId val="39159541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4971794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Tabelle7!$F$1</c:f>
              <c:strCache>
                <c:ptCount val="1"/>
                <c:pt idx="0">
                  <c:v>prior%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Tabelle7!$F$2:$F$16</c:f>
              <c:numCache>
                <c:formatCode>0.00\ %</c:formatCode>
                <c:ptCount val="15"/>
                <c:pt idx="0">
                  <c:v>-0.392156862745098</c:v>
                </c:pt>
                <c:pt idx="1">
                  <c:v>-0.36036036036036</c:v>
                </c:pt>
                <c:pt idx="2">
                  <c:v>-0.28436018957346</c:v>
                </c:pt>
                <c:pt idx="3">
                  <c:v>-0.227920227920228</c:v>
                </c:pt>
                <c:pt idx="4">
                  <c:v>-0.188323917137476</c:v>
                </c:pt>
                <c:pt idx="5">
                  <c:v>-0.159786950732357</c:v>
                </c:pt>
                <c:pt idx="6">
                  <c:v>-0.138476755687438</c:v>
                </c:pt>
                <c:pt idx="7">
                  <c:v>-0.122044241037376</c:v>
                </c:pt>
                <c:pt idx="8">
                  <c:v>-0.109024833434282</c:v>
                </c:pt>
                <c:pt idx="9">
                  <c:v>-0.0984736582964058</c:v>
                </c:pt>
                <c:pt idx="10">
                  <c:v>-0.0897592819257446</c:v>
                </c:pt>
                <c:pt idx="11">
                  <c:v>-0.082445894881484</c:v>
                </c:pt>
                <c:pt idx="12">
                  <c:v>-0.0762239812371739</c:v>
                </c:pt>
                <c:pt idx="13">
                  <c:v>-0.0708681346494559</c:v>
                </c:pt>
                <c:pt idx="14">
                  <c:v>-0.0662105495475612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Tabelle7!$G$1</c:f>
              <c:strCache>
                <c:ptCount val="1"/>
                <c:pt idx="0">
                  <c:v>prior2%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Tabelle7!$G$2:$G$16</c:f>
              <c:numCache>
                <c:formatCode>0.00\ %</c:formatCode>
                <c:ptCount val="15"/>
                <c:pt idx="0">
                  <c:v>-0.196078431372549</c:v>
                </c:pt>
                <c:pt idx="1">
                  <c:v>-0.18018018018018</c:v>
                </c:pt>
                <c:pt idx="2">
                  <c:v>-0.14218009478673</c:v>
                </c:pt>
                <c:pt idx="3">
                  <c:v>-0.113960113960114</c:v>
                </c:pt>
                <c:pt idx="4">
                  <c:v>-0.0941619585687382</c:v>
                </c:pt>
                <c:pt idx="5">
                  <c:v>-0.0798934753661784</c:v>
                </c:pt>
                <c:pt idx="6">
                  <c:v>-0.0692383778437191</c:v>
                </c:pt>
                <c:pt idx="7">
                  <c:v>-0.0610221205186881</c:v>
                </c:pt>
                <c:pt idx="8">
                  <c:v>-0.0545124167171411</c:v>
                </c:pt>
                <c:pt idx="9">
                  <c:v>-0.0492368291482028</c:v>
                </c:pt>
                <c:pt idx="10">
                  <c:v>-0.0448796409628723</c:v>
                </c:pt>
                <c:pt idx="11">
                  <c:v>-0.0412229474407421</c:v>
                </c:pt>
                <c:pt idx="12">
                  <c:v>-0.0381119906185869</c:v>
                </c:pt>
                <c:pt idx="13">
                  <c:v>-0.0354340673247279</c:v>
                </c:pt>
                <c:pt idx="14">
                  <c:v>-0.0331052747737807</c:v>
                </c:pt>
              </c:numCache>
            </c:numRef>
          </c:yVal>
          <c:smooth val="0"/>
        </c:ser>
        <c:axId val="78019910"/>
        <c:axId val="34572620"/>
      </c:scatterChart>
      <c:valAx>
        <c:axId val="780199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4572620"/>
        <c:crossesAt val="0"/>
        <c:crossBetween val="midCat"/>
      </c:valAx>
      <c:valAx>
        <c:axId val="34572620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8019910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4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6.xml"/><Relationship Id="rId2" Type="http://schemas.openxmlformats.org/officeDocument/2006/relationships/chart" Target="../charts/chart17.xml"/><Relationship Id="rId3" Type="http://schemas.openxmlformats.org/officeDocument/2006/relationships/chart" Target="../charts/chart18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9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65</xdr:col>
      <xdr:colOff>422640</xdr:colOff>
      <xdr:row>0</xdr:row>
      <xdr:rowOff>134280</xdr:rowOff>
    </xdr:from>
    <xdr:to>
      <xdr:col>77</xdr:col>
      <xdr:colOff>311040</xdr:colOff>
      <xdr:row>38</xdr:row>
      <xdr:rowOff>111600</xdr:rowOff>
    </xdr:to>
    <xdr:graphicFrame>
      <xdr:nvGraphicFramePr>
        <xdr:cNvPr id="1" name=""/>
        <xdr:cNvGraphicFramePr/>
      </xdr:nvGraphicFramePr>
      <xdr:xfrm>
        <a:off x="55863360" y="134280"/>
        <a:ext cx="8803800" cy="6637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63</xdr:col>
      <xdr:colOff>700200</xdr:colOff>
      <xdr:row>0</xdr:row>
      <xdr:rowOff>134280</xdr:rowOff>
    </xdr:from>
    <xdr:to>
      <xdr:col>75</xdr:col>
      <xdr:colOff>588600</xdr:colOff>
      <xdr:row>38</xdr:row>
      <xdr:rowOff>111600</xdr:rowOff>
    </xdr:to>
    <xdr:graphicFrame>
      <xdr:nvGraphicFramePr>
        <xdr:cNvPr id="2" name=""/>
        <xdr:cNvGraphicFramePr/>
      </xdr:nvGraphicFramePr>
      <xdr:xfrm>
        <a:off x="55863360" y="134280"/>
        <a:ext cx="8803800" cy="6637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49</xdr:col>
      <xdr:colOff>22680</xdr:colOff>
      <xdr:row>1</xdr:row>
      <xdr:rowOff>55800</xdr:rowOff>
    </xdr:from>
    <xdr:to>
      <xdr:col>60</xdr:col>
      <xdr:colOff>630000</xdr:colOff>
      <xdr:row>34</xdr:row>
      <xdr:rowOff>159840</xdr:rowOff>
    </xdr:to>
    <xdr:graphicFrame>
      <xdr:nvGraphicFramePr>
        <xdr:cNvPr id="3" name=""/>
        <xdr:cNvGraphicFramePr/>
      </xdr:nvGraphicFramePr>
      <xdr:xfrm>
        <a:off x="40655160" y="231120"/>
        <a:ext cx="8779680" cy="5887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65</xdr:col>
      <xdr:colOff>123840</xdr:colOff>
      <xdr:row>0</xdr:row>
      <xdr:rowOff>134280</xdr:rowOff>
    </xdr:from>
    <xdr:to>
      <xdr:col>77</xdr:col>
      <xdr:colOff>12240</xdr:colOff>
      <xdr:row>38</xdr:row>
      <xdr:rowOff>111600</xdr:rowOff>
    </xdr:to>
    <xdr:graphicFrame>
      <xdr:nvGraphicFramePr>
        <xdr:cNvPr id="4" name=""/>
        <xdr:cNvGraphicFramePr/>
      </xdr:nvGraphicFramePr>
      <xdr:xfrm>
        <a:off x="55863360" y="134280"/>
        <a:ext cx="8803800" cy="6637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22</xdr:col>
      <xdr:colOff>76320</xdr:colOff>
      <xdr:row>0</xdr:row>
      <xdr:rowOff>174600</xdr:rowOff>
    </xdr:from>
    <xdr:to>
      <xdr:col>29</xdr:col>
      <xdr:colOff>218160</xdr:colOff>
      <xdr:row>18</xdr:row>
      <xdr:rowOff>7200</xdr:rowOff>
    </xdr:to>
    <xdr:graphicFrame>
      <xdr:nvGraphicFramePr>
        <xdr:cNvPr id="5" name="Diagramm 2"/>
        <xdr:cNvGraphicFramePr/>
      </xdr:nvGraphicFramePr>
      <xdr:xfrm>
        <a:off x="18893160" y="174600"/>
        <a:ext cx="5342760" cy="3261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22</xdr:col>
      <xdr:colOff>88560</xdr:colOff>
      <xdr:row>18</xdr:row>
      <xdr:rowOff>91800</xdr:rowOff>
    </xdr:from>
    <xdr:to>
      <xdr:col>29</xdr:col>
      <xdr:colOff>221040</xdr:colOff>
      <xdr:row>34</xdr:row>
      <xdr:rowOff>181440</xdr:rowOff>
    </xdr:to>
    <xdr:graphicFrame>
      <xdr:nvGraphicFramePr>
        <xdr:cNvPr id="6" name="Diagramm 3"/>
        <xdr:cNvGraphicFramePr/>
      </xdr:nvGraphicFramePr>
      <xdr:xfrm>
        <a:off x="18905400" y="3520800"/>
        <a:ext cx="5333400" cy="313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46</xdr:col>
      <xdr:colOff>33840</xdr:colOff>
      <xdr:row>0</xdr:row>
      <xdr:rowOff>116640</xdr:rowOff>
    </xdr:from>
    <xdr:to>
      <xdr:col>53</xdr:col>
      <xdr:colOff>9000</xdr:colOff>
      <xdr:row>16</xdr:row>
      <xdr:rowOff>92160</xdr:rowOff>
    </xdr:to>
    <xdr:graphicFrame>
      <xdr:nvGraphicFramePr>
        <xdr:cNvPr id="7" name="Diagramm 2"/>
        <xdr:cNvGraphicFramePr/>
      </xdr:nvGraphicFramePr>
      <xdr:xfrm>
        <a:off x="39333240" y="116640"/>
        <a:ext cx="5176080" cy="302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46</xdr:col>
      <xdr:colOff>25560</xdr:colOff>
      <xdr:row>16</xdr:row>
      <xdr:rowOff>183960</xdr:rowOff>
    </xdr:from>
    <xdr:to>
      <xdr:col>53</xdr:col>
      <xdr:colOff>53280</xdr:colOff>
      <xdr:row>33</xdr:row>
      <xdr:rowOff>111600</xdr:rowOff>
    </xdr:to>
    <xdr:graphicFrame>
      <xdr:nvGraphicFramePr>
        <xdr:cNvPr id="8" name="Diagramm 3"/>
        <xdr:cNvGraphicFramePr/>
      </xdr:nvGraphicFramePr>
      <xdr:xfrm>
        <a:off x="39324960" y="3232080"/>
        <a:ext cx="5228640" cy="3166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47520</xdr:colOff>
      <xdr:row>0</xdr:row>
      <xdr:rowOff>61920</xdr:rowOff>
    </xdr:from>
    <xdr:to>
      <xdr:col>20</xdr:col>
      <xdr:colOff>189360</xdr:colOff>
      <xdr:row>18</xdr:row>
      <xdr:rowOff>168840</xdr:rowOff>
    </xdr:to>
    <xdr:graphicFrame>
      <xdr:nvGraphicFramePr>
        <xdr:cNvPr id="9" name="Diagramm 2"/>
        <xdr:cNvGraphicFramePr/>
      </xdr:nvGraphicFramePr>
      <xdr:xfrm>
        <a:off x="10677960" y="61920"/>
        <a:ext cx="5342760" cy="3261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57240</xdr:colOff>
      <xdr:row>20</xdr:row>
      <xdr:rowOff>100080</xdr:rowOff>
    </xdr:from>
    <xdr:to>
      <xdr:col>20</xdr:col>
      <xdr:colOff>189720</xdr:colOff>
      <xdr:row>38</xdr:row>
      <xdr:rowOff>83160</xdr:rowOff>
    </xdr:to>
    <xdr:graphicFrame>
      <xdr:nvGraphicFramePr>
        <xdr:cNvPr id="10" name="Diagramm 3"/>
        <xdr:cNvGraphicFramePr/>
      </xdr:nvGraphicFramePr>
      <xdr:xfrm>
        <a:off x="10687680" y="3605400"/>
        <a:ext cx="5333400" cy="313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52560</xdr:colOff>
      <xdr:row>0</xdr:row>
      <xdr:rowOff>81000</xdr:rowOff>
    </xdr:from>
    <xdr:to>
      <xdr:col>20</xdr:col>
      <xdr:colOff>27720</xdr:colOff>
      <xdr:row>17</xdr:row>
      <xdr:rowOff>125280</xdr:rowOff>
    </xdr:to>
    <xdr:graphicFrame>
      <xdr:nvGraphicFramePr>
        <xdr:cNvPr id="11" name="Diagramm 2"/>
        <xdr:cNvGraphicFramePr/>
      </xdr:nvGraphicFramePr>
      <xdr:xfrm>
        <a:off x="10683000" y="81000"/>
        <a:ext cx="5176080" cy="302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76320</xdr:colOff>
      <xdr:row>19</xdr:row>
      <xdr:rowOff>85680</xdr:rowOff>
    </xdr:from>
    <xdr:to>
      <xdr:col>20</xdr:col>
      <xdr:colOff>104040</xdr:colOff>
      <xdr:row>37</xdr:row>
      <xdr:rowOff>97200</xdr:rowOff>
    </xdr:to>
    <xdr:graphicFrame>
      <xdr:nvGraphicFramePr>
        <xdr:cNvPr id="12" name="Diagramm 3"/>
        <xdr:cNvGraphicFramePr/>
      </xdr:nvGraphicFramePr>
      <xdr:xfrm>
        <a:off x="10706760" y="3415680"/>
        <a:ext cx="5228640" cy="3166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43200</xdr:colOff>
      <xdr:row>1</xdr:row>
      <xdr:rowOff>64800</xdr:rowOff>
    </xdr:from>
    <xdr:to>
      <xdr:col>12</xdr:col>
      <xdr:colOff>538560</xdr:colOff>
      <xdr:row>19</xdr:row>
      <xdr:rowOff>146520</xdr:rowOff>
    </xdr:to>
    <xdr:graphicFrame>
      <xdr:nvGraphicFramePr>
        <xdr:cNvPr id="13" name="Diagramm 1"/>
        <xdr:cNvGraphicFramePr/>
      </xdr:nvGraphicFramePr>
      <xdr:xfrm>
        <a:off x="4326120" y="240120"/>
        <a:ext cx="5758920" cy="3236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360</xdr:rowOff>
    </xdr:from>
    <xdr:to>
      <xdr:col>14</xdr:col>
      <xdr:colOff>703080</xdr:colOff>
      <xdr:row>22</xdr:row>
      <xdr:rowOff>123120</xdr:rowOff>
    </xdr:to>
    <xdr:graphicFrame>
      <xdr:nvGraphicFramePr>
        <xdr:cNvPr id="14" name="Diagramm 1"/>
        <xdr:cNvGraphicFramePr/>
      </xdr:nvGraphicFramePr>
      <xdr:xfrm>
        <a:off x="1713240" y="360"/>
        <a:ext cx="9794880" cy="3978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360</xdr:rowOff>
    </xdr:from>
    <xdr:to>
      <xdr:col>14</xdr:col>
      <xdr:colOff>703080</xdr:colOff>
      <xdr:row>22</xdr:row>
      <xdr:rowOff>123120</xdr:rowOff>
    </xdr:to>
    <xdr:graphicFrame>
      <xdr:nvGraphicFramePr>
        <xdr:cNvPr id="15" name="Diagramm 1"/>
        <xdr:cNvGraphicFramePr/>
      </xdr:nvGraphicFramePr>
      <xdr:xfrm>
        <a:off x="1713240" y="360"/>
        <a:ext cx="9794880" cy="3978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502560</xdr:colOff>
      <xdr:row>111</xdr:row>
      <xdr:rowOff>52200</xdr:rowOff>
    </xdr:from>
    <xdr:to>
      <xdr:col>9</xdr:col>
      <xdr:colOff>265320</xdr:colOff>
      <xdr:row>129</xdr:row>
      <xdr:rowOff>133560</xdr:rowOff>
    </xdr:to>
    <xdr:graphicFrame>
      <xdr:nvGraphicFramePr>
        <xdr:cNvPr id="16" name="Diagramm 1"/>
        <xdr:cNvGraphicFramePr/>
      </xdr:nvGraphicFramePr>
      <xdr:xfrm>
        <a:off x="2215800" y="19506240"/>
        <a:ext cx="5758920" cy="3236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40680</xdr:colOff>
      <xdr:row>1</xdr:row>
      <xdr:rowOff>156240</xdr:rowOff>
    </xdr:from>
    <xdr:to>
      <xdr:col>26</xdr:col>
      <xdr:colOff>422280</xdr:colOff>
      <xdr:row>20</xdr:row>
      <xdr:rowOff>69480</xdr:rowOff>
    </xdr:to>
    <xdr:graphicFrame>
      <xdr:nvGraphicFramePr>
        <xdr:cNvPr id="17" name="Diagramm 2"/>
        <xdr:cNvGraphicFramePr/>
      </xdr:nvGraphicFramePr>
      <xdr:xfrm>
        <a:off x="16316280" y="331560"/>
        <a:ext cx="5758920" cy="3243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19</xdr:col>
      <xdr:colOff>364320</xdr:colOff>
      <xdr:row>60</xdr:row>
      <xdr:rowOff>720</xdr:rowOff>
    </xdr:from>
    <xdr:to>
      <xdr:col>27</xdr:col>
      <xdr:colOff>2880</xdr:colOff>
      <xdr:row>78</xdr:row>
      <xdr:rowOff>82080</xdr:rowOff>
    </xdr:to>
    <xdr:graphicFrame>
      <xdr:nvGraphicFramePr>
        <xdr:cNvPr id="18" name="Diagramm 3"/>
        <xdr:cNvGraphicFramePr/>
      </xdr:nvGraphicFramePr>
      <xdr:xfrm>
        <a:off x="16639920" y="10516320"/>
        <a:ext cx="5758920" cy="3236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590040</xdr:colOff>
      <xdr:row>0</xdr:row>
      <xdr:rowOff>36000</xdr:rowOff>
    </xdr:from>
    <xdr:to>
      <xdr:col>14</xdr:col>
      <xdr:colOff>228960</xdr:colOff>
      <xdr:row>18</xdr:row>
      <xdr:rowOff>120240</xdr:rowOff>
    </xdr:to>
    <xdr:graphicFrame>
      <xdr:nvGraphicFramePr>
        <xdr:cNvPr id="19" name="Diagramm 1"/>
        <xdr:cNvGraphicFramePr/>
      </xdr:nvGraphicFramePr>
      <xdr:xfrm>
        <a:off x="5729760" y="36000"/>
        <a:ext cx="575892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__Anonymous_Sheet_DB__3" displayName="__Anonymous_Sheet_DB__3" ref="A1:M52" headerRowCount="0" totalsRowCount="0" totalsRowShown="0">
  <tableColumns count="13">
    <tableColumn id="1" name="Spalte1"/>
    <tableColumn id="2" name="Spalte2"/>
    <tableColumn id="3" name="Spalte3"/>
    <tableColumn id="4" name="Spalte4"/>
    <tableColumn id="5" name="Spalte5"/>
    <tableColumn id="6" name="Spalte6"/>
    <tableColumn id="7" name="Spalte7"/>
    <tableColumn id="8" name="Spalte8"/>
    <tableColumn id="9" name="Spalte9"/>
    <tableColumn id="10" name="Spalte10"/>
    <tableColumn id="11" name="Spalte11"/>
    <tableColumn id="12" name="Spalte12"/>
    <tableColumn id="13" name="Spalte13"/>
  </tableColumns>
</table>
</file>

<file path=xl/tables/table2.xml><?xml version="1.0" encoding="utf-8"?>
<table xmlns="http://schemas.openxmlformats.org/spreadsheetml/2006/main" id="2" name="test1" displayName="test1" ref="S2:T262" headerRowCount="1" totalsRowCount="0" totalsRowShown="0">
  <tableColumns count="2">
    <tableColumn id="1" name="26"/>
    <tableColumn id="2" name="2861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table" Target="../tables/table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M1" colorId="64" zoomScale="100" zoomScaleNormal="100" zoomScalePageLayoutView="100" workbookViewId="0">
      <selection pane="topLeft" activeCell="AQ1" activeCellId="0" sqref="AQ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4" min="3" style="1" width="12.15"/>
    <col collapsed="false" customWidth="true" hidden="false" outlineLevel="0" max="5" min="5" style="1" width="17.77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3" min="14" style="1" width="12.15"/>
    <col collapsed="false" customWidth="true" hidden="false" outlineLevel="0" max="16384" min="16374" style="0" width="11.53"/>
  </cols>
  <sheetData>
    <row r="1" customFormat="false" ht="13.8" hidden="false" customHeight="false" outlineLevel="0" collapsed="false">
      <c r="A1" s="1" t="s">
        <v>0</v>
      </c>
      <c r="B1" s="1" t="str">
        <f aca="false">"master(3pp-net)="  &amp; SUMPRODUCT($A2:$A65,B2:B65)/100</f>
        <v>master(3pp-net)=2,96677045562377</v>
      </c>
      <c r="C1" s="1" t="str">
        <f aca="false">"w+128cap="&amp; SUMPRODUCT($A2:$A65,C2:C65)/100-SUMPRODUCT($A2:$A65,$B2:$B65)/100</f>
        <v>w+128cap=-0,00902303334261978</v>
      </c>
      <c r="D1" s="1" t="str">
        <f aca="false">"w+128ncap="&amp; SUMPRODUCT($A2:$A65,D2:D65)/100-SUMPRODUCT($A2:$A65,$B2:$B65)/100</f>
        <v>w+128ncap=0,0318852054650982</v>
      </c>
      <c r="E1" s="1" t="str">
        <f aca="false">"w+128="&amp; SUMPRODUCT($A2:$A65,E2:E65)/100-SUMPRODUCT($A2:$A65,$B2:$B65)/100</f>
        <v>w+128=-0,0108118138540503</v>
      </c>
      <c r="F1" s="1" t="str">
        <f aca="false">"w+64="&amp; SUMPRODUCT($A2:$A65,F2:F65)/100-SUMPRODUCT($A2:$A65,$B2:$B65)/100</f>
        <v>w+64=-0,0363865969172008</v>
      </c>
      <c r="G1" s="1" t="str">
        <f aca="false">"w+64cap="&amp; SUMPRODUCT($A2:$A65,G2:G65)/100-SUMPRODUCT($A2:$A65,$B2:$B65)/100</f>
        <v>w+64cap=-0,02598558344418</v>
      </c>
      <c r="H1" s="1" t="str">
        <f aca="false">"w+64ncap="&amp; SUMPRODUCT($A2:$A65,H2:H65)/100-SUMPRODUCT($A2:$A65,$B2:$B65)/100</f>
        <v>w+64ncap=-0,0205002079725318</v>
      </c>
      <c r="I1" s="1" t="str">
        <f aca="false">"w+256="&amp; SUMPRODUCT($A2:$A65,I2:I65)/100-SUMPRODUCT($A2:$A65,$B2:$B65)/100</f>
        <v>w+256=-0,0478193193771794</v>
      </c>
      <c r="J1" s="1" t="str">
        <f aca="false">"w+256cap="&amp; SUMPRODUCT($A2:$A65,J2:J65)/100-SUMPRODUCT($A2:$A65,$B2:$B65)/100</f>
        <v>w+256cap=-0,0445269227794598</v>
      </c>
      <c r="K1" s="1" t="str">
        <f aca="false">"w+256ncap="&amp; SUMPRODUCT($A2:$A65,K2:K65)/100-SUMPRODUCT($A2:$A65,$B2:$B65)/100</f>
        <v>w+256ncap=0,0353505486860199</v>
      </c>
      <c r="L1" s="1" t="str">
        <f aca="false">"w+32="&amp; SUMPRODUCT($A2:$A65,L2:L65)/100-SUMPRODUCT($A2:$A65,$B2:$B65)/100</f>
        <v>w+32=-2,96677045562377</v>
      </c>
      <c r="M1" s="1" t="str">
        <f aca="false">"w+32cap="&amp; SUMPRODUCT($A2:$A65,M2:M65)/100-SUMPRODUCT($A2:$A65,$B2:$B65)/100</f>
        <v>w+32cap=-2,96677045562377</v>
      </c>
      <c r="N1" s="1" t="str">
        <f aca="false">"w+32ncap="&amp; SUMPRODUCT($A2:$A65,N2:N65)/100-SUMPRODUCT($A2:$A65,$B2:$B65)/100</f>
        <v>w+32ncap=-2,96677045562377</v>
      </c>
      <c r="O1" s="1" t="str">
        <f aca="false">"w+89ncap-83="&amp; SUMPRODUCT($A2:$A65,O2:O65)/100-SUMPRODUCT($A2:$A65,$B2:$B65)/100</f>
        <v>w+89ncap-83=-2,96677045562377</v>
      </c>
      <c r="P1" s="1" t="str">
        <f aca="false">"w+124cap-9="&amp; SUMPRODUCT($A2:$A65,P2:P65)/100-SUMPRODUCT($A2:$A65,$B2:$B65)/100</f>
        <v>w+124cap-9=-2,96677045562377</v>
      </c>
      <c r="AI1" s="1" t="str">
        <f aca="false">C1</f>
        <v>w+128cap=-0,00902303334261978</v>
      </c>
      <c r="AJ1" s="1" t="str">
        <f aca="false">D1</f>
        <v>w+128ncap=0,0318852054650982</v>
      </c>
      <c r="AK1" s="1" t="str">
        <f aca="false">E1</f>
        <v>w+128=-0,0108118138540503</v>
      </c>
      <c r="AL1" s="1" t="str">
        <f aca="false">F1</f>
        <v>w+64=-0,0363865969172008</v>
      </c>
      <c r="AM1" s="1" t="str">
        <f aca="false">G1</f>
        <v>w+64cap=-0,02598558344418</v>
      </c>
      <c r="AN1" s="1" t="str">
        <f aca="false">H1</f>
        <v>w+64ncap=-0,0205002079725318</v>
      </c>
      <c r="AO1" s="1" t="str">
        <f aca="false">I1</f>
        <v>w+256=-0,0478193193771794</v>
      </c>
      <c r="AP1" s="1" t="str">
        <f aca="false">J1</f>
        <v>w+256cap=-0,0445269227794598</v>
      </c>
      <c r="AQ1" s="1" t="str">
        <f aca="false">K1</f>
        <v>w+256ncap=0,0353505486860199</v>
      </c>
      <c r="AR1" s="1" t="str">
        <f aca="false">L1</f>
        <v>w+32=-2,96677045562377</v>
      </c>
      <c r="AS1" s="1" t="str">
        <f aca="false">M1</f>
        <v>w+32cap=-2,96677045562377</v>
      </c>
      <c r="AT1" s="1" t="str">
        <f aca="false">N1</f>
        <v>w+32ncap=-2,96677045562377</v>
      </c>
      <c r="AU1" s="1" t="str">
        <f aca="false">O1</f>
        <v>w+89ncap-83=-2,96677045562377</v>
      </c>
      <c r="AV1" s="1" t="str">
        <f aca="false">P1</f>
        <v>w+124cap-9=-2,96677045562377</v>
      </c>
      <c r="AW1" s="1" t="n">
        <f aca="false">Q1</f>
        <v>0</v>
      </c>
      <c r="AX1" s="1" t="n">
        <f aca="false">R1</f>
        <v>0</v>
      </c>
      <c r="AY1" s="1" t="n">
        <f aca="false">S1</f>
        <v>0</v>
      </c>
      <c r="AZ1" s="1" t="n">
        <f aca="false">T1</f>
        <v>0</v>
      </c>
      <c r="BA1" s="1" t="n">
        <f aca="false">U1</f>
        <v>0</v>
      </c>
      <c r="BB1" s="1" t="n">
        <f aca="false">V1</f>
        <v>0</v>
      </c>
      <c r="BC1" s="1" t="n">
        <f aca="false">W1</f>
        <v>0</v>
      </c>
      <c r="BD1" s="1" t="n">
        <f aca="false">X1</f>
        <v>0</v>
      </c>
      <c r="BE1" s="1" t="n">
        <f aca="false">Y1</f>
        <v>0</v>
      </c>
      <c r="BF1" s="1" t="n">
        <f aca="false">Z1</f>
        <v>0</v>
      </c>
      <c r="BG1" s="1" t="n">
        <f aca="false">AA1</f>
        <v>0</v>
      </c>
      <c r="BH1" s="1" t="n">
        <f aca="false">AB1</f>
        <v>0</v>
      </c>
      <c r="BI1" s="1" t="n">
        <f aca="false">AC1</f>
        <v>0</v>
      </c>
      <c r="BJ1" s="1" t="n">
        <f aca="false">AD1</f>
        <v>0</v>
      </c>
      <c r="BK1" s="1" t="n">
        <f aca="false">AE1</f>
        <v>0</v>
      </c>
      <c r="BL1" s="1" t="n">
        <f aca="false">AF1</f>
        <v>0</v>
      </c>
      <c r="BM1" s="1" t="n">
        <f aca="false">AG1</f>
        <v>0</v>
      </c>
    </row>
    <row r="2" customFormat="false" ht="13.8" hidden="false" customHeight="false" outlineLevel="0" collapsed="false">
      <c r="A2" s="1" t="n">
        <v>0</v>
      </c>
      <c r="B2" s="0" t="n">
        <v>25.8147</v>
      </c>
      <c r="C2" s="1" t="n">
        <v>25.8154</v>
      </c>
      <c r="D2" s="1" t="n">
        <v>25.6929</v>
      </c>
      <c r="E2" s="1" t="n">
        <v>25.6904</v>
      </c>
      <c r="F2" s="1" t="n">
        <v>25.8224</v>
      </c>
      <c r="G2" s="1" t="n">
        <v>25.7967</v>
      </c>
      <c r="H2" s="1" t="n">
        <v>25.8012</v>
      </c>
      <c r="I2" s="1" t="n">
        <v>25.9383</v>
      </c>
      <c r="J2" s="1" t="n">
        <v>25.9944</v>
      </c>
      <c r="K2" s="1" t="n">
        <v>25.6376</v>
      </c>
      <c r="AH2" s="2"/>
      <c r="AI2" s="2" t="n">
        <f aca="false">(C2-$B2)*$A2</f>
        <v>0</v>
      </c>
      <c r="AJ2" s="2" t="n">
        <f aca="false">(D2-$B2)*$A2</f>
        <v>-0</v>
      </c>
      <c r="AK2" s="2" t="n">
        <f aca="false">(E2-$B2)*$A2</f>
        <v>-0</v>
      </c>
      <c r="AL2" s="2" t="n">
        <f aca="false">(F2-$B2)*$A2</f>
        <v>0</v>
      </c>
      <c r="AM2" s="2" t="n">
        <f aca="false">(G2-$B2)*$A2</f>
        <v>-0</v>
      </c>
      <c r="AN2" s="2" t="n">
        <f aca="false">(H2-$B2)*$A2</f>
        <v>-0</v>
      </c>
      <c r="AO2" s="2" t="n">
        <f aca="false">(I2-$B2)*$A2</f>
        <v>0</v>
      </c>
      <c r="AP2" s="2" t="n">
        <f aca="false">(J2-$B2)*$A2</f>
        <v>0</v>
      </c>
      <c r="AQ2" s="2" t="n">
        <f aca="false">(K2-$B2)*$A2</f>
        <v>-0</v>
      </c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</row>
    <row r="3" customFormat="false" ht="13.8" hidden="false" customHeight="false" outlineLevel="0" collapsed="false">
      <c r="A3" s="1" t="n">
        <f aca="false">1+A2</f>
        <v>1</v>
      </c>
      <c r="B3" s="0" t="n">
        <v>27.905</v>
      </c>
      <c r="C3" s="1" t="n">
        <v>28.0078</v>
      </c>
      <c r="D3" s="1" t="n">
        <v>28.2568</v>
      </c>
      <c r="E3" s="1" t="n">
        <v>28.4906</v>
      </c>
      <c r="F3" s="1" t="n">
        <v>28.4482</v>
      </c>
      <c r="G3" s="1" t="n">
        <v>28.1364</v>
      </c>
      <c r="H3" s="1" t="n">
        <v>28.3647</v>
      </c>
      <c r="I3" s="1" t="n">
        <v>29.0581</v>
      </c>
      <c r="J3" s="1" t="n">
        <v>28.248</v>
      </c>
      <c r="K3" s="1" t="n">
        <v>28.5107</v>
      </c>
      <c r="AH3" s="2"/>
      <c r="AI3" s="2" t="n">
        <f aca="false">(C3-$B3)*$A3</f>
        <v>0.102799999999998</v>
      </c>
      <c r="AJ3" s="2" t="n">
        <f aca="false">(D3-$B3)*$A3</f>
        <v>0.351799999999997</v>
      </c>
      <c r="AK3" s="2" t="n">
        <f aca="false">(E3-$B3)*$A3</f>
        <v>0.5856</v>
      </c>
      <c r="AL3" s="2" t="n">
        <f aca="false">(F3-$B3)*$A3</f>
        <v>0.543199999999999</v>
      </c>
      <c r="AM3" s="2" t="n">
        <f aca="false">(G3-$B3)*$A3</f>
        <v>0.231399999999997</v>
      </c>
      <c r="AN3" s="2" t="n">
        <f aca="false">(H3-$B3)*$A3</f>
        <v>0.459699999999998</v>
      </c>
      <c r="AO3" s="2" t="n">
        <f aca="false">(I3-$B3)*$A3</f>
        <v>1.1531</v>
      </c>
      <c r="AP3" s="2" t="n">
        <f aca="false">(J3-$B3)*$A3</f>
        <v>0.343</v>
      </c>
      <c r="AQ3" s="2" t="n">
        <f aca="false">(K3-$B3)*$A3</f>
        <v>0.605699999999999</v>
      </c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</row>
    <row r="4" customFormat="false" ht="13.8" hidden="false" customHeight="false" outlineLevel="0" collapsed="false">
      <c r="A4" s="1" t="n">
        <f aca="false">1+A3</f>
        <v>2</v>
      </c>
      <c r="B4" s="0" t="n">
        <v>8.38944</v>
      </c>
      <c r="C4" s="1" t="n">
        <v>8.41094</v>
      </c>
      <c r="D4" s="1" t="n">
        <v>8.19105</v>
      </c>
      <c r="E4" s="1" t="n">
        <v>8.24895</v>
      </c>
      <c r="F4" s="1" t="n">
        <v>8.32179</v>
      </c>
      <c r="G4" s="1" t="n">
        <v>8.40742</v>
      </c>
      <c r="H4" s="1" t="n">
        <v>8.31265</v>
      </c>
      <c r="I4" s="1" t="n">
        <v>8.05461</v>
      </c>
      <c r="J4" s="1" t="n">
        <v>8.38414</v>
      </c>
      <c r="K4" s="1" t="n">
        <v>8.05494</v>
      </c>
      <c r="AH4" s="2"/>
      <c r="AI4" s="2" t="n">
        <f aca="false">(C4-$B4)*$A4</f>
        <v>0.0429999999999993</v>
      </c>
      <c r="AJ4" s="2" t="n">
        <f aca="false">(D4-$B4)*$A4</f>
        <v>-0.39678</v>
      </c>
      <c r="AK4" s="2" t="n">
        <f aca="false">(E4-$B4)*$A4</f>
        <v>-0.28098</v>
      </c>
      <c r="AL4" s="2" t="n">
        <f aca="false">(F4-$B4)*$A4</f>
        <v>-0.135300000000001</v>
      </c>
      <c r="AM4" s="2" t="n">
        <f aca="false">(G4-$B4)*$A4</f>
        <v>0.0359599999999993</v>
      </c>
      <c r="AN4" s="2" t="n">
        <f aca="false">(H4-$B4)*$A4</f>
        <v>-0.153580000000002</v>
      </c>
      <c r="AO4" s="2" t="n">
        <f aca="false">(I4-$B4)*$A4</f>
        <v>-0.66966</v>
      </c>
      <c r="AP4" s="2" t="n">
        <f aca="false">(J4-$B4)*$A4</f>
        <v>-0.0106000000000002</v>
      </c>
      <c r="AQ4" s="2" t="n">
        <f aca="false">(K4-$B4)*$A4</f>
        <v>-0.669000000000001</v>
      </c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</row>
    <row r="5" customFormat="false" ht="13.8" hidden="false" customHeight="false" outlineLevel="0" collapsed="false">
      <c r="A5" s="1" t="n">
        <f aca="false">1+A4</f>
        <v>3</v>
      </c>
      <c r="B5" s="0" t="n">
        <v>7.67879</v>
      </c>
      <c r="C5" s="1" t="n">
        <v>7.71113</v>
      </c>
      <c r="D5" s="1" t="n">
        <v>7.55706</v>
      </c>
      <c r="E5" s="1" t="n">
        <v>7.60449</v>
      </c>
      <c r="F5" s="1" t="n">
        <v>7.64247</v>
      </c>
      <c r="G5" s="1" t="n">
        <v>7.71123</v>
      </c>
      <c r="H5" s="1" t="n">
        <v>7.61917</v>
      </c>
      <c r="I5" s="1" t="n">
        <v>7.43441</v>
      </c>
      <c r="J5" s="1" t="n">
        <v>7.67992</v>
      </c>
      <c r="K5" s="1" t="n">
        <v>7.48479</v>
      </c>
      <c r="AH5" s="2"/>
      <c r="AI5" s="2" t="n">
        <f aca="false">(C5-$B5)*$A5</f>
        <v>0.0970199999999988</v>
      </c>
      <c r="AJ5" s="2" t="n">
        <f aca="false">(D5-$B5)*$A5</f>
        <v>-0.365190000000001</v>
      </c>
      <c r="AK5" s="2" t="n">
        <f aca="false">(E5-$B5)*$A5</f>
        <v>-0.2229</v>
      </c>
      <c r="AL5" s="2" t="n">
        <f aca="false">(F5-$B5)*$A5</f>
        <v>-0.10896</v>
      </c>
      <c r="AM5" s="2" t="n">
        <f aca="false">(G5-$B5)*$A5</f>
        <v>0.0973199999999981</v>
      </c>
      <c r="AN5" s="2" t="n">
        <f aca="false">(H5-$B5)*$A5</f>
        <v>-0.178859999999999</v>
      </c>
      <c r="AO5" s="2" t="n">
        <f aca="false">(I5-$B5)*$A5</f>
        <v>-0.733140000000002</v>
      </c>
      <c r="AP5" s="2" t="n">
        <f aca="false">(J5-$B5)*$A5</f>
        <v>0.00338999999999956</v>
      </c>
      <c r="AQ5" s="2" t="n">
        <f aca="false">(K5-$B5)*$A5</f>
        <v>-0.582</v>
      </c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</row>
    <row r="6" customFormat="false" ht="13.8" hidden="false" customHeight="false" outlineLevel="0" collapsed="false">
      <c r="A6" s="1" t="n">
        <f aca="false">1+A5</f>
        <v>4</v>
      </c>
      <c r="B6" s="0" t="n">
        <v>6.2924</v>
      </c>
      <c r="C6" s="1" t="n">
        <v>6.29171</v>
      </c>
      <c r="D6" s="1" t="n">
        <v>6.21323</v>
      </c>
      <c r="E6" s="1" t="n">
        <v>6.25274</v>
      </c>
      <c r="F6" s="1" t="n">
        <v>6.26893</v>
      </c>
      <c r="G6" s="1" t="n">
        <v>6.31175</v>
      </c>
      <c r="H6" s="1" t="n">
        <v>6.25889</v>
      </c>
      <c r="I6" s="1" t="n">
        <v>6.12251</v>
      </c>
      <c r="J6" s="1" t="n">
        <v>6.27626</v>
      </c>
      <c r="K6" s="1" t="n">
        <v>6.19284</v>
      </c>
      <c r="AH6" s="2"/>
      <c r="AI6" s="2" t="n">
        <f aca="false">(C6-$B6)*$A6</f>
        <v>-0.00275999999999854</v>
      </c>
      <c r="AJ6" s="2" t="n">
        <f aca="false">(D6-$B6)*$A6</f>
        <v>-0.316679999999998</v>
      </c>
      <c r="AK6" s="2" t="n">
        <f aca="false">(E6-$B6)*$A6</f>
        <v>-0.158639999999998</v>
      </c>
      <c r="AL6" s="2" t="n">
        <f aca="false">(F6-$B6)*$A6</f>
        <v>-0.0938799999999986</v>
      </c>
      <c r="AM6" s="2" t="n">
        <f aca="false">(G6-$B6)*$A6</f>
        <v>0.0774000000000008</v>
      </c>
      <c r="AN6" s="2" t="n">
        <f aca="false">(H6-$B6)*$A6</f>
        <v>-0.134039999999999</v>
      </c>
      <c r="AO6" s="2" t="n">
        <f aca="false">(I6-$B6)*$A6</f>
        <v>-0.679559999999999</v>
      </c>
      <c r="AP6" s="2" t="n">
        <f aca="false">(J6-$B6)*$A6</f>
        <v>-0.0645600000000002</v>
      </c>
      <c r="AQ6" s="2" t="n">
        <f aca="false">(K6-$B6)*$A6</f>
        <v>-0.398239999999998</v>
      </c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</row>
    <row r="7" customFormat="false" ht="13.8" hidden="false" customHeight="false" outlineLevel="0" collapsed="false">
      <c r="A7" s="1" t="n">
        <f aca="false">1+A6</f>
        <v>5</v>
      </c>
      <c r="B7" s="0" t="n">
        <v>4.84108</v>
      </c>
      <c r="C7" s="1" t="n">
        <v>4.81103</v>
      </c>
      <c r="D7" s="1" t="n">
        <v>4.78327</v>
      </c>
      <c r="E7" s="1" t="n">
        <v>4.8102</v>
      </c>
      <c r="F7" s="1" t="n">
        <v>4.8109</v>
      </c>
      <c r="G7" s="1" t="n">
        <v>4.83127</v>
      </c>
      <c r="H7" s="1" t="n">
        <v>4.82464</v>
      </c>
      <c r="I7" s="1" t="n">
        <v>4.72854</v>
      </c>
      <c r="J7" s="1" t="n">
        <v>4.80527</v>
      </c>
      <c r="K7" s="1" t="n">
        <v>4.80467</v>
      </c>
      <c r="AH7" s="2"/>
      <c r="AI7" s="2" t="n">
        <f aca="false">(C7-$B7)*$A7</f>
        <v>-0.150250000000001</v>
      </c>
      <c r="AJ7" s="2" t="n">
        <f aca="false">(D7-$B7)*$A7</f>
        <v>-0.28905</v>
      </c>
      <c r="AK7" s="2" t="n">
        <f aca="false">(E7-$B7)*$A7</f>
        <v>-0.154399999999999</v>
      </c>
      <c r="AL7" s="2" t="n">
        <f aca="false">(F7-$B7)*$A7</f>
        <v>-0.150899999999998</v>
      </c>
      <c r="AM7" s="2" t="n">
        <f aca="false">(G7-$B7)*$A7</f>
        <v>-0.0490499999999994</v>
      </c>
      <c r="AN7" s="2" t="n">
        <f aca="false">(H7-$B7)*$A7</f>
        <v>-0.0822000000000012</v>
      </c>
      <c r="AO7" s="2" t="n">
        <f aca="false">(I7-$B7)*$A7</f>
        <v>-0.5627</v>
      </c>
      <c r="AP7" s="2" t="n">
        <f aca="false">(J7-$B7)*$A7</f>
        <v>-0.179049999999998</v>
      </c>
      <c r="AQ7" s="2" t="n">
        <f aca="false">(K7-$B7)*$A7</f>
        <v>-0.18205</v>
      </c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</row>
    <row r="8" customFormat="false" ht="13.8" hidden="false" customHeight="false" outlineLevel="0" collapsed="false">
      <c r="A8" s="1" t="n">
        <f aca="false">1+A7</f>
        <v>6</v>
      </c>
      <c r="B8" s="0" t="n">
        <v>3.76911</v>
      </c>
      <c r="C8" s="1" t="n">
        <v>3.72689</v>
      </c>
      <c r="D8" s="1" t="n">
        <v>3.72907</v>
      </c>
      <c r="E8" s="1" t="n">
        <v>3.7396</v>
      </c>
      <c r="F8" s="1" t="n">
        <v>3.73104</v>
      </c>
      <c r="G8" s="1" t="n">
        <v>3.74357</v>
      </c>
      <c r="H8" s="1" t="n">
        <v>3.7542</v>
      </c>
      <c r="I8" s="1" t="n">
        <v>3.68724</v>
      </c>
      <c r="J8" s="1" t="n">
        <v>3.72433</v>
      </c>
      <c r="K8" s="1" t="n">
        <v>3.76253</v>
      </c>
      <c r="AH8" s="2"/>
      <c r="AI8" s="2" t="n">
        <f aca="false">(C8-$B8)*$A8</f>
        <v>-0.25332</v>
      </c>
      <c r="AJ8" s="2" t="n">
        <f aca="false">(D8-$B8)*$A8</f>
        <v>-0.240239999999999</v>
      </c>
      <c r="AK8" s="2" t="n">
        <f aca="false">(E8-$B8)*$A8</f>
        <v>-0.177060000000001</v>
      </c>
      <c r="AL8" s="2" t="n">
        <f aca="false">(F8-$B8)*$A8</f>
        <v>-0.228419999999999</v>
      </c>
      <c r="AM8" s="2" t="n">
        <f aca="false">(G8-$B8)*$A8</f>
        <v>-0.153239999999999</v>
      </c>
      <c r="AN8" s="2" t="n">
        <f aca="false">(H8-$B8)*$A8</f>
        <v>-0.0894599999999999</v>
      </c>
      <c r="AO8" s="2" t="n">
        <f aca="false">(I8-$B8)*$A8</f>
        <v>-0.491219999999999</v>
      </c>
      <c r="AP8" s="2" t="n">
        <f aca="false">(J8-$B8)*$A8</f>
        <v>-0.268679999999999</v>
      </c>
      <c r="AQ8" s="2" t="n">
        <f aca="false">(K8-$B8)*$A8</f>
        <v>-0.0394800000000002</v>
      </c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</row>
    <row r="9" customFormat="false" ht="13.8" hidden="false" customHeight="false" outlineLevel="0" collapsed="false">
      <c r="A9" s="1" t="n">
        <f aca="false">1+A8</f>
        <v>7</v>
      </c>
      <c r="B9" s="0" t="n">
        <v>3.14442</v>
      </c>
      <c r="C9" s="1" t="n">
        <v>3.10294</v>
      </c>
      <c r="D9" s="1" t="n">
        <v>3.1183</v>
      </c>
      <c r="E9" s="1" t="n">
        <v>3.11141</v>
      </c>
      <c r="F9" s="1" t="n">
        <v>3.09941</v>
      </c>
      <c r="G9" s="1" t="n">
        <v>3.11369</v>
      </c>
      <c r="H9" s="1" t="n">
        <v>3.11875</v>
      </c>
      <c r="I9" s="1" t="n">
        <v>3.07105</v>
      </c>
      <c r="J9" s="1" t="n">
        <v>3.09227</v>
      </c>
      <c r="K9" s="1" t="n">
        <v>3.14675</v>
      </c>
      <c r="AH9" s="2"/>
      <c r="AI9" s="2" t="n">
        <f aca="false">(C9-$B9)*$A9</f>
        <v>-0.290360000000003</v>
      </c>
      <c r="AJ9" s="2" t="n">
        <f aca="false">(D9-$B9)*$A9</f>
        <v>-0.182840000000001</v>
      </c>
      <c r="AK9" s="2" t="n">
        <f aca="false">(E9-$B9)*$A9</f>
        <v>-0.231070000000003</v>
      </c>
      <c r="AL9" s="2" t="n">
        <f aca="false">(F9-$B9)*$A9</f>
        <v>-0.31507</v>
      </c>
      <c r="AM9" s="2" t="n">
        <f aca="false">(G9-$B9)*$A9</f>
        <v>-0.215110000000001</v>
      </c>
      <c r="AN9" s="2" t="n">
        <f aca="false">(H9-$B9)*$A9</f>
        <v>-0.179690000000002</v>
      </c>
      <c r="AO9" s="2" t="n">
        <f aca="false">(I9-$B9)*$A9</f>
        <v>-0.513590000000001</v>
      </c>
      <c r="AP9" s="2" t="n">
        <f aca="false">(J9-$B9)*$A9</f>
        <v>-0.365050000000001</v>
      </c>
      <c r="AQ9" s="2" t="n">
        <f aca="false">(K9-$B9)*$A9</f>
        <v>0.0163099999999981</v>
      </c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</row>
    <row r="10" customFormat="false" ht="13.8" hidden="false" customHeight="false" outlineLevel="0" collapsed="false">
      <c r="A10" s="1" t="n">
        <f aca="false">1+A9</f>
        <v>8</v>
      </c>
      <c r="B10" s="0" t="n">
        <v>2.63369</v>
      </c>
      <c r="C10" s="1" t="n">
        <v>2.60312</v>
      </c>
      <c r="D10" s="1" t="n">
        <v>2.6253</v>
      </c>
      <c r="E10" s="1" t="n">
        <v>2.59731</v>
      </c>
      <c r="F10" s="1" t="n">
        <v>2.57876</v>
      </c>
      <c r="G10" s="1" t="n">
        <v>2.60452</v>
      </c>
      <c r="H10" s="1" t="n">
        <v>2.59303</v>
      </c>
      <c r="I10" s="1" t="n">
        <v>2.56085</v>
      </c>
      <c r="J10" s="1" t="n">
        <v>2.57572</v>
      </c>
      <c r="K10" s="1" t="n">
        <v>2.6347</v>
      </c>
      <c r="AH10" s="2"/>
      <c r="AI10" s="2" t="n">
        <f aca="false">(C10-$B10)*$A10</f>
        <v>-0.24456</v>
      </c>
      <c r="AJ10" s="2" t="n">
        <f aca="false">(D10-$B10)*$A10</f>
        <v>-0.0671199999999992</v>
      </c>
      <c r="AK10" s="2" t="n">
        <f aca="false">(E10-$B10)*$A10</f>
        <v>-0.291040000000002</v>
      </c>
      <c r="AL10" s="2" t="n">
        <f aca="false">(F10-$B10)*$A10</f>
        <v>-0.439440000000001</v>
      </c>
      <c r="AM10" s="2" t="n">
        <f aca="false">(G10-$B10)*$A10</f>
        <v>-0.233360000000001</v>
      </c>
      <c r="AN10" s="2" t="n">
        <f aca="false">(H10-$B10)*$A10</f>
        <v>-0.325279999999999</v>
      </c>
      <c r="AO10" s="2" t="n">
        <f aca="false">(I10-$B10)*$A10</f>
        <v>-0.582720000000002</v>
      </c>
      <c r="AP10" s="2" t="n">
        <f aca="false">(J10-$B10)*$A10</f>
        <v>-0.463760000000001</v>
      </c>
      <c r="AQ10" s="2" t="n">
        <f aca="false">(K10-$B10)*$A10</f>
        <v>0.00807999999999964</v>
      </c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</row>
    <row r="11" customFormat="false" ht="13.8" hidden="false" customHeight="false" outlineLevel="0" collapsed="false">
      <c r="A11" s="1" t="n">
        <f aca="false">1+A10</f>
        <v>9</v>
      </c>
      <c r="B11" s="0" t="n">
        <v>2.17571</v>
      </c>
      <c r="C11" s="1" t="n">
        <v>2.15919</v>
      </c>
      <c r="D11" s="1" t="n">
        <v>2.1846</v>
      </c>
      <c r="E11" s="1" t="n">
        <v>2.13188</v>
      </c>
      <c r="F11" s="1" t="n">
        <v>2.10637</v>
      </c>
      <c r="G11" s="1" t="n">
        <v>2.14523</v>
      </c>
      <c r="H11" s="1" t="n">
        <v>2.11503</v>
      </c>
      <c r="I11" s="1" t="n">
        <v>2.09926</v>
      </c>
      <c r="J11" s="1" t="n">
        <v>2.10523</v>
      </c>
      <c r="K11" s="1" t="n">
        <v>2.1645</v>
      </c>
      <c r="AH11" s="2"/>
      <c r="AI11" s="2" t="n">
        <f aca="false">(C11-$B11)*$A11</f>
        <v>-0.148679999999999</v>
      </c>
      <c r="AJ11" s="2" t="n">
        <f aca="false">(D11-$B11)*$A11</f>
        <v>0.0800100000000006</v>
      </c>
      <c r="AK11" s="2" t="n">
        <f aca="false">(E11-$B11)*$A11</f>
        <v>-0.394469999999998</v>
      </c>
      <c r="AL11" s="2" t="n">
        <f aca="false">(F11-$B11)*$A11</f>
        <v>-0.62406</v>
      </c>
      <c r="AM11" s="2" t="n">
        <f aca="false">(G11-$B11)*$A11</f>
        <v>-0.274319999999999</v>
      </c>
      <c r="AN11" s="2" t="n">
        <f aca="false">(H11-$B11)*$A11</f>
        <v>-0.546120000000001</v>
      </c>
      <c r="AO11" s="2" t="n">
        <f aca="false">(I11-$B11)*$A11</f>
        <v>-0.688049999999999</v>
      </c>
      <c r="AP11" s="2" t="n">
        <f aca="false">(J11-$B11)*$A11</f>
        <v>-0.634319999999999</v>
      </c>
      <c r="AQ11" s="2" t="n">
        <f aca="false">(K11-$B11)*$A11</f>
        <v>-0.100890000000001</v>
      </c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</row>
    <row r="12" customFormat="false" ht="13.8" hidden="false" customHeight="false" outlineLevel="0" collapsed="false">
      <c r="A12" s="1" t="n">
        <f aca="false">1+A11</f>
        <v>10</v>
      </c>
      <c r="B12" s="0" t="n">
        <v>1.74844</v>
      </c>
      <c r="C12" s="1" t="n">
        <v>1.74496</v>
      </c>
      <c r="D12" s="1" t="n">
        <v>1.76917</v>
      </c>
      <c r="E12" s="1" t="n">
        <v>1.71046</v>
      </c>
      <c r="F12" s="1" t="n">
        <v>1.68599</v>
      </c>
      <c r="G12" s="1" t="n">
        <v>1.72178</v>
      </c>
      <c r="H12" s="1" t="n">
        <v>1.69136</v>
      </c>
      <c r="I12" s="1" t="n">
        <v>1.68777</v>
      </c>
      <c r="J12" s="1" t="n">
        <v>1.68456</v>
      </c>
      <c r="K12" s="1" t="n">
        <v>1.73938</v>
      </c>
      <c r="AH12" s="2"/>
      <c r="AI12" s="2" t="n">
        <f aca="false">(C12-$B12)*$A12</f>
        <v>-0.0347999999999993</v>
      </c>
      <c r="AJ12" s="2" t="n">
        <f aca="false">(D12-$B12)*$A12</f>
        <v>0.207299999999999</v>
      </c>
      <c r="AK12" s="2" t="n">
        <f aca="false">(E12-$B12)*$A12</f>
        <v>-0.379799999999999</v>
      </c>
      <c r="AL12" s="2" t="n">
        <f aca="false">(F12-$B12)*$A12</f>
        <v>-0.624499999999999</v>
      </c>
      <c r="AM12" s="2" t="n">
        <f aca="false">(G12-$B12)*$A12</f>
        <v>-0.266599999999999</v>
      </c>
      <c r="AN12" s="2" t="n">
        <f aca="false">(H12-$B12)*$A12</f>
        <v>-0.5708</v>
      </c>
      <c r="AO12" s="2" t="n">
        <f aca="false">(I12-$B12)*$A12</f>
        <v>-0.6067</v>
      </c>
      <c r="AP12" s="2" t="n">
        <f aca="false">(J12-$B12)*$A12</f>
        <v>-0.638799999999999</v>
      </c>
      <c r="AQ12" s="2" t="n">
        <f aca="false">(K12-$B12)*$A12</f>
        <v>-0.0906000000000007</v>
      </c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</row>
    <row r="13" customFormat="false" ht="13.8" hidden="false" customHeight="false" outlineLevel="0" collapsed="false">
      <c r="A13" s="1" t="n">
        <f aca="false">1+A12</f>
        <v>11</v>
      </c>
      <c r="B13" s="0" t="n">
        <v>1.39043</v>
      </c>
      <c r="C13" s="1" t="n">
        <v>1.3989</v>
      </c>
      <c r="D13" s="1" t="n">
        <v>1.42139</v>
      </c>
      <c r="E13" s="1" t="n">
        <v>1.36019</v>
      </c>
      <c r="F13" s="1" t="n">
        <v>1.33697</v>
      </c>
      <c r="G13" s="1" t="n">
        <v>1.36636</v>
      </c>
      <c r="H13" s="1" t="n">
        <v>1.3406</v>
      </c>
      <c r="I13" s="1" t="n">
        <v>1.34578</v>
      </c>
      <c r="J13" s="1" t="n">
        <v>1.33275</v>
      </c>
      <c r="K13" s="1" t="n">
        <v>1.38681</v>
      </c>
      <c r="AH13" s="2"/>
      <c r="AI13" s="2" t="n">
        <f aca="false">(C13-$B13)*$A13</f>
        <v>0.0931699999999998</v>
      </c>
      <c r="AJ13" s="2" t="n">
        <f aca="false">(D13-$B13)*$A13</f>
        <v>0.340559999999999</v>
      </c>
      <c r="AK13" s="2" t="n">
        <f aca="false">(E13-$B13)*$A13</f>
        <v>-0.332640000000001</v>
      </c>
      <c r="AL13" s="2" t="n">
        <f aca="false">(F13-$B13)*$A13</f>
        <v>-0.588060000000001</v>
      </c>
      <c r="AM13" s="2" t="n">
        <f aca="false">(G13-$B13)*$A13</f>
        <v>-0.26477</v>
      </c>
      <c r="AN13" s="2" t="n">
        <f aca="false">(H13-$B13)*$A13</f>
        <v>-0.548130000000001</v>
      </c>
      <c r="AO13" s="2" t="n">
        <f aca="false">(I13-$B13)*$A13</f>
        <v>-0.491150000000001</v>
      </c>
      <c r="AP13" s="2" t="n">
        <f aca="false">(J13-$B13)*$A13</f>
        <v>-0.63448</v>
      </c>
      <c r="AQ13" s="2" t="n">
        <f aca="false">(K13-$B13)*$A13</f>
        <v>-0.0398199999999995</v>
      </c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</row>
    <row r="14" customFormat="false" ht="13.8" hidden="false" customHeight="false" outlineLevel="0" collapsed="false">
      <c r="A14" s="1" t="n">
        <f aca="false">1+A13</f>
        <v>12</v>
      </c>
      <c r="B14" s="0" t="n">
        <v>1.09116</v>
      </c>
      <c r="C14" s="1" t="n">
        <v>1.10067</v>
      </c>
      <c r="D14" s="1" t="n">
        <v>1.12657</v>
      </c>
      <c r="E14" s="1" t="n">
        <v>1.07169</v>
      </c>
      <c r="F14" s="1" t="n">
        <v>1.05434</v>
      </c>
      <c r="G14" s="1" t="n">
        <v>1.06968</v>
      </c>
      <c r="H14" s="1" t="n">
        <v>1.0576</v>
      </c>
      <c r="I14" s="1" t="n">
        <v>1.06526</v>
      </c>
      <c r="J14" s="1" t="n">
        <v>1.04698</v>
      </c>
      <c r="K14" s="1" t="n">
        <v>1.0977</v>
      </c>
      <c r="AH14" s="2"/>
      <c r="AI14" s="2" t="n">
        <f aca="false">(C14-$B14)*$A14</f>
        <v>0.114120000000002</v>
      </c>
      <c r="AJ14" s="2" t="n">
        <f aca="false">(D14-$B14)*$A14</f>
        <v>0.424920000000002</v>
      </c>
      <c r="AK14" s="2" t="n">
        <f aca="false">(E14-$B14)*$A14</f>
        <v>-0.233639999999999</v>
      </c>
      <c r="AL14" s="2" t="n">
        <f aca="false">(F14-$B14)*$A14</f>
        <v>-0.441839999999998</v>
      </c>
      <c r="AM14" s="2" t="n">
        <f aca="false">(G14-$B14)*$A14</f>
        <v>-0.257759999999999</v>
      </c>
      <c r="AN14" s="2" t="n">
        <f aca="false">(H14-$B14)*$A14</f>
        <v>-0.402719999999998</v>
      </c>
      <c r="AO14" s="2" t="n">
        <f aca="false">(I14-$B14)*$A14</f>
        <v>-0.310799999999998</v>
      </c>
      <c r="AP14" s="2" t="n">
        <f aca="false">(J14-$B14)*$A14</f>
        <v>-0.530159999999999</v>
      </c>
      <c r="AQ14" s="2" t="n">
        <f aca="false">(K14-$B14)*$A14</f>
        <v>0.0784799999999999</v>
      </c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</row>
    <row r="15" customFormat="false" ht="13.8" hidden="false" customHeight="false" outlineLevel="0" collapsed="false">
      <c r="A15" s="1" t="n">
        <f aca="false">1+A14</f>
        <v>13</v>
      </c>
      <c r="B15" s="0" t="n">
        <v>0.835482</v>
      </c>
      <c r="C15" s="1" t="n">
        <v>0.840502</v>
      </c>
      <c r="D15" s="1" t="n">
        <v>0.870783</v>
      </c>
      <c r="E15" s="1" t="n">
        <v>0.827693</v>
      </c>
      <c r="F15" s="1" t="n">
        <v>0.814938</v>
      </c>
      <c r="G15" s="1" t="n">
        <v>0.817027</v>
      </c>
      <c r="H15" s="1" t="n">
        <v>0.818705</v>
      </c>
      <c r="I15" s="1" t="n">
        <v>0.826938</v>
      </c>
      <c r="J15" s="1" t="n">
        <v>0.805583</v>
      </c>
      <c r="K15" s="1" t="n">
        <v>0.854572</v>
      </c>
      <c r="AH15" s="2"/>
      <c r="AI15" s="2" t="n">
        <f aca="false">(C15-$B15)*$A15</f>
        <v>0.0652600000000003</v>
      </c>
      <c r="AJ15" s="2" t="n">
        <f aca="false">(D15-$B15)*$A15</f>
        <v>0.458913</v>
      </c>
      <c r="AK15" s="2" t="n">
        <f aca="false">(E15-$B15)*$A15</f>
        <v>-0.101256999999999</v>
      </c>
      <c r="AL15" s="2" t="n">
        <f aca="false">(F15-$B15)*$A15</f>
        <v>-0.267071999999999</v>
      </c>
      <c r="AM15" s="2" t="n">
        <f aca="false">(G15-$B15)*$A15</f>
        <v>-0.239915</v>
      </c>
      <c r="AN15" s="2" t="n">
        <f aca="false">(H15-$B15)*$A15</f>
        <v>-0.218100999999999</v>
      </c>
      <c r="AO15" s="2" t="n">
        <f aca="false">(I15-$B15)*$A15</f>
        <v>-0.111072</v>
      </c>
      <c r="AP15" s="2" t="n">
        <f aca="false">(J15-$B15)*$A15</f>
        <v>-0.388686999999999</v>
      </c>
      <c r="AQ15" s="2" t="n">
        <f aca="false">(K15-$B15)*$A15</f>
        <v>0.248170000000001</v>
      </c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</row>
    <row r="16" customFormat="false" ht="13.8" hidden="false" customHeight="false" outlineLevel="0" collapsed="false">
      <c r="A16" s="1" t="n">
        <f aca="false">1+A15</f>
        <v>14</v>
      </c>
      <c r="B16" s="0" t="n">
        <v>0.631397</v>
      </c>
      <c r="C16" s="1" t="n">
        <v>0.632931</v>
      </c>
      <c r="D16" s="1" t="n">
        <v>0.662719</v>
      </c>
      <c r="E16" s="1" t="n">
        <v>0.631529</v>
      </c>
      <c r="F16" s="1" t="n">
        <v>0.621669</v>
      </c>
      <c r="G16" s="1" t="n">
        <v>0.615835</v>
      </c>
      <c r="H16" s="1" t="n">
        <v>0.626248</v>
      </c>
      <c r="I16" s="1" t="n">
        <v>0.633222</v>
      </c>
      <c r="J16" s="1" t="n">
        <v>0.611776</v>
      </c>
      <c r="K16" s="1" t="n">
        <v>0.657559</v>
      </c>
      <c r="AH16" s="2"/>
      <c r="AI16" s="2" t="n">
        <f aca="false">(C16-$B16)*$A16</f>
        <v>0.0214760000000005</v>
      </c>
      <c r="AJ16" s="2" t="n">
        <f aca="false">(D16-$B16)*$A16</f>
        <v>0.438507999999999</v>
      </c>
      <c r="AK16" s="2" t="n">
        <f aca="false">(E16-$B16)*$A16</f>
        <v>0.00184800000000029</v>
      </c>
      <c r="AL16" s="2" t="n">
        <f aca="false">(F16-$B16)*$A16</f>
        <v>-0.136191999999999</v>
      </c>
      <c r="AM16" s="2" t="n">
        <f aca="false">(G16-$B16)*$A16</f>
        <v>-0.217868</v>
      </c>
      <c r="AN16" s="2" t="n">
        <f aca="false">(H16-$B16)*$A16</f>
        <v>-0.0720859999999994</v>
      </c>
      <c r="AO16" s="2" t="n">
        <f aca="false">(I16-$B16)*$A16</f>
        <v>0.0255499999999995</v>
      </c>
      <c r="AP16" s="2" t="n">
        <f aca="false">(J16-$B16)*$A16</f>
        <v>-0.274694</v>
      </c>
      <c r="AQ16" s="2" t="n">
        <f aca="false">(K16-$B16)*$A16</f>
        <v>0.366268</v>
      </c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</row>
    <row r="17" customFormat="false" ht="13.8" hidden="false" customHeight="false" outlineLevel="0" collapsed="false">
      <c r="A17" s="1" t="n">
        <f aca="false">1+A16</f>
        <v>15</v>
      </c>
      <c r="B17" s="0" t="n">
        <v>0.470362</v>
      </c>
      <c r="C17" s="1" t="n">
        <v>0.468611</v>
      </c>
      <c r="D17" s="1" t="n">
        <v>0.494953</v>
      </c>
      <c r="E17" s="1" t="n">
        <v>0.474027</v>
      </c>
      <c r="F17" s="1" t="n">
        <v>0.466501</v>
      </c>
      <c r="G17" s="1" t="n">
        <v>0.457052</v>
      </c>
      <c r="H17" s="1" t="n">
        <v>0.470994</v>
      </c>
      <c r="I17" s="1" t="n">
        <v>0.476187</v>
      </c>
      <c r="J17" s="1" t="n">
        <v>0.457414</v>
      </c>
      <c r="K17" s="1" t="n">
        <v>0.497784</v>
      </c>
      <c r="AH17" s="2"/>
      <c r="AI17" s="2" t="n">
        <f aca="false">(C17-$B17)*$A17</f>
        <v>-0.026265</v>
      </c>
      <c r="AJ17" s="2" t="n">
        <f aca="false">(D17-$B17)*$A17</f>
        <v>0.368865</v>
      </c>
      <c r="AK17" s="2" t="n">
        <f aca="false">(E17-$B17)*$A17</f>
        <v>0.0549749999999996</v>
      </c>
      <c r="AL17" s="2" t="n">
        <f aca="false">(F17-$B17)*$A17</f>
        <v>-0.0579150000000001</v>
      </c>
      <c r="AM17" s="2" t="n">
        <f aca="false">(G17-$B17)*$A17</f>
        <v>-0.19965</v>
      </c>
      <c r="AN17" s="2" t="n">
        <f aca="false">(H17-$B17)*$A17</f>
        <v>0.00948000000000032</v>
      </c>
      <c r="AO17" s="2" t="n">
        <f aca="false">(I17-$B17)*$A17</f>
        <v>0.0873750000000004</v>
      </c>
      <c r="AP17" s="2" t="n">
        <f aca="false">(J17-$B17)*$A17</f>
        <v>-0.19422</v>
      </c>
      <c r="AQ17" s="2" t="n">
        <f aca="false">(K17-$B17)*$A17</f>
        <v>0.41133</v>
      </c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</row>
    <row r="18" customFormat="false" ht="13.8" hidden="false" customHeight="false" outlineLevel="0" collapsed="false">
      <c r="A18" s="1" t="n">
        <f aca="false">1+A17</f>
        <v>16</v>
      </c>
      <c r="B18" s="0" t="n">
        <v>0.346642</v>
      </c>
      <c r="C18" s="1" t="n">
        <v>0.343743</v>
      </c>
      <c r="D18" s="1" t="n">
        <v>0.365725</v>
      </c>
      <c r="E18" s="1" t="n">
        <v>0.352015</v>
      </c>
      <c r="F18" s="1" t="n">
        <v>0.345617</v>
      </c>
      <c r="G18" s="1" t="n">
        <v>0.335804</v>
      </c>
      <c r="H18" s="1" t="n">
        <v>0.349733</v>
      </c>
      <c r="I18" s="1" t="n">
        <v>0.352763</v>
      </c>
      <c r="J18" s="1" t="n">
        <v>0.337748</v>
      </c>
      <c r="K18" s="1" t="n">
        <v>0.3723</v>
      </c>
      <c r="AH18" s="2"/>
      <c r="AI18" s="2" t="n">
        <f aca="false">(C18-$B18)*$A18</f>
        <v>-0.0463839999999998</v>
      </c>
      <c r="AJ18" s="2" t="n">
        <f aca="false">(D18-$B18)*$A18</f>
        <v>0.305328</v>
      </c>
      <c r="AK18" s="2" t="n">
        <f aca="false">(E18-$B18)*$A18</f>
        <v>0.0859680000000003</v>
      </c>
      <c r="AL18" s="2" t="n">
        <f aca="false">(F18-$B18)*$A18</f>
        <v>-0.0164</v>
      </c>
      <c r="AM18" s="2" t="n">
        <f aca="false">(G18-$B18)*$A18</f>
        <v>-0.173408</v>
      </c>
      <c r="AN18" s="2" t="n">
        <f aca="false">(H18-$B18)*$A18</f>
        <v>0.0494560000000002</v>
      </c>
      <c r="AO18" s="2" t="n">
        <f aca="false">(I18-$B18)*$A18</f>
        <v>0.0979359999999998</v>
      </c>
      <c r="AP18" s="2" t="n">
        <f aca="false">(J18-$B18)*$A18</f>
        <v>-0.142304</v>
      </c>
      <c r="AQ18" s="2" t="n">
        <f aca="false">(K18-$B18)*$A18</f>
        <v>0.410528</v>
      </c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</row>
    <row r="19" customFormat="false" ht="13.8" hidden="false" customHeight="false" outlineLevel="0" collapsed="false">
      <c r="A19" s="1" t="n">
        <f aca="false">1+A18</f>
        <v>17</v>
      </c>
      <c r="B19" s="0" t="n">
        <v>0.253177</v>
      </c>
      <c r="C19" s="1" t="n">
        <v>0.250265</v>
      </c>
      <c r="D19" s="1" t="n">
        <v>0.267805</v>
      </c>
      <c r="E19" s="1" t="n">
        <v>0.259182</v>
      </c>
      <c r="F19" s="1" t="n">
        <v>0.25281</v>
      </c>
      <c r="G19" s="1" t="n">
        <v>0.244411</v>
      </c>
      <c r="H19" s="1" t="n">
        <v>0.256745</v>
      </c>
      <c r="I19" s="1" t="n">
        <v>0.25817</v>
      </c>
      <c r="J19" s="1" t="n">
        <v>0.247103</v>
      </c>
      <c r="K19" s="1" t="n">
        <v>0.275699</v>
      </c>
      <c r="AH19" s="2"/>
      <c r="AI19" s="2" t="n">
        <f aca="false">(C19-$B19)*$A19</f>
        <v>-0.0495039999999995</v>
      </c>
      <c r="AJ19" s="2" t="n">
        <f aca="false">(D19-$B19)*$A19</f>
        <v>0.248676000000001</v>
      </c>
      <c r="AK19" s="2" t="n">
        <f aca="false">(E19-$B19)*$A19</f>
        <v>0.102085000000001</v>
      </c>
      <c r="AL19" s="2" t="n">
        <f aca="false">(F19-$B19)*$A19</f>
        <v>-0.00623900000000011</v>
      </c>
      <c r="AM19" s="2" t="n">
        <f aca="false">(G19-$B19)*$A19</f>
        <v>-0.149022</v>
      </c>
      <c r="AN19" s="2" t="n">
        <f aca="false">(H19-$B19)*$A19</f>
        <v>0.0606560000000003</v>
      </c>
      <c r="AO19" s="2" t="n">
        <f aca="false">(I19-$B19)*$A19</f>
        <v>0.0848810000000004</v>
      </c>
      <c r="AP19" s="2" t="n">
        <f aca="false">(J19-$B19)*$A19</f>
        <v>-0.103258</v>
      </c>
      <c r="AQ19" s="2" t="n">
        <f aca="false">(K19-$B19)*$A19</f>
        <v>0.382874000000001</v>
      </c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</row>
    <row r="20" customFormat="false" ht="13.8" hidden="false" customHeight="false" outlineLevel="0" collapsed="false">
      <c r="A20" s="1" t="n">
        <f aca="false">1+A19</f>
        <v>18</v>
      </c>
      <c r="B20" s="0" t="n">
        <v>0.181816</v>
      </c>
      <c r="C20" s="1" t="n">
        <v>0.179172</v>
      </c>
      <c r="D20" s="1" t="n">
        <v>0.193591</v>
      </c>
      <c r="E20" s="1" t="n">
        <v>0.187901</v>
      </c>
      <c r="F20" s="1" t="n">
        <v>0.181755</v>
      </c>
      <c r="G20" s="1" t="n">
        <v>0.17504</v>
      </c>
      <c r="H20" s="1" t="n">
        <v>0.185367</v>
      </c>
      <c r="I20" s="1" t="n">
        <v>0.185554</v>
      </c>
      <c r="J20" s="1" t="n">
        <v>0.177867</v>
      </c>
      <c r="K20" s="1" t="n">
        <v>0.201293</v>
      </c>
      <c r="AH20" s="2"/>
      <c r="AI20" s="2" t="n">
        <f aca="false">(C20-$B20)*$A20</f>
        <v>-0.0475920000000001</v>
      </c>
      <c r="AJ20" s="2" t="n">
        <f aca="false">(D20-$B20)*$A20</f>
        <v>0.21195</v>
      </c>
      <c r="AK20" s="2" t="n">
        <f aca="false">(E20-$B20)*$A20</f>
        <v>0.10953</v>
      </c>
      <c r="AL20" s="2" t="n">
        <f aca="false">(F20-$B20)*$A20</f>
        <v>-0.0010980000000001</v>
      </c>
      <c r="AM20" s="2" t="n">
        <f aca="false">(G20-$B20)*$A20</f>
        <v>-0.121968</v>
      </c>
      <c r="AN20" s="2" t="n">
        <f aca="false">(H20-$B20)*$A20</f>
        <v>0.063918</v>
      </c>
      <c r="AO20" s="2" t="n">
        <f aca="false">(I20-$B20)*$A20</f>
        <v>0.0672839999999998</v>
      </c>
      <c r="AP20" s="2" t="n">
        <f aca="false">(J20-$B20)*$A20</f>
        <v>-0.0710820000000002</v>
      </c>
      <c r="AQ20" s="2" t="n">
        <f aca="false">(K20-$B20)*$A20</f>
        <v>0.350586</v>
      </c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</row>
    <row r="21" customFormat="false" ht="13.8" hidden="false" customHeight="false" outlineLevel="0" collapsed="false">
      <c r="A21" s="1" t="n">
        <f aca="false">1+A20</f>
        <v>19</v>
      </c>
      <c r="B21" s="0" t="n">
        <v>0.128713</v>
      </c>
      <c r="C21" s="1" t="n">
        <v>0.126896</v>
      </c>
      <c r="D21" s="1" t="n">
        <v>0.138773</v>
      </c>
      <c r="E21" s="1" t="n">
        <v>0.135003</v>
      </c>
      <c r="F21" s="1" t="n">
        <v>0.129042</v>
      </c>
      <c r="G21" s="1" t="n">
        <v>0.123929</v>
      </c>
      <c r="H21" s="1" t="n">
        <v>0.132418</v>
      </c>
      <c r="I21" s="1" t="n">
        <v>0.131165</v>
      </c>
      <c r="J21" s="1" t="n">
        <v>0.126804</v>
      </c>
      <c r="K21" s="1" t="n">
        <v>0.145599</v>
      </c>
      <c r="AH21" s="2"/>
      <c r="AI21" s="2" t="n">
        <f aca="false">(C21-$B21)*$A21</f>
        <v>-0.0345229999999997</v>
      </c>
      <c r="AJ21" s="2" t="n">
        <f aca="false">(D21-$B21)*$A21</f>
        <v>0.19114</v>
      </c>
      <c r="AK21" s="2" t="n">
        <f aca="false">(E21-$B21)*$A21</f>
        <v>0.11951</v>
      </c>
      <c r="AL21" s="2" t="n">
        <f aca="false">(F21-$B21)*$A21</f>
        <v>0.00625099999999992</v>
      </c>
      <c r="AM21" s="2" t="n">
        <f aca="false">(G21-$B21)*$A21</f>
        <v>-0.0908959999999999</v>
      </c>
      <c r="AN21" s="2" t="n">
        <f aca="false">(H21-$B21)*$A21</f>
        <v>0.0703950000000003</v>
      </c>
      <c r="AO21" s="2" t="n">
        <f aca="false">(I21-$B21)*$A21</f>
        <v>0.0465880000000002</v>
      </c>
      <c r="AP21" s="2" t="n">
        <f aca="false">(J21-$B21)*$A21</f>
        <v>-0.0362709999999999</v>
      </c>
      <c r="AQ21" s="2" t="n">
        <f aca="false">(K21-$B21)*$A21</f>
        <v>0.320834</v>
      </c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</row>
    <row r="22" customFormat="false" ht="13.8" hidden="false" customHeight="false" outlineLevel="0" collapsed="false">
      <c r="A22" s="1" t="n">
        <f aca="false">1+A21</f>
        <v>20</v>
      </c>
      <c r="B22" s="0" t="n">
        <v>0.089955</v>
      </c>
      <c r="C22" s="1" t="n">
        <v>0.0886716</v>
      </c>
      <c r="D22" s="1" t="n">
        <v>0.0988942</v>
      </c>
      <c r="E22" s="1" t="n">
        <v>0.095965</v>
      </c>
      <c r="F22" s="1" t="n">
        <v>0.0904027</v>
      </c>
      <c r="G22" s="1" t="n">
        <v>0.0866732</v>
      </c>
      <c r="H22" s="1" t="n">
        <v>0.093588</v>
      </c>
      <c r="I22" s="1" t="n">
        <v>0.0915484</v>
      </c>
      <c r="J22" s="1" t="n">
        <v>0.0894315</v>
      </c>
      <c r="K22" s="1" t="n">
        <v>0.104554</v>
      </c>
      <c r="AH22" s="2"/>
      <c r="AI22" s="2" t="n">
        <f aca="false">(C22-$B22)*$A22</f>
        <v>-0.0256679999999998</v>
      </c>
      <c r="AJ22" s="2" t="n">
        <f aca="false">(D22-$B22)*$A22</f>
        <v>0.178784</v>
      </c>
      <c r="AK22" s="2" t="n">
        <f aca="false">(E22-$B22)*$A22</f>
        <v>0.1202</v>
      </c>
      <c r="AL22" s="2" t="n">
        <f aca="false">(F22-$B22)*$A22</f>
        <v>0.00895400000000018</v>
      </c>
      <c r="AM22" s="2" t="n">
        <f aca="false">(G22-$B22)*$A22</f>
        <v>-0.0656359999999998</v>
      </c>
      <c r="AN22" s="2" t="n">
        <f aca="false">(H22-$B22)*$A22</f>
        <v>0.0726600000000002</v>
      </c>
      <c r="AO22" s="2" t="n">
        <f aca="false">(I22-$B22)*$A22</f>
        <v>0.0318680000000002</v>
      </c>
      <c r="AP22" s="2" t="n">
        <f aca="false">(J22-$B22)*$A22</f>
        <v>-0.0104699999999999</v>
      </c>
      <c r="AQ22" s="2" t="n">
        <f aca="false">(K22-$B22)*$A22</f>
        <v>0.29198</v>
      </c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</row>
    <row r="23" customFormat="false" ht="13.8" hidden="false" customHeight="false" outlineLevel="0" collapsed="false">
      <c r="A23" s="1" t="n">
        <f aca="false">1+A22</f>
        <v>21</v>
      </c>
      <c r="B23" s="0" t="n">
        <v>0.0622887</v>
      </c>
      <c r="C23" s="1" t="n">
        <v>0.0612395</v>
      </c>
      <c r="D23" s="1" t="n">
        <v>0.0703326</v>
      </c>
      <c r="E23" s="1" t="n">
        <v>0.0676718</v>
      </c>
      <c r="F23" s="1" t="n">
        <v>0.0626268</v>
      </c>
      <c r="G23" s="1" t="n">
        <v>0.0602603</v>
      </c>
      <c r="H23" s="1" t="n">
        <v>0.0658074</v>
      </c>
      <c r="I23" s="1" t="n">
        <v>0.0632152</v>
      </c>
      <c r="J23" s="1" t="n">
        <v>0.062606</v>
      </c>
      <c r="K23" s="1" t="n">
        <v>0.0749899</v>
      </c>
      <c r="AH23" s="2"/>
      <c r="AI23" s="2" t="n">
        <f aca="false">(C23-$B23)*$A23</f>
        <v>-0.0220332</v>
      </c>
      <c r="AJ23" s="2" t="n">
        <f aca="false">(D23-$B23)*$A23</f>
        <v>0.1689219</v>
      </c>
      <c r="AK23" s="2" t="n">
        <f aca="false">(E23-$B23)*$A23</f>
        <v>0.1130451</v>
      </c>
      <c r="AL23" s="2" t="n">
        <f aca="false">(F23-$B23)*$A23</f>
        <v>0.00710009999999987</v>
      </c>
      <c r="AM23" s="2" t="n">
        <f aca="false">(G23-$B23)*$A23</f>
        <v>-0.0425964</v>
      </c>
      <c r="AN23" s="2" t="n">
        <f aca="false">(H23-$B23)*$A23</f>
        <v>0.0738927</v>
      </c>
      <c r="AO23" s="2" t="n">
        <f aca="false">(I23-$B23)*$A23</f>
        <v>0.0194564999999999</v>
      </c>
      <c r="AP23" s="2" t="n">
        <f aca="false">(J23-$B23)*$A23</f>
        <v>0.00666329999999984</v>
      </c>
      <c r="AQ23" s="2" t="n">
        <f aca="false">(K23-$B23)*$A23</f>
        <v>0.2667252</v>
      </c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</row>
    <row r="24" customFormat="false" ht="13.8" hidden="false" customHeight="false" outlineLevel="0" collapsed="false">
      <c r="A24" s="1" t="n">
        <f aca="false">1+A23</f>
        <v>22</v>
      </c>
      <c r="B24" s="0" t="n">
        <v>0.0425687</v>
      </c>
      <c r="C24" s="1" t="n">
        <v>0.0417869</v>
      </c>
      <c r="D24" s="1" t="n">
        <v>0.0497248</v>
      </c>
      <c r="E24" s="1" t="n">
        <v>0.0472712</v>
      </c>
      <c r="F24" s="1" t="n">
        <v>0.0428424</v>
      </c>
      <c r="G24" s="1" t="n">
        <v>0.0413796</v>
      </c>
      <c r="H24" s="1" t="n">
        <v>0.0459212</v>
      </c>
      <c r="I24" s="1" t="n">
        <v>0.0431138</v>
      </c>
      <c r="J24" s="1" t="n">
        <v>0.0434799</v>
      </c>
      <c r="K24" s="1" t="n">
        <v>0.053889</v>
      </c>
      <c r="AH24" s="2"/>
      <c r="AI24" s="2" t="n">
        <f aca="false">(C24-$B24)*$A24</f>
        <v>-0.0171996</v>
      </c>
      <c r="AJ24" s="2" t="n">
        <f aca="false">(D24-$B24)*$A24</f>
        <v>0.1574342</v>
      </c>
      <c r="AK24" s="2" t="n">
        <f aca="false">(E24-$B24)*$A24</f>
        <v>0.103455</v>
      </c>
      <c r="AL24" s="2" t="n">
        <f aca="false">(F24-$B24)*$A24</f>
        <v>0.00602140000000004</v>
      </c>
      <c r="AM24" s="2" t="n">
        <f aca="false">(G24-$B24)*$A24</f>
        <v>-0.0261602</v>
      </c>
      <c r="AN24" s="2" t="n">
        <f aca="false">(H24-$B24)*$A24</f>
        <v>0.073755</v>
      </c>
      <c r="AO24" s="2" t="n">
        <f aca="false">(I24-$B24)*$A24</f>
        <v>0.0119922</v>
      </c>
      <c r="AP24" s="2" t="n">
        <f aca="false">(J24-$B24)*$A24</f>
        <v>0.0200464</v>
      </c>
      <c r="AQ24" s="2" t="n">
        <f aca="false">(K24-$B24)*$A24</f>
        <v>0.2490466</v>
      </c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</row>
    <row r="25" customFormat="false" ht="13.8" hidden="false" customHeight="false" outlineLevel="0" collapsed="false">
      <c r="A25" s="1" t="n">
        <f aca="false">1+A24</f>
        <v>23</v>
      </c>
      <c r="B25" s="0" t="n">
        <v>0.0286458</v>
      </c>
      <c r="C25" s="1" t="n">
        <v>0.0281839</v>
      </c>
      <c r="D25" s="1" t="n">
        <v>0.0351701</v>
      </c>
      <c r="E25" s="1" t="n">
        <v>0.032777</v>
      </c>
      <c r="F25" s="1" t="n">
        <v>0.0288792</v>
      </c>
      <c r="G25" s="1" t="n">
        <v>0.0281277</v>
      </c>
      <c r="H25" s="1" t="n">
        <v>0.0318659</v>
      </c>
      <c r="I25" s="1" t="n">
        <v>0.0290208</v>
      </c>
      <c r="J25" s="1" t="n">
        <v>0.0298445</v>
      </c>
      <c r="K25" s="1" t="n">
        <v>0.0387525</v>
      </c>
      <c r="AH25" s="2"/>
      <c r="AI25" s="2" t="n">
        <f aca="false">(C25-$B25)*$A25</f>
        <v>-0.0106236999999999</v>
      </c>
      <c r="AJ25" s="2" t="n">
        <f aca="false">(D25-$B25)*$A25</f>
        <v>0.1500589</v>
      </c>
      <c r="AK25" s="2" t="n">
        <f aca="false">(E25-$B25)*$A25</f>
        <v>0.0950176</v>
      </c>
      <c r="AL25" s="2" t="n">
        <f aca="false">(F25-$B25)*$A25</f>
        <v>0.00536820000000004</v>
      </c>
      <c r="AM25" s="2" t="n">
        <f aca="false">(G25-$B25)*$A25</f>
        <v>-0.0119163</v>
      </c>
      <c r="AN25" s="2" t="n">
        <f aca="false">(H25-$B25)*$A25</f>
        <v>0.0740623000000001</v>
      </c>
      <c r="AO25" s="2" t="n">
        <f aca="false">(I25-$B25)*$A25</f>
        <v>0.00862500000000001</v>
      </c>
      <c r="AP25" s="2" t="n">
        <f aca="false">(J25-$B25)*$A25</f>
        <v>0.0275701</v>
      </c>
      <c r="AQ25" s="2" t="n">
        <f aca="false">(K25-$B25)*$A25</f>
        <v>0.2324541</v>
      </c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</row>
    <row r="26" customFormat="false" ht="13.8" hidden="false" customHeight="false" outlineLevel="0" collapsed="false">
      <c r="A26" s="1" t="n">
        <f aca="false">1+A25</f>
        <v>24</v>
      </c>
      <c r="B26" s="0" t="n">
        <v>0.019135</v>
      </c>
      <c r="C26" s="1" t="n">
        <v>0.0188411</v>
      </c>
      <c r="D26" s="1" t="n">
        <v>0.0249187</v>
      </c>
      <c r="E26" s="1" t="n">
        <v>0.0226651</v>
      </c>
      <c r="F26" s="1" t="n">
        <v>0.0194083</v>
      </c>
      <c r="G26" s="1" t="n">
        <v>0.0189469</v>
      </c>
      <c r="H26" s="1" t="n">
        <v>0.0221049</v>
      </c>
      <c r="I26" s="1" t="n">
        <v>0.0193976</v>
      </c>
      <c r="J26" s="1" t="n">
        <v>0.0204696</v>
      </c>
      <c r="K26" s="1" t="n">
        <v>0.0280195</v>
      </c>
      <c r="AH26" s="2"/>
      <c r="AI26" s="2" t="n">
        <f aca="false">(C26-$B26)*$A26</f>
        <v>-0.00705359999999999</v>
      </c>
      <c r="AJ26" s="2" t="n">
        <f aca="false">(D26-$B26)*$A26</f>
        <v>0.1388088</v>
      </c>
      <c r="AK26" s="2" t="n">
        <f aca="false">(E26-$B26)*$A26</f>
        <v>0.0847224</v>
      </c>
      <c r="AL26" s="2" t="n">
        <f aca="false">(F26-$B26)*$A26</f>
        <v>0.00655920000000002</v>
      </c>
      <c r="AM26" s="2" t="n">
        <f aca="false">(G26-$B26)*$A26</f>
        <v>-0.0045144</v>
      </c>
      <c r="AN26" s="2" t="n">
        <f aca="false">(H26-$B26)*$A26</f>
        <v>0.0712776</v>
      </c>
      <c r="AO26" s="2" t="n">
        <f aca="false">(I26-$B26)*$A26</f>
        <v>0.00630240000000004</v>
      </c>
      <c r="AP26" s="2" t="n">
        <f aca="false">(J26-$B26)*$A26</f>
        <v>0.0320304</v>
      </c>
      <c r="AQ26" s="2" t="n">
        <f aca="false">(K26-$B26)*$A26</f>
        <v>0.213228</v>
      </c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</row>
    <row r="27" customFormat="false" ht="13.8" hidden="false" customHeight="false" outlineLevel="0" collapsed="false">
      <c r="A27" s="1" t="n">
        <f aca="false">1+A26</f>
        <v>25</v>
      </c>
      <c r="B27" s="0" t="n">
        <v>0.0126971</v>
      </c>
      <c r="C27" s="1" t="n">
        <v>0.0123839</v>
      </c>
      <c r="D27" s="1" t="n">
        <v>0.0177103</v>
      </c>
      <c r="E27" s="1" t="n">
        <v>0.0155301</v>
      </c>
      <c r="F27" s="1" t="n">
        <v>0.0128244</v>
      </c>
      <c r="G27" s="1" t="n">
        <v>0.0126421</v>
      </c>
      <c r="H27" s="1" t="n">
        <v>0.0153431</v>
      </c>
      <c r="I27" s="1" t="n">
        <v>0.0127939</v>
      </c>
      <c r="J27" s="1" t="n">
        <v>0.0138608</v>
      </c>
      <c r="K27" s="1" t="n">
        <v>0.0204086</v>
      </c>
      <c r="AH27" s="2"/>
      <c r="AI27" s="2" t="n">
        <f aca="false">(C27-$B27)*$A27</f>
        <v>-0.00782999999999999</v>
      </c>
      <c r="AJ27" s="2" t="n">
        <f aca="false">(D27-$B27)*$A27</f>
        <v>0.12533</v>
      </c>
      <c r="AK27" s="2" t="n">
        <f aca="false">(E27-$B27)*$A27</f>
        <v>0.070825</v>
      </c>
      <c r="AL27" s="2" t="n">
        <f aca="false">(F27-$B27)*$A27</f>
        <v>0.00318250000000001</v>
      </c>
      <c r="AM27" s="2" t="n">
        <f aca="false">(G27-$B27)*$A27</f>
        <v>-0.00137499999999999</v>
      </c>
      <c r="AN27" s="2" t="n">
        <f aca="false">(H27-$B27)*$A27</f>
        <v>0.06615</v>
      </c>
      <c r="AO27" s="2" t="n">
        <f aca="false">(I27-$B27)*$A27</f>
        <v>0.00242000000000003</v>
      </c>
      <c r="AP27" s="2" t="n">
        <f aca="false">(J27-$B27)*$A27</f>
        <v>0.0290925</v>
      </c>
      <c r="AQ27" s="2" t="n">
        <f aca="false">(K27-$B27)*$A27</f>
        <v>0.1927875</v>
      </c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</row>
    <row r="28" customFormat="false" ht="13.8" hidden="false" customHeight="false" outlineLevel="0" collapsed="false">
      <c r="A28" s="1" t="n">
        <f aca="false">1+A27</f>
        <v>26</v>
      </c>
      <c r="B28" s="0" t="n">
        <v>0.00831261</v>
      </c>
      <c r="C28" s="1" t="n">
        <v>0.00809175</v>
      </c>
      <c r="D28" s="1" t="n">
        <v>0.0125753</v>
      </c>
      <c r="E28" s="1" t="n">
        <v>0.0105091</v>
      </c>
      <c r="F28" s="1" t="n">
        <v>0.00842061</v>
      </c>
      <c r="G28" s="1" t="n">
        <v>0.0083675</v>
      </c>
      <c r="H28" s="1" t="n">
        <v>0.0106128</v>
      </c>
      <c r="I28" s="1" t="n">
        <v>0.00836173</v>
      </c>
      <c r="J28" s="1" t="n">
        <v>0.0093246</v>
      </c>
      <c r="K28" s="1" t="n">
        <v>0.0149874</v>
      </c>
      <c r="AH28" s="2"/>
      <c r="AI28" s="2" t="n">
        <f aca="false">(C28-$B28)*$A28</f>
        <v>-0.00574236</v>
      </c>
      <c r="AJ28" s="2" t="n">
        <f aca="false">(D28-$B28)*$A28</f>
        <v>0.11082994</v>
      </c>
      <c r="AK28" s="2" t="n">
        <f aca="false">(E28-$B28)*$A28</f>
        <v>0.05710874</v>
      </c>
      <c r="AL28" s="2" t="n">
        <f aca="false">(F28-$B28)*$A28</f>
        <v>0.00280800000000001</v>
      </c>
      <c r="AM28" s="2" t="n">
        <f aca="false">(G28-$B28)*$A28</f>
        <v>0.00142714</v>
      </c>
      <c r="AN28" s="2" t="n">
        <f aca="false">(H28-$B28)*$A28</f>
        <v>0.05980494</v>
      </c>
      <c r="AO28" s="2" t="n">
        <f aca="false">(I28-$B28)*$A28</f>
        <v>0.00127711999999999</v>
      </c>
      <c r="AP28" s="2" t="n">
        <f aca="false">(J28-$B28)*$A28</f>
        <v>0.02631174</v>
      </c>
      <c r="AQ28" s="2" t="n">
        <f aca="false">(K28-$B28)*$A28</f>
        <v>0.17354454</v>
      </c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</row>
    <row r="29" customFormat="false" ht="13.8" hidden="false" customHeight="false" outlineLevel="0" collapsed="false">
      <c r="A29" s="1" t="n">
        <f aca="false">1+A28</f>
        <v>27</v>
      </c>
      <c r="B29" s="0" t="n">
        <v>0.00538315</v>
      </c>
      <c r="C29" s="1" t="n">
        <v>0.00520239</v>
      </c>
      <c r="D29" s="1" t="n">
        <v>0.00888389</v>
      </c>
      <c r="E29" s="1" t="n">
        <v>0.00707691</v>
      </c>
      <c r="F29" s="1" t="n">
        <v>0.00546702</v>
      </c>
      <c r="G29" s="1" t="n">
        <v>0.00549157</v>
      </c>
      <c r="H29" s="1" t="n">
        <v>0.0073771</v>
      </c>
      <c r="I29" s="1" t="n">
        <v>0.00540242</v>
      </c>
      <c r="J29" s="1" t="n">
        <v>0.00616316</v>
      </c>
      <c r="K29" s="1" t="n">
        <v>0.0111203</v>
      </c>
      <c r="AH29" s="2"/>
      <c r="AI29" s="2" t="n">
        <f aca="false">(C29-$B29)*$A29</f>
        <v>-0.00488051999999998</v>
      </c>
      <c r="AJ29" s="2" t="n">
        <f aca="false">(D29-$B29)*$A29</f>
        <v>0.09451998</v>
      </c>
      <c r="AK29" s="2" t="n">
        <f aca="false">(E29-$B29)*$A29</f>
        <v>0.04573152</v>
      </c>
      <c r="AL29" s="2" t="n">
        <f aca="false">(F29-$B29)*$A29</f>
        <v>0.00226449000000002</v>
      </c>
      <c r="AM29" s="2" t="n">
        <f aca="false">(G29-$B29)*$A29</f>
        <v>0.00292734000000002</v>
      </c>
      <c r="AN29" s="2" t="n">
        <f aca="false">(H29-$B29)*$A29</f>
        <v>0.05383665</v>
      </c>
      <c r="AO29" s="2" t="n">
        <f aca="false">(I29-$B29)*$A29</f>
        <v>0.000520290000000001</v>
      </c>
      <c r="AP29" s="2" t="n">
        <f aca="false">(J29-$B29)*$A29</f>
        <v>0.02106027</v>
      </c>
      <c r="AQ29" s="2" t="n">
        <f aca="false">(K29-$B29)*$A29</f>
        <v>0.15490305</v>
      </c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</row>
    <row r="30" customFormat="false" ht="13.8" hidden="false" customHeight="false" outlineLevel="0" collapsed="false">
      <c r="A30" s="1" t="n">
        <f aca="false">1+A29</f>
        <v>28</v>
      </c>
      <c r="B30" s="0" t="n">
        <v>0.0034394</v>
      </c>
      <c r="C30" s="1" t="n">
        <v>0.00333886</v>
      </c>
      <c r="D30" s="1" t="n">
        <v>0.00623814</v>
      </c>
      <c r="E30" s="1" t="n">
        <v>0.00472256</v>
      </c>
      <c r="F30" s="1" t="n">
        <v>0.00347599</v>
      </c>
      <c r="G30" s="1" t="n">
        <v>0.00354947</v>
      </c>
      <c r="H30" s="1" t="n">
        <v>0.00508247</v>
      </c>
      <c r="I30" s="1" t="n">
        <v>0.00347849</v>
      </c>
      <c r="J30" s="1" t="n">
        <v>0.00404192</v>
      </c>
      <c r="K30" s="1" t="n">
        <v>0.00829748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2"/>
      <c r="AI30" s="2" t="n">
        <f aca="false">(C30-$B30)*$A30</f>
        <v>-0.00281512</v>
      </c>
      <c r="AJ30" s="2" t="n">
        <f aca="false">(D30-$B30)*$A30</f>
        <v>0.07836472</v>
      </c>
      <c r="AK30" s="2" t="n">
        <f aca="false">(E30-$B30)*$A30</f>
        <v>0.03592848</v>
      </c>
      <c r="AL30" s="2" t="n">
        <f aca="false">(F30-$B30)*$A30</f>
        <v>0.00102452</v>
      </c>
      <c r="AM30" s="2" t="n">
        <f aca="false">(G30-$B30)*$A30</f>
        <v>0.00308196</v>
      </c>
      <c r="AN30" s="2" t="n">
        <f aca="false">(H30-$B30)*$A30</f>
        <v>0.04600596</v>
      </c>
      <c r="AO30" s="2" t="n">
        <f aca="false">(I30-$B30)*$A30</f>
        <v>0.00109452</v>
      </c>
      <c r="AP30" s="2" t="n">
        <f aca="false">(J30-$B30)*$A30</f>
        <v>0.01687056</v>
      </c>
      <c r="AQ30" s="2" t="n">
        <f aca="false">(K30-$B30)*$A30</f>
        <v>0.13602624</v>
      </c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</row>
    <row r="31" customFormat="false" ht="13.8" hidden="false" customHeight="false" outlineLevel="0" collapsed="false">
      <c r="A31" s="1" t="n">
        <f aca="false">1+A30</f>
        <v>29</v>
      </c>
      <c r="B31" s="0" t="n">
        <v>0.00215872</v>
      </c>
      <c r="C31" s="1" t="n">
        <v>0.00209449</v>
      </c>
      <c r="D31" s="1" t="n">
        <v>0.00434523</v>
      </c>
      <c r="E31" s="1" t="n">
        <v>0.0030897</v>
      </c>
      <c r="F31" s="1" t="n">
        <v>0.00219907</v>
      </c>
      <c r="G31" s="3" t="n">
        <v>0.00228967</v>
      </c>
      <c r="H31" s="1" t="n">
        <v>0.00349634</v>
      </c>
      <c r="I31" s="1" t="n">
        <v>0.00224745</v>
      </c>
      <c r="J31" s="1" t="n">
        <v>0.00260596</v>
      </c>
      <c r="K31" s="1" t="n">
        <v>0.00618706</v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2"/>
      <c r="AI31" s="2" t="n">
        <f aca="false">(C31-$B31)*$A31</f>
        <v>-0.00186266999999999</v>
      </c>
      <c r="AJ31" s="2" t="n">
        <f aca="false">(D31-$B31)*$A31</f>
        <v>0.06340879</v>
      </c>
      <c r="AK31" s="2" t="n">
        <f aca="false">(E31-$B31)*$A31</f>
        <v>0.02699842</v>
      </c>
      <c r="AL31" s="2" t="n">
        <f aca="false">(F31-$B31)*$A31</f>
        <v>0.00117015000000001</v>
      </c>
      <c r="AM31" s="2" t="n">
        <f aca="false">(G31-$B31)*$A31</f>
        <v>0.00379755000000001</v>
      </c>
      <c r="AN31" s="2" t="n">
        <f aca="false">(H31-$B31)*$A31</f>
        <v>0.03879098</v>
      </c>
      <c r="AO31" s="2" t="n">
        <f aca="false">(I31-$B31)*$A31</f>
        <v>0.00257317</v>
      </c>
      <c r="AP31" s="2" t="n">
        <f aca="false">(J31-$B31)*$A31</f>
        <v>0.01296996</v>
      </c>
      <c r="AQ31" s="2" t="n">
        <f aca="false">(K31-$B31)*$A31</f>
        <v>0.11682186</v>
      </c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</row>
    <row r="32" customFormat="false" ht="13.8" hidden="false" customHeight="false" outlineLevel="0" collapsed="false">
      <c r="A32" s="1" t="n">
        <f aca="false">1+A31</f>
        <v>30</v>
      </c>
      <c r="B32" s="0" t="n">
        <v>0.00133629</v>
      </c>
      <c r="C32" s="1" t="n">
        <v>0.00131482</v>
      </c>
      <c r="D32" s="1" t="n">
        <v>0.00294597</v>
      </c>
      <c r="E32" s="1" t="n">
        <v>0.00200988</v>
      </c>
      <c r="F32" s="3" t="n">
        <v>0.00137565</v>
      </c>
      <c r="G32" s="3" t="n">
        <v>0.00145247</v>
      </c>
      <c r="H32" s="3" t="n">
        <v>0.0023854</v>
      </c>
      <c r="I32" s="3" t="n">
        <v>0.00141433</v>
      </c>
      <c r="J32" s="1" t="n">
        <v>0.00164998</v>
      </c>
      <c r="K32" s="3" t="n">
        <v>0.00457325</v>
      </c>
      <c r="L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2"/>
      <c r="AI32" s="2" t="n">
        <f aca="false">(C32-$B32)*$A32</f>
        <v>-0.0006441</v>
      </c>
      <c r="AJ32" s="2" t="n">
        <f aca="false">(D32-$B32)*$A32</f>
        <v>0.0482904</v>
      </c>
      <c r="AK32" s="2" t="n">
        <f aca="false">(E32-$B32)*$A32</f>
        <v>0.0202077</v>
      </c>
      <c r="AL32" s="2" t="n">
        <f aca="false">(F32-$B32)*$A32</f>
        <v>0.0011808</v>
      </c>
      <c r="AM32" s="2" t="n">
        <f aca="false">(G32-$B32)*$A32</f>
        <v>0.0034854</v>
      </c>
      <c r="AN32" s="2" t="n">
        <f aca="false">(H32-$B32)*$A32</f>
        <v>0.0314733</v>
      </c>
      <c r="AO32" s="2" t="n">
        <f aca="false">(I32-$B32)*$A32</f>
        <v>0.0023412</v>
      </c>
      <c r="AP32" s="2" t="n">
        <f aca="false">(J32-$B32)*$A32</f>
        <v>0.0094107</v>
      </c>
      <c r="AQ32" s="2" t="n">
        <f aca="false">(K32-$B32)*$A32</f>
        <v>0.0971088</v>
      </c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</row>
    <row r="33" customFormat="false" ht="13.8" hidden="false" customHeight="false" outlineLevel="0" collapsed="false">
      <c r="A33" s="1" t="n">
        <f aca="false">1+A32</f>
        <v>31</v>
      </c>
      <c r="B33" s="0" t="n">
        <v>0.000815885</v>
      </c>
      <c r="C33" s="1" t="n">
        <v>0.000809887</v>
      </c>
      <c r="D33" s="1" t="n">
        <v>0.00197667</v>
      </c>
      <c r="E33" s="1" t="n">
        <v>0.00130133</v>
      </c>
      <c r="F33" s="3" t="n">
        <v>0.000851898</v>
      </c>
      <c r="G33" s="3" t="n">
        <v>0.000902638</v>
      </c>
      <c r="H33" s="3" t="n">
        <v>0.00159395</v>
      </c>
      <c r="I33" s="3" t="n">
        <v>0.00088249</v>
      </c>
      <c r="J33" s="1" t="n">
        <v>0.00101817</v>
      </c>
      <c r="K33" s="3" t="n">
        <v>0.0033708</v>
      </c>
      <c r="L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2"/>
      <c r="AI33" s="2" t="n">
        <f aca="false">(C33-$B33)*$A33</f>
        <v>-0.000185938</v>
      </c>
      <c r="AJ33" s="2" t="n">
        <f aca="false">(D33-$B33)*$A33</f>
        <v>0.035984335</v>
      </c>
      <c r="AK33" s="2" t="n">
        <f aca="false">(E33-$B33)*$A33</f>
        <v>0.015048795</v>
      </c>
      <c r="AL33" s="2" t="n">
        <f aca="false">(F33-$B33)*$A33</f>
        <v>0.001116403</v>
      </c>
      <c r="AM33" s="2" t="n">
        <f aca="false">(G33-$B33)*$A33</f>
        <v>0.002689343</v>
      </c>
      <c r="AN33" s="2" t="n">
        <f aca="false">(H33-$B33)*$A33</f>
        <v>0.024120015</v>
      </c>
      <c r="AO33" s="2" t="n">
        <f aca="false">(I33-$B33)*$A33</f>
        <v>0.002064755</v>
      </c>
      <c r="AP33" s="2" t="n">
        <f aca="false">(J33-$B33)*$A33</f>
        <v>0.006270835</v>
      </c>
      <c r="AQ33" s="2" t="n">
        <f aca="false">(K33-$B33)*$A33</f>
        <v>0.079202365</v>
      </c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</row>
    <row r="34" customFormat="false" ht="13.8" hidden="false" customHeight="false" outlineLevel="0" collapsed="false">
      <c r="A34" s="1" t="n">
        <f aca="false">1+A33</f>
        <v>32</v>
      </c>
      <c r="B34" s="0" t="n">
        <v>0.000504848</v>
      </c>
      <c r="C34" s="1" t="n">
        <v>0.000486695</v>
      </c>
      <c r="D34" s="1" t="n">
        <v>0.00126479</v>
      </c>
      <c r="E34" s="3" t="n">
        <v>0.00083326</v>
      </c>
      <c r="F34" s="3" t="n">
        <v>0.000519797</v>
      </c>
      <c r="G34" s="3" t="n">
        <v>0.000552138</v>
      </c>
      <c r="H34" s="3" t="n">
        <v>0.00105489</v>
      </c>
      <c r="I34" s="3" t="n">
        <v>0.00054406</v>
      </c>
      <c r="J34" s="3" t="n">
        <v>0.000610588</v>
      </c>
      <c r="K34" s="3" t="n">
        <v>0.00246727</v>
      </c>
      <c r="L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2"/>
      <c r="AI34" s="2" t="n">
        <f aca="false">(C34-$B34)*$A34</f>
        <v>-0.000580896000000001</v>
      </c>
      <c r="AJ34" s="2" t="n">
        <f aca="false">(D34-$B34)*$A34</f>
        <v>0.024318144</v>
      </c>
      <c r="AK34" s="2" t="n">
        <f aca="false">(E34-$B34)*$A34</f>
        <v>0.010509184</v>
      </c>
      <c r="AL34" s="2" t="n">
        <f aca="false">(F34-$B34)*$A34</f>
        <v>0.000478368</v>
      </c>
      <c r="AM34" s="2" t="n">
        <f aca="false">(G34-$B34)*$A34</f>
        <v>0.00151328</v>
      </c>
      <c r="AN34" s="2" t="n">
        <f aca="false">(H34-$B34)*$A34</f>
        <v>0.017601344</v>
      </c>
      <c r="AO34" s="2" t="n">
        <f aca="false">(I34-$B34)*$A34</f>
        <v>0.001254784</v>
      </c>
      <c r="AP34" s="2" t="n">
        <f aca="false">(J34-$B34)*$A34</f>
        <v>0.00338368</v>
      </c>
      <c r="AQ34" s="2" t="n">
        <f aca="false">(K34-$B34)*$A34</f>
        <v>0.062797504</v>
      </c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</row>
    <row r="35" customFormat="false" ht="13.8" hidden="false" customHeight="false" outlineLevel="0" collapsed="false">
      <c r="A35" s="1" t="n">
        <f aca="false">1+A34</f>
        <v>33</v>
      </c>
      <c r="B35" s="0" t="n">
        <v>0.000303008</v>
      </c>
      <c r="C35" s="1" t="n">
        <v>0.00029012</v>
      </c>
      <c r="D35" s="1" t="n">
        <v>0.000803952</v>
      </c>
      <c r="E35" s="3" t="n">
        <v>0.000530424</v>
      </c>
      <c r="F35" s="3" t="n">
        <v>0.000310501</v>
      </c>
      <c r="G35" s="1" t="n">
        <v>0.000332687</v>
      </c>
      <c r="H35" s="3" t="n">
        <v>0.000686984</v>
      </c>
      <c r="I35" s="3" t="n">
        <v>0.000334716</v>
      </c>
      <c r="J35" s="3" t="n">
        <v>0.000353804</v>
      </c>
      <c r="K35" s="3" t="n">
        <v>0.00178547</v>
      </c>
      <c r="L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2"/>
      <c r="AI35" s="2" t="n">
        <f aca="false">(C35-$B35)*$A35</f>
        <v>-0.000425304000000001</v>
      </c>
      <c r="AJ35" s="2" t="n">
        <f aca="false">(D35-$B35)*$A35</f>
        <v>0.016531152</v>
      </c>
      <c r="AK35" s="2" t="n">
        <f aca="false">(E35-$B35)*$A35</f>
        <v>0.007504728</v>
      </c>
      <c r="AL35" s="2" t="n">
        <f aca="false">(F35-$B35)*$A35</f>
        <v>0.000247268999999999</v>
      </c>
      <c r="AM35" s="2" t="n">
        <f aca="false">(G35-$B35)*$A35</f>
        <v>0.000979407</v>
      </c>
      <c r="AN35" s="2" t="n">
        <f aca="false">(H35-$B35)*$A35</f>
        <v>0.012671208</v>
      </c>
      <c r="AO35" s="2" t="n">
        <f aca="false">(I35-$B35)*$A35</f>
        <v>0.001046364</v>
      </c>
      <c r="AP35" s="2" t="n">
        <f aca="false">(J35-$B35)*$A35</f>
        <v>0.001676268</v>
      </c>
      <c r="AQ35" s="2" t="n">
        <f aca="false">(K35-$B35)*$A35</f>
        <v>0.048921246</v>
      </c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</row>
    <row r="36" customFormat="false" ht="13.8" hidden="false" customHeight="false" outlineLevel="0" collapsed="false">
      <c r="A36" s="1" t="n">
        <f aca="false">1+A35</f>
        <v>34</v>
      </c>
      <c r="B36" s="1" t="n">
        <v>0.000186054</v>
      </c>
      <c r="C36" s="1" t="n">
        <v>0.000169218</v>
      </c>
      <c r="D36" s="1" t="n">
        <v>0.000486977</v>
      </c>
      <c r="E36" s="3" t="n">
        <v>0.00032623</v>
      </c>
      <c r="F36" s="1" t="n">
        <v>0.000188371</v>
      </c>
      <c r="G36" s="1" t="n">
        <v>0.000195196</v>
      </c>
      <c r="H36" s="3" t="n">
        <v>0.000439136</v>
      </c>
      <c r="I36" s="3" t="n">
        <v>0.000209784</v>
      </c>
      <c r="J36" s="3" t="n">
        <v>0.000196771</v>
      </c>
      <c r="K36" s="1" t="n">
        <v>0.00126598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2"/>
      <c r="AI36" s="2" t="n">
        <f aca="false">(C36-$B36)*$A36</f>
        <v>-0.000572424</v>
      </c>
      <c r="AJ36" s="2" t="n">
        <f aca="false">(D36-$B36)*$A36</f>
        <v>0.010231382</v>
      </c>
      <c r="AK36" s="2" t="n">
        <f aca="false">(E36-$B36)*$A36</f>
        <v>0.004765984</v>
      </c>
      <c r="AL36" s="2" t="n">
        <f aca="false">(F36-$B36)*$A36</f>
        <v>7.87779999999999E-005</v>
      </c>
      <c r="AM36" s="2" t="n">
        <f aca="false">(G36-$B36)*$A36</f>
        <v>0.000310828</v>
      </c>
      <c r="AN36" s="2" t="n">
        <f aca="false">(H36-$B36)*$A36</f>
        <v>0.008604788</v>
      </c>
      <c r="AO36" s="2" t="n">
        <f aca="false">(I36-$B36)*$A36</f>
        <v>0.00080682</v>
      </c>
      <c r="AP36" s="2" t="n">
        <f aca="false">(J36-$B36)*$A36</f>
        <v>0.000364378</v>
      </c>
      <c r="AQ36" s="2" t="n">
        <f aca="false">(K36-$B36)*$A36</f>
        <v>0.036717484</v>
      </c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</row>
    <row r="37" customFormat="false" ht="13.8" hidden="false" customHeight="false" outlineLevel="0" collapsed="false">
      <c r="A37" s="1" t="n">
        <f aca="false">1+A36</f>
        <v>35</v>
      </c>
      <c r="B37" s="1" t="n">
        <v>0.000116458</v>
      </c>
      <c r="C37" s="3" t="n">
        <v>9.958E-005</v>
      </c>
      <c r="D37" s="1" t="n">
        <v>0.00029923</v>
      </c>
      <c r="E37" s="3" t="n">
        <v>0.000195167</v>
      </c>
      <c r="F37" s="1" t="n">
        <v>0.000110745</v>
      </c>
      <c r="G37" s="1" t="n">
        <v>0.000110037</v>
      </c>
      <c r="H37" s="1" t="n">
        <v>0.000269462</v>
      </c>
      <c r="I37" s="3" t="n">
        <v>0.000127669</v>
      </c>
      <c r="J37" s="3" t="n">
        <v>0.000106282</v>
      </c>
      <c r="K37" s="1" t="n">
        <v>0.00087941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I37" s="2" t="n">
        <f aca="false">(C37-$B37)*$A37</f>
        <v>-0.00059073</v>
      </c>
      <c r="AJ37" s="2" t="n">
        <f aca="false">(D37-$B37)*$A37</f>
        <v>0.00639702</v>
      </c>
      <c r="AK37" s="2" t="n">
        <f aca="false">(E37-$B37)*$A37</f>
        <v>0.002754815</v>
      </c>
      <c r="AL37" s="2" t="n">
        <f aca="false">(F37-$B37)*$A37</f>
        <v>-0.000199955</v>
      </c>
      <c r="AM37" s="2" t="n">
        <f aca="false">(G37-$B37)*$A37</f>
        <v>-0.000224735</v>
      </c>
      <c r="AN37" s="2" t="n">
        <f aca="false">(H37-$B37)*$A37</f>
        <v>0.00535514</v>
      </c>
      <c r="AO37" s="2" t="n">
        <f aca="false">(I37-$B37)*$A37</f>
        <v>0.000392384999999999</v>
      </c>
      <c r="AP37" s="2" t="n">
        <f aca="false">(J37-$B37)*$A37</f>
        <v>-0.00035616</v>
      </c>
      <c r="AQ37" s="2" t="n">
        <f aca="false">(K37-$B37)*$A37</f>
        <v>0.02670332</v>
      </c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</row>
    <row r="38" customFormat="false" ht="13.8" hidden="false" customHeight="false" outlineLevel="0" collapsed="false">
      <c r="A38" s="1" t="n">
        <f aca="false">1+A37</f>
        <v>36</v>
      </c>
      <c r="B38" s="3" t="n">
        <v>6.91443E-005</v>
      </c>
      <c r="C38" s="3" t="n">
        <v>5.74797E-005</v>
      </c>
      <c r="D38" s="1" t="n">
        <v>0.000176459</v>
      </c>
      <c r="E38" s="3" t="n">
        <v>0.000115544</v>
      </c>
      <c r="F38" s="3" t="n">
        <v>6.52502E-005</v>
      </c>
      <c r="G38" s="3" t="n">
        <v>6.00604E-005</v>
      </c>
      <c r="H38" s="1" t="n">
        <v>0.000160372</v>
      </c>
      <c r="I38" s="3" t="n">
        <v>8.06485E-005</v>
      </c>
      <c r="J38" s="3" t="n">
        <v>5.61715E-005</v>
      </c>
      <c r="K38" s="1" t="n">
        <v>0.000607607</v>
      </c>
      <c r="M38" s="3"/>
      <c r="N38" s="3"/>
      <c r="O38" s="3"/>
      <c r="P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I38" s="2" t="n">
        <f aca="false">(C38-$B38)*$A38</f>
        <v>-0.0004199256</v>
      </c>
      <c r="AJ38" s="2" t="n">
        <f aca="false">(D38-$B38)*$A38</f>
        <v>0.0038633292</v>
      </c>
      <c r="AK38" s="2" t="n">
        <f aca="false">(E38-$B38)*$A38</f>
        <v>0.0016703892</v>
      </c>
      <c r="AL38" s="2" t="n">
        <f aca="false">(F38-$B38)*$A38</f>
        <v>-0.0001401876</v>
      </c>
      <c r="AM38" s="2" t="n">
        <f aca="false">(G38-$B38)*$A38</f>
        <v>-0.0003270204</v>
      </c>
      <c r="AN38" s="2" t="n">
        <f aca="false">(H38-$B38)*$A38</f>
        <v>0.0032841972</v>
      </c>
      <c r="AO38" s="2" t="n">
        <f aca="false">(I38-$B38)*$A38</f>
        <v>0.0004141512</v>
      </c>
      <c r="AP38" s="2" t="n">
        <f aca="false">(J38-$B38)*$A38</f>
        <v>-0.0004670208</v>
      </c>
      <c r="AQ38" s="2" t="n">
        <f aca="false">(K38-$B38)*$A38</f>
        <v>0.0193846572</v>
      </c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</row>
    <row r="39" customFormat="false" ht="13.8" hidden="false" customHeight="false" outlineLevel="0" collapsed="false">
      <c r="A39" s="1" t="n">
        <f aca="false">1+A38</f>
        <v>37</v>
      </c>
      <c r="B39" s="3" t="n">
        <v>3.88796E-005</v>
      </c>
      <c r="C39" s="3" t="n">
        <v>3.24372E-005</v>
      </c>
      <c r="D39" s="1" t="n">
        <v>0.000108052</v>
      </c>
      <c r="E39" s="3" t="n">
        <v>6.53935E-005</v>
      </c>
      <c r="F39" s="3" t="n">
        <v>3.99151E-005</v>
      </c>
      <c r="G39" s="3" t="n">
        <v>3.17627E-005</v>
      </c>
      <c r="H39" s="3" t="n">
        <v>9.39089E-005</v>
      </c>
      <c r="I39" s="3" t="n">
        <v>4.90245E-005</v>
      </c>
      <c r="J39" s="3" t="n">
        <v>2.82565E-005</v>
      </c>
      <c r="K39" s="1" t="n">
        <v>0.000405554</v>
      </c>
      <c r="M39" s="3"/>
      <c r="N39" s="3"/>
      <c r="O39" s="3"/>
      <c r="P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I39" s="2" t="n">
        <f aca="false">(C39-$B39)*$A39</f>
        <v>-0.0002383688</v>
      </c>
      <c r="AJ39" s="2" t="n">
        <f aca="false">(D39-$B39)*$A39</f>
        <v>0.0025593788</v>
      </c>
      <c r="AK39" s="2" t="n">
        <f aca="false">(E39-$B39)*$A39</f>
        <v>0.0009810143</v>
      </c>
      <c r="AL39" s="2" t="n">
        <f aca="false">(F39-$B39)*$A39</f>
        <v>3.83135E-005</v>
      </c>
      <c r="AM39" s="2" t="n">
        <f aca="false">(G39-$B39)*$A39</f>
        <v>-0.0002633253</v>
      </c>
      <c r="AN39" s="2" t="n">
        <f aca="false">(H39-$B39)*$A39</f>
        <v>0.0020360841</v>
      </c>
      <c r="AO39" s="2" t="n">
        <f aca="false">(I39-$B39)*$A39</f>
        <v>0.0003753613</v>
      </c>
      <c r="AP39" s="2" t="n">
        <f aca="false">(J39-$B39)*$A39</f>
        <v>-0.0003930547</v>
      </c>
      <c r="AQ39" s="2" t="n">
        <f aca="false">(K39-$B39)*$A39</f>
        <v>0.0135669528</v>
      </c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</row>
    <row r="40" customFormat="false" ht="13.8" hidden="false" customHeight="false" outlineLevel="0" collapsed="false">
      <c r="A40" s="1" t="n">
        <f aca="false">1+A39</f>
        <v>38</v>
      </c>
      <c r="B40" s="3" t="n">
        <v>2.24167E-005</v>
      </c>
      <c r="C40" s="3" t="n">
        <v>1.76477E-005</v>
      </c>
      <c r="D40" s="3" t="n">
        <v>6.25823E-005</v>
      </c>
      <c r="E40" s="3" t="n">
        <v>3.53677E-005</v>
      </c>
      <c r="F40" s="3" t="n">
        <v>2.26801E-005</v>
      </c>
      <c r="G40" s="3" t="n">
        <v>1.56814E-005</v>
      </c>
      <c r="H40" s="3" t="n">
        <v>5.00323E-005</v>
      </c>
      <c r="I40" s="3" t="n">
        <v>2.9229E-005</v>
      </c>
      <c r="J40" s="3" t="n">
        <v>1.25916E-005</v>
      </c>
      <c r="K40" s="1" t="n">
        <v>0.000272318</v>
      </c>
      <c r="M40" s="3"/>
      <c r="N40" s="3"/>
      <c r="P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I40" s="2" t="n">
        <f aca="false">(C40-$B40)*$A40</f>
        <v>-0.000181222</v>
      </c>
      <c r="AJ40" s="2" t="n">
        <f aca="false">(D40-$B40)*$A40</f>
        <v>0.0015262928</v>
      </c>
      <c r="AK40" s="2" t="n">
        <f aca="false">(E40-$B40)*$A40</f>
        <v>0.000492138</v>
      </c>
      <c r="AL40" s="2" t="n">
        <f aca="false">(F40-$B40)*$A40</f>
        <v>1.00092000000001E-005</v>
      </c>
      <c r="AM40" s="2" t="n">
        <f aca="false">(G40-$B40)*$A40</f>
        <v>-0.0002559414</v>
      </c>
      <c r="AN40" s="2" t="n">
        <f aca="false">(H40-$B40)*$A40</f>
        <v>0.0010493928</v>
      </c>
      <c r="AO40" s="2" t="n">
        <f aca="false">(I40-$B40)*$A40</f>
        <v>0.0002588674</v>
      </c>
      <c r="AP40" s="2" t="n">
        <f aca="false">(J40-$B40)*$A40</f>
        <v>-0.0003733538</v>
      </c>
      <c r="AQ40" s="2" t="n">
        <f aca="false">(K40-$B40)*$A40</f>
        <v>0.0094962494</v>
      </c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</row>
    <row r="41" customFormat="false" ht="13.8" hidden="false" customHeight="false" outlineLevel="0" collapsed="false">
      <c r="A41" s="1" t="n">
        <f aca="false">1+A40</f>
        <v>39</v>
      </c>
      <c r="B41" s="3" t="n">
        <v>1.38018E-005</v>
      </c>
      <c r="C41" s="3" t="n">
        <v>8.16602E-006</v>
      </c>
      <c r="D41" s="3" t="n">
        <v>3.71611E-005</v>
      </c>
      <c r="E41" s="3" t="n">
        <v>1.78681E-005</v>
      </c>
      <c r="F41" s="3" t="n">
        <v>1.3455E-005</v>
      </c>
      <c r="G41" s="3" t="n">
        <v>7.77409E-006</v>
      </c>
      <c r="H41" s="3" t="n">
        <v>2.73997E-005</v>
      </c>
      <c r="I41" s="3" t="n">
        <v>1.86225E-005</v>
      </c>
      <c r="J41" s="3" t="n">
        <v>6.44522E-006</v>
      </c>
      <c r="K41" s="1" t="n">
        <v>0.000176293</v>
      </c>
      <c r="M41" s="3"/>
      <c r="P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I41" s="2" t="n">
        <f aca="false">(C41-$B41)*$A41</f>
        <v>-0.00021979542</v>
      </c>
      <c r="AJ41" s="2" t="n">
        <f aca="false">(D41-$B41)*$A41</f>
        <v>0.0009110127</v>
      </c>
      <c r="AK41" s="2" t="n">
        <f aca="false">(E41-$B41)*$A41</f>
        <v>0.0001585857</v>
      </c>
      <c r="AL41" s="2" t="n">
        <f aca="false">(F41-$B41)*$A41</f>
        <v>-1.35252E-005</v>
      </c>
      <c r="AM41" s="2" t="n">
        <f aca="false">(G41-$B41)*$A41</f>
        <v>-0.00023508069</v>
      </c>
      <c r="AN41" s="2" t="n">
        <f aca="false">(H41-$B41)*$A41</f>
        <v>0.0005303181</v>
      </c>
      <c r="AO41" s="2" t="n">
        <f aca="false">(I41-$B41)*$A41</f>
        <v>0.0001880073</v>
      </c>
      <c r="AP41" s="2" t="n">
        <f aca="false">(J41-$B41)*$A41</f>
        <v>-0.00028690662</v>
      </c>
      <c r="AQ41" s="2" t="n">
        <f aca="false">(K41-$B41)*$A41</f>
        <v>0.0063371568</v>
      </c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</row>
    <row r="42" customFormat="false" ht="13.8" hidden="false" customHeight="false" outlineLevel="0" collapsed="false">
      <c r="A42" s="1" t="n">
        <f aca="false">1+A41</f>
        <v>40</v>
      </c>
      <c r="B42" s="3" t="n">
        <v>7.75788E-006</v>
      </c>
      <c r="C42" s="3" t="n">
        <v>3.53861E-006</v>
      </c>
      <c r="D42" s="3" t="n">
        <v>2.11768E-005</v>
      </c>
      <c r="E42" s="3" t="n">
        <v>8.93404E-006</v>
      </c>
      <c r="F42" s="3" t="n">
        <v>7.33502E-006</v>
      </c>
      <c r="G42" s="3" t="n">
        <v>3.37618E-006</v>
      </c>
      <c r="H42" s="3" t="n">
        <v>1.43478E-005</v>
      </c>
      <c r="I42" s="3" t="n">
        <v>1.16818E-005</v>
      </c>
      <c r="J42" s="3" t="n">
        <v>2.51833E-006</v>
      </c>
      <c r="K42" s="1" t="n">
        <v>0.000114817</v>
      </c>
      <c r="M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I42" s="2" t="n">
        <f aca="false">(C42-$B42)*$A42</f>
        <v>-0.0001687708</v>
      </c>
      <c r="AJ42" s="2" t="n">
        <f aca="false">(D42-$B42)*$A42</f>
        <v>0.0005367568</v>
      </c>
      <c r="AK42" s="2" t="n">
        <f aca="false">(E42-$B42)*$A42</f>
        <v>4.70464000000001E-005</v>
      </c>
      <c r="AL42" s="2" t="n">
        <f aca="false">(F42-$B42)*$A42</f>
        <v>-1.69144E-005</v>
      </c>
      <c r="AM42" s="2" t="n">
        <f aca="false">(G42-$B42)*$A42</f>
        <v>-0.000175268</v>
      </c>
      <c r="AN42" s="2" t="n">
        <f aca="false">(H42-$B42)*$A42</f>
        <v>0.0002635968</v>
      </c>
      <c r="AO42" s="2" t="n">
        <f aca="false">(I42-$B42)*$A42</f>
        <v>0.0001569568</v>
      </c>
      <c r="AP42" s="2" t="n">
        <f aca="false">(J42-$B42)*$A42</f>
        <v>-0.000209582</v>
      </c>
      <c r="AQ42" s="2" t="n">
        <f aca="false">(K42-$B42)*$A42</f>
        <v>0.0042823648</v>
      </c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</row>
    <row r="43" customFormat="false" ht="13.8" hidden="false" customHeight="false" outlineLevel="0" collapsed="false">
      <c r="A43" s="1" t="n">
        <f aca="false">1+A42</f>
        <v>41</v>
      </c>
      <c r="B43" s="3" t="n">
        <v>4.10446E-006</v>
      </c>
      <c r="C43" s="3" t="n">
        <v>1.67857E-006</v>
      </c>
      <c r="D43" s="3" t="n">
        <v>1.25977E-005</v>
      </c>
      <c r="E43" s="3" t="n">
        <v>4.32886E-006</v>
      </c>
      <c r="F43" s="3" t="n">
        <v>3.82501E-006</v>
      </c>
      <c r="G43" s="3" t="n">
        <v>1.42155E-006</v>
      </c>
      <c r="H43" s="3" t="n">
        <v>7.54418E-006</v>
      </c>
      <c r="I43" s="3" t="n">
        <v>6.64739E-006</v>
      </c>
      <c r="J43" s="3" t="n">
        <v>9.81722E-007</v>
      </c>
      <c r="K43" s="3" t="n">
        <v>6.62445E-005</v>
      </c>
      <c r="M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I43" s="2" t="n">
        <f aca="false">(C43-$B43)*$A43</f>
        <v>-9.946149E-005</v>
      </c>
      <c r="AJ43" s="2" t="n">
        <f aca="false">(D43-$B43)*$A43</f>
        <v>0.00034822284</v>
      </c>
      <c r="AK43" s="2" t="n">
        <f aca="false">(E43-$B43)*$A43</f>
        <v>9.2004E-006</v>
      </c>
      <c r="AL43" s="2" t="n">
        <f aca="false">(F43-$B43)*$A43</f>
        <v>-1.145745E-005</v>
      </c>
      <c r="AM43" s="2" t="n">
        <f aca="false">(G43-$B43)*$A43</f>
        <v>-0.00010999931</v>
      </c>
      <c r="AN43" s="2" t="n">
        <f aca="false">(H43-$B43)*$A43</f>
        <v>0.00014102852</v>
      </c>
      <c r="AO43" s="2" t="n">
        <f aca="false">(I43-$B43)*$A43</f>
        <v>0.00010426013</v>
      </c>
      <c r="AP43" s="2" t="n">
        <f aca="false">(J43-$B43)*$A43</f>
        <v>-0.000128032258</v>
      </c>
      <c r="AQ43" s="2" t="n">
        <f aca="false">(K43-$B43)*$A43</f>
        <v>0.00254774164</v>
      </c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</row>
    <row r="44" customFormat="false" ht="13.8" hidden="false" customHeight="false" outlineLevel="0" collapsed="false">
      <c r="A44" s="1" t="n">
        <f aca="false">1+A43</f>
        <v>42</v>
      </c>
      <c r="B44" s="3" t="n">
        <v>2.16499E-006</v>
      </c>
      <c r="C44" s="3" t="n">
        <v>8.16602E-007</v>
      </c>
      <c r="D44" s="3" t="n">
        <v>7.40512E-006</v>
      </c>
      <c r="E44" s="3" t="n">
        <v>2.16443E-006</v>
      </c>
      <c r="F44" s="3" t="n">
        <v>1.89001E-006</v>
      </c>
      <c r="G44" s="3" t="n">
        <v>5.77504E-007</v>
      </c>
      <c r="H44" s="3" t="n">
        <v>3.3324E-006</v>
      </c>
      <c r="I44" s="3" t="n">
        <v>4.2035E-006</v>
      </c>
      <c r="J44" s="3" t="n">
        <v>2.13418E-007</v>
      </c>
      <c r="K44" s="3" t="n">
        <v>3.95503E-005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I44" s="2" t="n">
        <f aca="false">(C44-$B44)*$A44</f>
        <v>-5.6632296E-005</v>
      </c>
      <c r="AJ44" s="2" t="n">
        <f aca="false">(D44-$B44)*$A44</f>
        <v>0.00022008546</v>
      </c>
      <c r="AK44" s="2" t="n">
        <f aca="false">(E44-$B44)*$A44</f>
        <v>-2.35200000000089E-008</v>
      </c>
      <c r="AL44" s="2" t="n">
        <f aca="false">(F44-$B44)*$A44</f>
        <v>-1.154916E-005</v>
      </c>
      <c r="AM44" s="2" t="n">
        <f aca="false">(G44-$B44)*$A44</f>
        <v>-6.6674412E-005</v>
      </c>
      <c r="AN44" s="2" t="n">
        <f aca="false">(H44-$B44)*$A44</f>
        <v>4.903122E-005</v>
      </c>
      <c r="AO44" s="2" t="n">
        <f aca="false">(I44-$B44)*$A44</f>
        <v>8.561742E-005</v>
      </c>
      <c r="AP44" s="2" t="n">
        <f aca="false">(J44-$B44)*$A44</f>
        <v>-8.1966024E-005</v>
      </c>
      <c r="AQ44" s="2" t="n">
        <f aca="false">(K44-$B44)*$A44</f>
        <v>0.00157018302</v>
      </c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</row>
    <row r="45" customFormat="false" ht="13.8" hidden="false" customHeight="false" outlineLevel="0" collapsed="false">
      <c r="A45" s="1" t="n">
        <f aca="false">1+A44</f>
        <v>43</v>
      </c>
      <c r="B45" s="3" t="n">
        <v>9.02079E-007</v>
      </c>
      <c r="C45" s="3" t="n">
        <v>1.81467E-007</v>
      </c>
      <c r="D45" s="3" t="n">
        <v>4.51532E-006</v>
      </c>
      <c r="E45" s="3" t="n">
        <v>1.05919E-006</v>
      </c>
      <c r="F45" s="3" t="n">
        <v>9.90003E-007</v>
      </c>
      <c r="G45" s="3" t="n">
        <v>2.22117E-007</v>
      </c>
      <c r="H45" s="3" t="n">
        <v>1.48107E-006</v>
      </c>
      <c r="I45" s="3" t="n">
        <v>2.05287E-006</v>
      </c>
      <c r="J45" s="3" t="n">
        <v>1.28051E-007</v>
      </c>
      <c r="K45" s="3" t="n">
        <v>2.01024E-005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I45" s="2" t="n">
        <f aca="false">(C45-$B45)*$A45</f>
        <v>-3.0986316E-005</v>
      </c>
      <c r="AJ45" s="2" t="n">
        <f aca="false">(D45-$B45)*$A45</f>
        <v>0.000155369363</v>
      </c>
      <c r="AK45" s="2" t="n">
        <f aca="false">(E45-$B45)*$A45</f>
        <v>6.75577300000001E-006</v>
      </c>
      <c r="AL45" s="2" t="n">
        <f aca="false">(F45-$B45)*$A45</f>
        <v>3.780732E-006</v>
      </c>
      <c r="AM45" s="2" t="n">
        <f aca="false">(G45-$B45)*$A45</f>
        <v>-2.9238366E-005</v>
      </c>
      <c r="AN45" s="2" t="n">
        <f aca="false">(H45-$B45)*$A45</f>
        <v>2.4896613E-005</v>
      </c>
      <c r="AO45" s="2" t="n">
        <f aca="false">(I45-$B45)*$A45</f>
        <v>4.9484013E-005</v>
      </c>
      <c r="AP45" s="2" t="n">
        <f aca="false">(J45-$B45)*$A45</f>
        <v>-3.3283204E-005</v>
      </c>
      <c r="AQ45" s="2" t="n">
        <f aca="false">(K45-$B45)*$A45</f>
        <v>0.000825613803</v>
      </c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</row>
    <row r="46" customFormat="false" ht="13.8" hidden="false" customHeight="false" outlineLevel="0" collapsed="false">
      <c r="A46" s="1" t="n">
        <f aca="false">1+A45</f>
        <v>44</v>
      </c>
      <c r="B46" s="3" t="n">
        <v>4.05935E-007</v>
      </c>
      <c r="D46" s="3" t="n">
        <v>2.25766E-006</v>
      </c>
      <c r="E46" s="3" t="n">
        <v>5.06569E-007</v>
      </c>
      <c r="F46" s="3" t="n">
        <v>4.95002E-007</v>
      </c>
      <c r="H46" s="3" t="n">
        <v>4.62833E-007</v>
      </c>
      <c r="I46" s="3" t="n">
        <v>1.27082E-006</v>
      </c>
      <c r="K46" s="3" t="n">
        <v>1.0846E-005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I46" s="2" t="n">
        <f aca="false">(C46-$B46)*$A46</f>
        <v>-1.786114E-005</v>
      </c>
      <c r="AJ46" s="2" t="n">
        <f aca="false">(D46-$B46)*$A46</f>
        <v>8.14759E-005</v>
      </c>
      <c r="AK46" s="2" t="n">
        <f aca="false">(E46-$B46)*$A46</f>
        <v>4.427896E-006</v>
      </c>
      <c r="AL46" s="2" t="n">
        <f aca="false">(F46-$B46)*$A46</f>
        <v>3.918948E-006</v>
      </c>
      <c r="AM46" s="2" t="n">
        <f aca="false">(G46-$B46)*$A46</f>
        <v>-1.786114E-005</v>
      </c>
      <c r="AN46" s="2" t="n">
        <f aca="false">(H46-$B46)*$A46</f>
        <v>2.503512E-006</v>
      </c>
      <c r="AO46" s="2" t="n">
        <f aca="false">(I46-$B46)*$A46</f>
        <v>3.805494E-005</v>
      </c>
      <c r="AP46" s="2" t="n">
        <f aca="false">(J46-$B46)*$A46</f>
        <v>-1.786114E-005</v>
      </c>
      <c r="AQ46" s="2" t="n">
        <f aca="false">(K46-$B46)*$A46</f>
        <v>0.00045936286</v>
      </c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</row>
    <row r="47" customFormat="false" ht="13.8" hidden="false" customHeight="false" outlineLevel="0" collapsed="false">
      <c r="A47" s="1" t="n">
        <f aca="false">1+A46</f>
        <v>45</v>
      </c>
      <c r="B47" s="3" t="n">
        <v>2.2552E-007</v>
      </c>
      <c r="D47" s="3" t="n">
        <v>6.77298E-007</v>
      </c>
      <c r="E47" s="3" t="n">
        <v>2.30259E-007</v>
      </c>
      <c r="F47" s="3" t="n">
        <v>3.15001E-007</v>
      </c>
      <c r="H47" s="3" t="n">
        <v>1.3885E-007</v>
      </c>
      <c r="I47" s="3" t="n">
        <v>2.93267E-007</v>
      </c>
      <c r="K47" s="3" t="n">
        <v>6.21772E-006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I47" s="2" t="n">
        <f aca="false">(C47-$B47)*$A47</f>
        <v>-1.01484E-005</v>
      </c>
      <c r="AJ47" s="2" t="n">
        <f aca="false">(D47-$B47)*$A47</f>
        <v>2.033001E-005</v>
      </c>
      <c r="AK47" s="2" t="n">
        <f aca="false">(E47-$B47)*$A47</f>
        <v>2.13255E-007</v>
      </c>
      <c r="AL47" s="2" t="n">
        <f aca="false">(F47-$B47)*$A47</f>
        <v>4.026645E-006</v>
      </c>
      <c r="AM47" s="2" t="n">
        <f aca="false">(G47-$B47)*$A47</f>
        <v>-1.01484E-005</v>
      </c>
      <c r="AN47" s="2" t="n">
        <f aca="false">(H47-$B47)*$A47</f>
        <v>-3.90015E-006</v>
      </c>
      <c r="AO47" s="2" t="n">
        <f aca="false">(I47-$B47)*$A47</f>
        <v>3.048615E-006</v>
      </c>
      <c r="AP47" s="2" t="n">
        <f aca="false">(J47-$B47)*$A47</f>
        <v>-1.01484E-005</v>
      </c>
      <c r="AQ47" s="2" t="n">
        <f aca="false">(K47-$B47)*$A47</f>
        <v>0.000269649</v>
      </c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</row>
    <row r="48" customFormat="false" ht="13.8" hidden="false" customHeight="false" outlineLevel="0" collapsed="false">
      <c r="A48" s="1" t="n">
        <f aca="false">1+A47</f>
        <v>46</v>
      </c>
      <c r="D48" s="3" t="n">
        <v>2.25766E-007</v>
      </c>
      <c r="E48" s="3" t="n">
        <v>9.21035E-008</v>
      </c>
      <c r="F48" s="3" t="n">
        <v>1.80001E-007</v>
      </c>
      <c r="H48" s="3" t="n">
        <v>4.62833E-008</v>
      </c>
      <c r="I48" s="3" t="n">
        <v>1.46634E-007</v>
      </c>
      <c r="K48" s="3" t="n">
        <v>2.99199E-006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I48" s="2" t="n">
        <f aca="false">(C48-$B48)*$A48</f>
        <v>0</v>
      </c>
      <c r="AJ48" s="2" t="n">
        <f aca="false">(D48-$B48)*$A48</f>
        <v>1.0385236E-005</v>
      </c>
      <c r="AK48" s="2" t="n">
        <f aca="false">(E48-$B48)*$A48</f>
        <v>4.236761E-006</v>
      </c>
      <c r="AL48" s="2" t="n">
        <f aca="false">(F48-$B48)*$A48</f>
        <v>8.280046E-006</v>
      </c>
      <c r="AM48" s="2" t="n">
        <f aca="false">(G48-$B48)*$A48</f>
        <v>0</v>
      </c>
      <c r="AN48" s="2" t="n">
        <f aca="false">(H48-$B48)*$A48</f>
        <v>2.1290318E-006</v>
      </c>
      <c r="AO48" s="2" t="n">
        <f aca="false">(I48-$B48)*$A48</f>
        <v>6.745164E-006</v>
      </c>
      <c r="AP48" s="2" t="n">
        <f aca="false">(J48-$B48)*$A48</f>
        <v>0</v>
      </c>
      <c r="AQ48" s="2" t="n">
        <f aca="false">(K48-$B48)*$A48</f>
        <v>0.00013763154</v>
      </c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</row>
    <row r="49" customFormat="false" ht="13.8" hidden="false" customHeight="false" outlineLevel="0" collapsed="false">
      <c r="A49" s="1" t="n">
        <f aca="false">1+A48</f>
        <v>47</v>
      </c>
      <c r="D49" s="3" t="n">
        <v>9.03064E-008</v>
      </c>
      <c r="E49" s="3" t="n">
        <v>4.60517E-008</v>
      </c>
      <c r="F49" s="3" t="n">
        <v>9.00003E-008</v>
      </c>
      <c r="K49" s="3" t="n">
        <v>1.35574E-006</v>
      </c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I49" s="2" t="n">
        <f aca="false">(C49-$B49)*$A49</f>
        <v>0</v>
      </c>
      <c r="AJ49" s="2" t="n">
        <f aca="false">(D49-$B49)*$A49</f>
        <v>4.2444008E-006</v>
      </c>
      <c r="AK49" s="2" t="n">
        <f aca="false">(E49-$B49)*$A49</f>
        <v>2.1644299E-006</v>
      </c>
      <c r="AL49" s="2" t="n">
        <f aca="false">(F49-$B49)*$A49</f>
        <v>4.2300141E-006</v>
      </c>
      <c r="AM49" s="2" t="n">
        <f aca="false">(G49-$B49)*$A49</f>
        <v>0</v>
      </c>
      <c r="AN49" s="2" t="n">
        <f aca="false">(H49-$B49)*$A49</f>
        <v>0</v>
      </c>
      <c r="AO49" s="2" t="n">
        <f aca="false">(I49-$B49)*$A49</f>
        <v>0</v>
      </c>
      <c r="AP49" s="2" t="n">
        <f aca="false">(J49-$B49)*$A49</f>
        <v>0</v>
      </c>
      <c r="AQ49" s="2" t="n">
        <f aca="false">(K49-$B49)*$A49</f>
        <v>6.371978E-005</v>
      </c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</row>
    <row r="50" customFormat="false" ht="13.8" hidden="false" customHeight="false" outlineLevel="0" collapsed="false">
      <c r="A50" s="1" t="n">
        <f aca="false">1+A49</f>
        <v>48</v>
      </c>
      <c r="F50" s="3" t="n">
        <v>4.50001E-008</v>
      </c>
      <c r="K50" s="3" t="n">
        <v>8.41496E-007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I50" s="2" t="n">
        <f aca="false">(C50-$B50)*$A50</f>
        <v>0</v>
      </c>
      <c r="AJ50" s="2" t="n">
        <f aca="false">(D50-$B50)*$A50</f>
        <v>0</v>
      </c>
      <c r="AK50" s="2" t="n">
        <f aca="false">(E50-$B50)*$A50</f>
        <v>0</v>
      </c>
      <c r="AL50" s="2" t="n">
        <f aca="false">(F50-$B50)*$A50</f>
        <v>2.1600048E-006</v>
      </c>
      <c r="AM50" s="2" t="n">
        <f aca="false">(G50-$B50)*$A50</f>
        <v>0</v>
      </c>
      <c r="AN50" s="2" t="n">
        <f aca="false">(H50-$B50)*$A50</f>
        <v>0</v>
      </c>
      <c r="AO50" s="2" t="n">
        <f aca="false">(I50-$B50)*$A50</f>
        <v>0</v>
      </c>
      <c r="AP50" s="2" t="n">
        <f aca="false">(J50-$B50)*$A50</f>
        <v>0</v>
      </c>
      <c r="AQ50" s="2" t="n">
        <f aca="false">(K50-$B50)*$A50</f>
        <v>4.0391808E-005</v>
      </c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</row>
    <row r="51" customFormat="false" ht="13.8" hidden="false" customHeight="false" outlineLevel="0" collapsed="false">
      <c r="A51" s="1" t="n">
        <f aca="false">1+A50</f>
        <v>49</v>
      </c>
      <c r="K51" s="3" t="n">
        <v>3.27249E-007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I51" s="2" t="n">
        <f aca="false">(C51-$B51)*$A51</f>
        <v>0</v>
      </c>
      <c r="AJ51" s="2" t="n">
        <f aca="false">(D51-$B51)*$A51</f>
        <v>0</v>
      </c>
      <c r="AK51" s="2" t="n">
        <f aca="false">(E51-$B51)*$A51</f>
        <v>0</v>
      </c>
      <c r="AL51" s="2" t="n">
        <f aca="false">(F51-$B51)*$A51</f>
        <v>0</v>
      </c>
      <c r="AM51" s="2" t="n">
        <f aca="false">(G51-$B51)*$A51</f>
        <v>0</v>
      </c>
      <c r="AN51" s="2" t="n">
        <f aca="false">(H51-$B51)*$A51</f>
        <v>0</v>
      </c>
      <c r="AO51" s="2" t="n">
        <f aca="false">(I51-$B51)*$A51</f>
        <v>0</v>
      </c>
      <c r="AP51" s="2" t="n">
        <f aca="false">(J51-$B51)*$A51</f>
        <v>0</v>
      </c>
      <c r="AQ51" s="2" t="n">
        <f aca="false">(K51-$B51)*$A51</f>
        <v>1.6035201E-005</v>
      </c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</row>
    <row r="52" customFormat="false" ht="13.8" hidden="false" customHeight="false" outlineLevel="0" collapsed="false">
      <c r="A52" s="1" t="n">
        <f aca="false">1+A51</f>
        <v>50</v>
      </c>
      <c r="K52" s="3" t="n">
        <v>1.86999E-007</v>
      </c>
      <c r="AI52" s="2" t="n">
        <f aca="false">(C52-$B52)*$A52</f>
        <v>0</v>
      </c>
      <c r="AJ52" s="2" t="n">
        <f aca="false">(D52-$B52)*$A52</f>
        <v>0</v>
      </c>
      <c r="AK52" s="2" t="n">
        <f aca="false">(E52-$B52)*$A52</f>
        <v>0</v>
      </c>
      <c r="AL52" s="2" t="n">
        <f aca="false">(F52-$B52)*$A52</f>
        <v>0</v>
      </c>
      <c r="AM52" s="2" t="n">
        <f aca="false">(G52-$B52)*$A52</f>
        <v>0</v>
      </c>
      <c r="AN52" s="2" t="n">
        <f aca="false">(H52-$B52)*$A52</f>
        <v>0</v>
      </c>
      <c r="AO52" s="2" t="n">
        <f aca="false">(I52-$B52)*$A52</f>
        <v>0</v>
      </c>
      <c r="AP52" s="2" t="n">
        <f aca="false">(J52-$B52)*$A52</f>
        <v>0</v>
      </c>
      <c r="AQ52" s="2" t="n">
        <f aca="false">(K52-$B52)*$A52</f>
        <v>9.34995E-006</v>
      </c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</row>
    <row r="53" customFormat="false" ht="13.8" hidden="false" customHeight="false" outlineLevel="0" collapsed="false">
      <c r="A53" s="1" t="n">
        <f aca="false">1+A52</f>
        <v>51</v>
      </c>
      <c r="AI53" s="2" t="n">
        <f aca="false">(C53-$B53)*$A53</f>
        <v>0</v>
      </c>
      <c r="AJ53" s="2" t="n">
        <f aca="false">(D53-$B53)*$A53</f>
        <v>0</v>
      </c>
      <c r="AK53" s="2" t="n">
        <f aca="false">(E53-$B53)*$A53</f>
        <v>0</v>
      </c>
      <c r="AL53" s="2" t="n">
        <f aca="false">(F53-$B53)*$A53</f>
        <v>0</v>
      </c>
      <c r="AM53" s="2" t="n">
        <f aca="false">(G53-$B53)*$A53</f>
        <v>0</v>
      </c>
      <c r="AN53" s="2" t="n">
        <f aca="false">(H53-$B53)*$A53</f>
        <v>0</v>
      </c>
      <c r="AO53" s="2" t="n">
        <f aca="false">(I53-$B53)*$A53</f>
        <v>0</v>
      </c>
      <c r="AP53" s="2" t="n">
        <f aca="false">(J53-$B53)*$A53</f>
        <v>0</v>
      </c>
      <c r="AQ53" s="2" t="n">
        <f aca="false">(K53-$B53)*$A53</f>
        <v>0</v>
      </c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 t="n">
        <f aca="false">(D54-$B54)*$A54</f>
        <v>0</v>
      </c>
      <c r="AK54" s="2" t="n">
        <f aca="false">(E54-$B54)*$A54</f>
        <v>0</v>
      </c>
      <c r="AL54" s="2" t="n">
        <f aca="false">(F54-$B54)*$A54</f>
        <v>0</v>
      </c>
      <c r="AM54" s="2" t="n">
        <f aca="false">(G54-$B54)*$A54</f>
        <v>0</v>
      </c>
      <c r="AN54" s="2" t="n">
        <f aca="false">(H54-$B54)*$A54</f>
        <v>0</v>
      </c>
      <c r="AO54" s="2" t="n">
        <f aca="false">(I54-$B54)*$A54</f>
        <v>0</v>
      </c>
      <c r="AP54" s="2" t="n">
        <f aca="false">(J54-$B54)*$A54</f>
        <v>0</v>
      </c>
      <c r="AQ54" s="2" t="n">
        <f aca="false">(K54-$B54)*$A54</f>
        <v>0</v>
      </c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 t="n">
        <f aca="false">(D55-$B55)*$A55</f>
        <v>0</v>
      </c>
      <c r="AK55" s="2" t="n">
        <f aca="false">(E55-$B55)*$A55</f>
        <v>0</v>
      </c>
      <c r="AL55" s="2" t="n">
        <f aca="false">(F55-$B55)*$A55</f>
        <v>0</v>
      </c>
      <c r="AM55" s="2" t="n">
        <f aca="false">(G55-$B55)*$A55</f>
        <v>0</v>
      </c>
      <c r="AN55" s="2" t="n">
        <f aca="false">(H55-$B55)*$A55</f>
        <v>0</v>
      </c>
      <c r="AO55" s="2" t="n">
        <f aca="false">(I55-$B55)*$A55</f>
        <v>0</v>
      </c>
      <c r="AP55" s="2" t="n">
        <f aca="false">(J55-$B55)*$A55</f>
        <v>0</v>
      </c>
      <c r="AQ55" s="2" t="n">
        <f aca="false">(K55-$B55)*$A55</f>
        <v>0</v>
      </c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 t="n">
        <f aca="false">(D56-$B56)*$A56</f>
        <v>0</v>
      </c>
      <c r="AK56" s="2" t="n">
        <f aca="false">(E56-$B56)*$A56</f>
        <v>0</v>
      </c>
      <c r="AL56" s="2" t="n">
        <f aca="false">(F56-$B56)*$A56</f>
        <v>0</v>
      </c>
      <c r="AM56" s="2" t="n">
        <f aca="false">(G56-$B56)*$A56</f>
        <v>0</v>
      </c>
      <c r="AN56" s="2" t="n">
        <f aca="false">(H56-$B56)*$A56</f>
        <v>0</v>
      </c>
      <c r="AO56" s="2" t="n">
        <f aca="false">(I56-$B56)*$A56</f>
        <v>0</v>
      </c>
      <c r="AP56" s="2" t="n">
        <f aca="false">(J56-$B56)*$A56</f>
        <v>0</v>
      </c>
      <c r="AQ56" s="2" t="n">
        <f aca="false">(K56-$B56)*$A56</f>
        <v>0</v>
      </c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 t="n">
        <f aca="false">(D57-$B57)*$A57</f>
        <v>0</v>
      </c>
      <c r="AK57" s="2" t="n">
        <f aca="false">(E57-$B57)*$A57</f>
        <v>0</v>
      </c>
      <c r="AL57" s="2" t="n">
        <f aca="false">(F57-$B57)*$A57</f>
        <v>0</v>
      </c>
      <c r="AM57" s="2" t="n">
        <f aca="false">(G57-$B57)*$A57</f>
        <v>0</v>
      </c>
      <c r="AN57" s="2" t="n">
        <f aca="false">(H57-$B57)*$A57</f>
        <v>0</v>
      </c>
      <c r="AO57" s="2" t="n">
        <f aca="false">(I57-$B57)*$A57</f>
        <v>0</v>
      </c>
      <c r="AP57" s="2" t="n">
        <f aca="false">(J57-$B57)*$A57</f>
        <v>0</v>
      </c>
      <c r="AQ57" s="2" t="n">
        <f aca="false">(K57-$B57)*$A57</f>
        <v>0</v>
      </c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 t="n">
        <f aca="false">(D58-$B58)*$A58</f>
        <v>0</v>
      </c>
      <c r="AK58" s="2" t="n">
        <f aca="false">(E58-$B58)*$A58</f>
        <v>0</v>
      </c>
      <c r="AL58" s="2" t="n">
        <f aca="false">(F58-$B58)*$A58</f>
        <v>0</v>
      </c>
      <c r="AM58" s="2" t="n">
        <f aca="false">(G58-$B58)*$A58</f>
        <v>0</v>
      </c>
      <c r="AN58" s="2" t="n">
        <f aca="false">(H58-$B58)*$A58</f>
        <v>0</v>
      </c>
      <c r="AO58" s="2" t="n">
        <f aca="false">(I58-$B58)*$A58</f>
        <v>0</v>
      </c>
      <c r="AP58" s="2" t="n">
        <f aca="false">(J58-$B58)*$A58</f>
        <v>0</v>
      </c>
      <c r="AQ58" s="2" t="n">
        <f aca="false">(K58-$B58)*$A58</f>
        <v>0</v>
      </c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 t="n">
        <f aca="false">(D59-$B59)*$A59</f>
        <v>0</v>
      </c>
      <c r="AK59" s="2" t="n">
        <f aca="false">(E59-$B59)*$A59</f>
        <v>0</v>
      </c>
      <c r="AL59" s="2" t="n">
        <f aca="false">(F59-$B59)*$A59</f>
        <v>0</v>
      </c>
      <c r="AM59" s="2" t="n">
        <f aca="false">(G59-$B59)*$A59</f>
        <v>0</v>
      </c>
      <c r="AN59" s="2" t="n">
        <f aca="false">(H59-$B59)*$A59</f>
        <v>0</v>
      </c>
      <c r="AO59" s="2" t="n">
        <f aca="false">(I59-$B59)*$A59</f>
        <v>0</v>
      </c>
      <c r="AP59" s="2" t="n">
        <f aca="false">(J59-$B59)*$A59</f>
        <v>0</v>
      </c>
      <c r="AQ59" s="2" t="n">
        <f aca="false">(K59-$B59)*$A59</f>
        <v>0</v>
      </c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 t="n">
        <f aca="false">(D60-$B60)*$A60</f>
        <v>0</v>
      </c>
      <c r="AK60" s="2" t="n">
        <f aca="false">(E60-$B60)*$A60</f>
        <v>0</v>
      </c>
      <c r="AL60" s="2" t="n">
        <f aca="false">(F60-$B60)*$A60</f>
        <v>0</v>
      </c>
      <c r="AM60" s="2" t="n">
        <f aca="false">(G60-$B60)*$A60</f>
        <v>0</v>
      </c>
      <c r="AN60" s="2" t="n">
        <f aca="false">(H60-$B60)*$A60</f>
        <v>0</v>
      </c>
      <c r="AO60" s="2" t="n">
        <f aca="false">(I60-$B60)*$A60</f>
        <v>0</v>
      </c>
      <c r="AP60" s="2" t="n">
        <f aca="false">(J60-$B60)*$A60</f>
        <v>0</v>
      </c>
      <c r="AQ60" s="2" t="n">
        <f aca="false">(K60-$B60)*$A60</f>
        <v>0</v>
      </c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 t="n">
        <f aca="false">(D61-$B61)*$A61</f>
        <v>0</v>
      </c>
      <c r="AK61" s="2" t="n">
        <f aca="false">(E61-$B61)*$A61</f>
        <v>0</v>
      </c>
      <c r="AL61" s="2" t="n">
        <f aca="false">(F61-$B61)*$A61</f>
        <v>0</v>
      </c>
      <c r="AM61" s="2" t="n">
        <f aca="false">(G61-$B61)*$A61</f>
        <v>0</v>
      </c>
      <c r="AN61" s="2" t="n">
        <f aca="false">(H61-$B61)*$A61</f>
        <v>0</v>
      </c>
      <c r="AO61" s="2" t="n">
        <f aca="false">(I61-$B61)*$A61</f>
        <v>0</v>
      </c>
      <c r="AP61" s="2" t="n">
        <f aca="false">(J61-$B61)*$A61</f>
        <v>0</v>
      </c>
      <c r="AQ61" s="2" t="n">
        <f aca="false">(K61-$B61)*$A61</f>
        <v>0</v>
      </c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 t="n">
        <f aca="false">(D62-$B62)*$A62</f>
        <v>0</v>
      </c>
      <c r="AK62" s="2" t="n">
        <f aca="false">(E62-$B62)*$A62</f>
        <v>0</v>
      </c>
      <c r="AL62" s="2" t="n">
        <f aca="false">(F62-$B62)*$A62</f>
        <v>0</v>
      </c>
      <c r="AM62" s="2" t="n">
        <f aca="false">(G62-$B62)*$A62</f>
        <v>0</v>
      </c>
      <c r="AN62" s="2" t="n">
        <f aca="false">(H62-$B62)*$A62</f>
        <v>0</v>
      </c>
      <c r="AO62" s="2" t="n">
        <f aca="false">(I62-$B62)*$A62</f>
        <v>0</v>
      </c>
      <c r="AP62" s="2" t="n">
        <f aca="false">(J62-$B62)*$A62</f>
        <v>0</v>
      </c>
      <c r="AQ62" s="2" t="n">
        <f aca="false">(K62-$B62)*$A62</f>
        <v>0</v>
      </c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</row>
    <row r="63" customFormat="false" ht="13.8" hidden="false" customHeight="false" outlineLevel="0" collapsed="false">
      <c r="A63" s="1" t="n">
        <f aca="false">1+A62</f>
        <v>61</v>
      </c>
      <c r="B63" s="3"/>
      <c r="E63" s="3"/>
      <c r="F63" s="3"/>
      <c r="O63" s="3"/>
      <c r="P63" s="3"/>
      <c r="AI63" s="2" t="n">
        <f aca="false">(C63-$B63)*$A63</f>
        <v>0</v>
      </c>
      <c r="AJ63" s="2" t="n">
        <f aca="false">(D63-$B63)*$A63</f>
        <v>0</v>
      </c>
      <c r="AK63" s="2" t="n">
        <f aca="false">(E63-$B63)*$A63</f>
        <v>0</v>
      </c>
      <c r="AL63" s="2" t="n">
        <f aca="false">(F63-$B63)*$A63</f>
        <v>0</v>
      </c>
      <c r="AM63" s="2" t="n">
        <f aca="false">(G63-$B63)*$A63</f>
        <v>0</v>
      </c>
      <c r="AN63" s="2" t="n">
        <f aca="false">(H63-$B63)*$A63</f>
        <v>0</v>
      </c>
      <c r="AO63" s="2" t="n">
        <f aca="false">(I63-$B63)*$A63</f>
        <v>0</v>
      </c>
      <c r="AP63" s="2" t="n">
        <f aca="false">(J63-$B63)*$A63</f>
        <v>0</v>
      </c>
      <c r="AQ63" s="2" t="n">
        <f aca="false">(K63-$B63)*$A63</f>
        <v>0</v>
      </c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</row>
    <row r="64" customFormat="false" ht="13.8" hidden="false" customHeight="false" outlineLevel="0" collapsed="false">
      <c r="A64" s="1" t="n">
        <f aca="false">1+A63</f>
        <v>62</v>
      </c>
      <c r="B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 t="n">
        <f aca="false">(D64-$B64)*$A64</f>
        <v>0</v>
      </c>
      <c r="AK64" s="2" t="n">
        <f aca="false">(E64-$B64)*$A64</f>
        <v>0</v>
      </c>
      <c r="AL64" s="2" t="n">
        <f aca="false">(F64-$B64)*$A64</f>
        <v>0</v>
      </c>
      <c r="AM64" s="2" t="n">
        <f aca="false">(G64-$B64)*$A64</f>
        <v>0</v>
      </c>
      <c r="AN64" s="2" t="n">
        <f aca="false">(H64-$B64)*$A64</f>
        <v>0</v>
      </c>
      <c r="AO64" s="2" t="n">
        <f aca="false">(I64-$B64)*$A64</f>
        <v>0</v>
      </c>
      <c r="AP64" s="2" t="n">
        <f aca="false">(J64-$B64)*$A64</f>
        <v>0</v>
      </c>
      <c r="AQ64" s="2" t="n">
        <f aca="false">(K64-$B64)*$A64</f>
        <v>0</v>
      </c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</row>
    <row r="65" customFormat="false" ht="13.8" hidden="false" customHeight="false" outlineLevel="0" collapsed="false">
      <c r="A65" s="1" t="n">
        <f aca="false">1+A64</f>
        <v>63</v>
      </c>
      <c r="B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 t="n">
        <f aca="false">(D65-$B65)*$A65</f>
        <v>0</v>
      </c>
      <c r="AK65" s="2" t="n">
        <f aca="false">(E65-$B65)*$A65</f>
        <v>0</v>
      </c>
      <c r="AL65" s="2" t="n">
        <f aca="false">(F65-$B65)*$A65</f>
        <v>0</v>
      </c>
      <c r="AM65" s="2" t="n">
        <f aca="false">(G65-$B65)*$A65</f>
        <v>0</v>
      </c>
      <c r="AN65" s="2" t="n">
        <f aca="false">(H65-$B65)*$A65</f>
        <v>0</v>
      </c>
      <c r="AO65" s="2" t="n">
        <f aca="false">(I65-$B65)*$A65</f>
        <v>0</v>
      </c>
      <c r="AP65" s="2" t="n">
        <f aca="false">(J65-$B65)*$A65</f>
        <v>0</v>
      </c>
      <c r="AQ65" s="2" t="n">
        <f aca="false">(K65-$B65)*$A65</f>
        <v>0</v>
      </c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true" showOutlineSymbols="true" defaultGridColor="true" view="normal" topLeftCell="BH1" colorId="64" zoomScale="100" zoomScaleNormal="100" zoomScalePageLayoutView="100" workbookViewId="0">
      <selection pane="topLeft" activeCell="AV1" activeCellId="0" sqref="AV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7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8" min="14" style="1" width="12.15"/>
    <col collapsed="false" customWidth="true" hidden="false" outlineLevel="0" max="16384" min="16374" style="0" width="11.53"/>
  </cols>
  <sheetData>
    <row r="1" customFormat="false" ht="13.8" hidden="false" customHeight="false" outlineLevel="0" collapsed="false">
      <c r="A1" s="1" t="s">
        <v>0</v>
      </c>
      <c r="B1" s="1" t="str">
        <f aca="false">"master(3pp-net)="  &amp; SUMPRODUCT($A2:$A65,B2:B65)/100</f>
        <v>master(3pp-net)=2,61718361969143</v>
      </c>
      <c r="C1" s="1" t="str">
        <f aca="false">"w+128cap="&amp; SUMPRODUCT($A2:$A65,C2:C65)/100-SUMPRODUCT($A2:$A65,$B2:$B65)/100</f>
        <v>w+128cap=-0,0205460148952299</v>
      </c>
      <c r="D1" s="1" t="str">
        <f aca="false">"w+128ncap="&amp; SUMPRODUCT($A2:$A65,D2:D65)/100-SUMPRODUCT($A2:$A65,$B2:$B65)/100</f>
        <v>w+128ncap=-0,0243987147568796</v>
      </c>
      <c r="E1" s="1" t="str">
        <f aca="false">"w+128="&amp; SUMPRODUCT($A2:$A65,E2:E65)/100-SUMPRODUCT($A2:$A65,$B2:$B65)/100</f>
        <v>w+128=-0,00895402385923028</v>
      </c>
      <c r="F1" s="1" t="str">
        <f aca="false">"w+64="&amp; SUMPRODUCT($A2:$A65,F2:F65)/100-SUMPRODUCT($A2:$A65,$B2:$B65)/100</f>
        <v>w+64=-0,00630822696203026</v>
      </c>
      <c r="G1" s="1" t="str">
        <f aca="false">"w+64cap="&amp; SUMPRODUCT($A2:$A65,G2:G65)/100-SUMPRODUCT($A2:$A65,$B2:$B65)/100</f>
        <v>w+64cap=0,00433362291091965</v>
      </c>
      <c r="H1" s="1" t="str">
        <f aca="false">"w+64ncap="&amp; SUMPRODUCT($A2:$A65,H2:H65)/100-SUMPRODUCT($A2:$A65,$B2:$B65)/100</f>
        <v>w+64ncap=-0,0103818530642603</v>
      </c>
      <c r="I1" s="1" t="str">
        <f aca="false">"w+256="&amp; SUMPRODUCT($A2:$A65,I2:I65)/100-SUMPRODUCT($A2:$A65,$B2:$B65)/100</f>
        <v>w+256=-0,00228393041070962</v>
      </c>
      <c r="J1" s="1" t="str">
        <f aca="false">"w+256cap="&amp; SUMPRODUCT($A2:$A65,J2:J65)/100-SUMPRODUCT($A2:$A65,$B2:$B65)/100</f>
        <v>w+256cap=-0,00102896052276025</v>
      </c>
      <c r="K1" s="1" t="str">
        <f aca="false">"w+256ncap="&amp; SUMPRODUCT($A2:$A65,K2:K65)/100-SUMPRODUCT($A2:$A65,$B2:$B65)/100</f>
        <v>w+256ncap=-0,000845453650609507</v>
      </c>
      <c r="L1" s="1" t="str">
        <f aca="false">"w+32="&amp; SUMPRODUCT($A2:$A65,L2:L65)/100-SUMPRODUCT($A2:$A65,$B2:$B65)/100</f>
        <v>w+32=-0,00715680710879019</v>
      </c>
      <c r="M1" s="1" t="str">
        <f aca="false">"w+32cap="&amp; SUMPRODUCT($A2:$A65,M2:M65)/100-SUMPRODUCT($A2:$A65,$B2:$B65)/100</f>
        <v>w+32cap=-0,0127733109221295</v>
      </c>
      <c r="N1" s="1" t="str">
        <f aca="false">"w+32ncap="&amp; SUMPRODUCT($A2:$A65,N2:N65)/100-SUMPRODUCT($A2:$A65,$B2:$B65)/100</f>
        <v>w+32ncap=-0,0121037452993997</v>
      </c>
      <c r="O1" s="1" t="str">
        <f aca="false">"w+89ncap-83="&amp; SUMPRODUCT($A2:$A65,O2:O65)/100-SUMPRODUCT($A2:$A65,$B2:$B65)/100</f>
        <v>w+89ncap-83=0,01125664447942</v>
      </c>
      <c r="P1" s="1" t="str">
        <f aca="false">"w+124cap-9="&amp; SUMPRODUCT($A2:$A65,P2:P65)/100-SUMPRODUCT($A2:$A65,$B2:$B65)/100</f>
        <v>w+124cap-9=-0,0224104296227798</v>
      </c>
      <c r="AI1" s="1" t="str">
        <f aca="false">C1</f>
        <v>w+128cap=-0,0205460148952299</v>
      </c>
      <c r="AJ1" s="1" t="str">
        <f aca="false">D1</f>
        <v>w+128ncap=-0,0243987147568796</v>
      </c>
      <c r="AK1" s="1" t="str">
        <f aca="false">E1</f>
        <v>w+128=-0,00895402385923028</v>
      </c>
      <c r="AL1" s="1" t="str">
        <f aca="false">F1</f>
        <v>w+64=-0,00630822696203026</v>
      </c>
      <c r="AM1" s="1" t="str">
        <f aca="false">G1</f>
        <v>w+64cap=0,00433362291091965</v>
      </c>
      <c r="AN1" s="1" t="str">
        <f aca="false">H1</f>
        <v>w+64ncap=-0,0103818530642603</v>
      </c>
      <c r="AO1" s="1" t="str">
        <f aca="false">I1</f>
        <v>w+256=-0,00228393041070962</v>
      </c>
      <c r="AP1" s="1" t="str">
        <f aca="false">J1</f>
        <v>w+256cap=-0,00102896052276025</v>
      </c>
      <c r="AQ1" s="1" t="str">
        <f aca="false">K1</f>
        <v>w+256ncap=-0,000845453650609507</v>
      </c>
      <c r="AR1" s="1" t="str">
        <f aca="false">L1</f>
        <v>w+32=-0,00715680710879019</v>
      </c>
      <c r="AS1" s="1" t="str">
        <f aca="false">M1</f>
        <v>w+32cap=-0,0127733109221295</v>
      </c>
      <c r="AT1" s="1" t="str">
        <f aca="false">N1</f>
        <v>w+32ncap=-0,0121037452993997</v>
      </c>
      <c r="AU1" s="1" t="str">
        <f aca="false">O1</f>
        <v>w+89ncap-83=0,01125664447942</v>
      </c>
      <c r="AV1" s="1" t="str">
        <f aca="false">P1</f>
        <v>w+124cap-9=-0,0224104296227798</v>
      </c>
      <c r="AW1" s="1" t="n">
        <f aca="false">Q1</f>
        <v>0</v>
      </c>
      <c r="AX1" s="1" t="n">
        <f aca="false">R1</f>
        <v>0</v>
      </c>
      <c r="AY1" s="1" t="n">
        <f aca="false">S1</f>
        <v>0</v>
      </c>
      <c r="AZ1" s="1" t="n">
        <f aca="false">T1</f>
        <v>0</v>
      </c>
      <c r="BA1" s="1" t="n">
        <f aca="false">U1</f>
        <v>0</v>
      </c>
      <c r="BB1" s="1" t="n">
        <f aca="false">V1</f>
        <v>0</v>
      </c>
      <c r="BC1" s="1" t="n">
        <f aca="false">W1</f>
        <v>0</v>
      </c>
      <c r="BD1" s="1" t="n">
        <f aca="false">X1</f>
        <v>0</v>
      </c>
      <c r="BE1" s="1" t="n">
        <f aca="false">Y1</f>
        <v>0</v>
      </c>
      <c r="BF1" s="1" t="n">
        <f aca="false">Z1</f>
        <v>0</v>
      </c>
      <c r="BG1" s="1" t="n">
        <f aca="false">AA1</f>
        <v>0</v>
      </c>
      <c r="BH1" s="1" t="n">
        <f aca="false">AB1</f>
        <v>0</v>
      </c>
      <c r="BI1" s="1" t="n">
        <f aca="false">AC1</f>
        <v>0</v>
      </c>
      <c r="BJ1" s="1" t="n">
        <f aca="false">AD1</f>
        <v>0</v>
      </c>
      <c r="BK1" s="1" t="n">
        <f aca="false">AE1</f>
        <v>0</v>
      </c>
      <c r="BL1" s="1" t="n">
        <f aca="false">AF1</f>
        <v>0</v>
      </c>
      <c r="BM1" s="1" t="n">
        <f aca="false">AG1</f>
        <v>0</v>
      </c>
    </row>
    <row r="2" customFormat="false" ht="13.8" hidden="false" customHeight="false" outlineLevel="0" collapsed="false">
      <c r="A2" s="1" t="n">
        <v>0</v>
      </c>
      <c r="B2" s="1" t="n">
        <v>26.7852</v>
      </c>
      <c r="C2" s="1" t="n">
        <v>26.859</v>
      </c>
      <c r="D2" s="1" t="n">
        <v>26.8052</v>
      </c>
      <c r="E2" s="1" t="n">
        <v>26.6322</v>
      </c>
      <c r="F2" s="1" t="n">
        <v>26.8233</v>
      </c>
      <c r="G2" s="1" t="n">
        <v>26.7201</v>
      </c>
      <c r="H2" s="1" t="n">
        <v>26.8691</v>
      </c>
      <c r="I2" s="1" t="n">
        <v>26.7468</v>
      </c>
      <c r="J2" s="1" t="n">
        <v>26.7511</v>
      </c>
      <c r="K2" s="1" t="n">
        <v>26.6838</v>
      </c>
      <c r="L2" s="1" t="n">
        <v>26.6946</v>
      </c>
      <c r="M2" s="1" t="n">
        <v>26.7724</v>
      </c>
      <c r="N2" s="1" t="n">
        <v>26.6743</v>
      </c>
      <c r="O2" s="1" t="n">
        <v>26.6891</v>
      </c>
      <c r="P2" s="1" t="n">
        <v>26.8278</v>
      </c>
      <c r="AH2" s="2"/>
      <c r="AI2" s="2" t="n">
        <f aca="false">(C2-$B2)*$A2</f>
        <v>0</v>
      </c>
      <c r="AJ2" s="2" t="n">
        <f aca="false">(D2-$B2)*$A2</f>
        <v>0</v>
      </c>
      <c r="AK2" s="2" t="n">
        <f aca="false">(E2-$B2)*$A2</f>
        <v>-0</v>
      </c>
      <c r="AL2" s="2" t="n">
        <f aca="false">(F2-$B2)*$A2</f>
        <v>0</v>
      </c>
      <c r="AM2" s="2" t="n">
        <f aca="false">(G2-$B2)*$A2</f>
        <v>-0</v>
      </c>
      <c r="AN2" s="2" t="n">
        <f aca="false">(H2-$B2)*$A2</f>
        <v>0</v>
      </c>
      <c r="AO2" s="2" t="n">
        <f aca="false">(I2-$B2)*$A2</f>
        <v>-0</v>
      </c>
      <c r="AP2" s="2" t="n">
        <f aca="false">(J2-$B2)*$A2</f>
        <v>-0</v>
      </c>
      <c r="AQ2" s="2" t="n">
        <f aca="false">(K2-$B2)*$A2</f>
        <v>-0</v>
      </c>
      <c r="AR2" s="2" t="n">
        <f aca="false">(L2-$B2)*$A2</f>
        <v>-0</v>
      </c>
      <c r="AS2" s="2" t="n">
        <f aca="false">(M2-$B2)*$A2</f>
        <v>-0</v>
      </c>
      <c r="AT2" s="2" t="n">
        <f aca="false">(N2-$B2)*$A2</f>
        <v>-0</v>
      </c>
      <c r="AU2" s="2" t="n">
        <f aca="false">(O2-$B2)*$A2</f>
        <v>-0</v>
      </c>
      <c r="AV2" s="2" t="n">
        <f aca="false">(P2-$B2)*$A2</f>
        <v>0</v>
      </c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</row>
    <row r="3" customFormat="false" ht="13.8" hidden="false" customHeight="false" outlineLevel="0" collapsed="false">
      <c r="A3" s="1" t="n">
        <f aca="false">1+A2</f>
        <v>1</v>
      </c>
      <c r="B3" s="1" t="n">
        <v>29.9426</v>
      </c>
      <c r="C3" s="1" t="n">
        <v>30.2631</v>
      </c>
      <c r="D3" s="1" t="n">
        <v>30.627</v>
      </c>
      <c r="E3" s="1" t="n">
        <v>30.5966</v>
      </c>
      <c r="F3" s="1" t="n">
        <v>30.2971</v>
      </c>
      <c r="G3" s="1" t="n">
        <v>29.9805</v>
      </c>
      <c r="H3" s="1" t="n">
        <v>30.3343</v>
      </c>
      <c r="I3" s="1" t="n">
        <v>30.9453</v>
      </c>
      <c r="J3" s="1" t="n">
        <v>30.063</v>
      </c>
      <c r="K3" s="1" t="n">
        <v>30.8266</v>
      </c>
      <c r="L3" s="1" t="n">
        <v>30.2056</v>
      </c>
      <c r="M3" s="1" t="n">
        <v>30.1</v>
      </c>
      <c r="N3" s="1" t="n">
        <v>30.2087</v>
      </c>
      <c r="O3" s="1" t="n">
        <v>29.8283</v>
      </c>
      <c r="P3" s="1" t="n">
        <v>30.2123</v>
      </c>
      <c r="AH3" s="2"/>
      <c r="AI3" s="2" t="n">
        <f aca="false">(C3-$B3)*$A3</f>
        <v>0.320500000000003</v>
      </c>
      <c r="AJ3" s="2" t="n">
        <f aca="false">(D3-$B3)*$A3</f>
        <v>0.6844</v>
      </c>
      <c r="AK3" s="2" t="n">
        <f aca="false">(E3-$B3)*$A3</f>
        <v>0.654</v>
      </c>
      <c r="AL3" s="2" t="n">
        <f aca="false">(F3-$B3)*$A3</f>
        <v>0.354500000000002</v>
      </c>
      <c r="AM3" s="2" t="n">
        <f aca="false">(G3-$B3)*$A3</f>
        <v>0.0379000000000005</v>
      </c>
      <c r="AN3" s="2" t="n">
        <f aca="false">(H3-$B3)*$A3</f>
        <v>0.3917</v>
      </c>
      <c r="AO3" s="2" t="n">
        <f aca="false">(I3-$B3)*$A3</f>
        <v>1.0027</v>
      </c>
      <c r="AP3" s="2" t="n">
        <f aca="false">(J3-$B3)*$A3</f>
        <v>0.1204</v>
      </c>
      <c r="AQ3" s="2" t="n">
        <f aca="false">(K3-$B3)*$A3</f>
        <v>0.884</v>
      </c>
      <c r="AR3" s="2" t="n">
        <f aca="false">(L3-$B3)*$A3</f>
        <v>0.263000000000002</v>
      </c>
      <c r="AS3" s="2" t="n">
        <f aca="false">(M3-$B3)*$A3</f>
        <v>0.157400000000003</v>
      </c>
      <c r="AT3" s="2" t="n">
        <f aca="false">(N3-$B3)*$A3</f>
        <v>0.266100000000002</v>
      </c>
      <c r="AU3" s="2" t="n">
        <f aca="false">(O3-$B3)*$A3</f>
        <v>-0.1143</v>
      </c>
      <c r="AV3" s="2" t="n">
        <f aca="false">(P3-$B3)*$A3</f>
        <v>0.2697</v>
      </c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</row>
    <row r="4" customFormat="false" ht="13.8" hidden="false" customHeight="false" outlineLevel="0" collapsed="false">
      <c r="A4" s="1" t="n">
        <f aca="false">1+A3</f>
        <v>2</v>
      </c>
      <c r="B4" s="1" t="n">
        <v>8.57041</v>
      </c>
      <c r="C4" s="1" t="n">
        <v>8.51072</v>
      </c>
      <c r="D4" s="1" t="n">
        <v>8.35996</v>
      </c>
      <c r="E4" s="1" t="n">
        <v>8.38952</v>
      </c>
      <c r="F4" s="1" t="n">
        <v>8.41772</v>
      </c>
      <c r="G4" s="1" t="n">
        <v>8.56573</v>
      </c>
      <c r="H4" s="1" t="n">
        <v>8.41326</v>
      </c>
      <c r="I4" s="1" t="n">
        <v>8.1138</v>
      </c>
      <c r="J4" s="1" t="n">
        <v>8.52961</v>
      </c>
      <c r="K4" s="1" t="n">
        <v>8.17584</v>
      </c>
      <c r="L4" s="1" t="n">
        <v>8.5251</v>
      </c>
      <c r="M4" s="1" t="n">
        <v>8.58061</v>
      </c>
      <c r="N4" s="1" t="n">
        <v>8.53727</v>
      </c>
      <c r="O4" s="1" t="n">
        <v>8.58867</v>
      </c>
      <c r="P4" s="1" t="n">
        <v>8.56097</v>
      </c>
      <c r="AH4" s="2"/>
      <c r="AI4" s="2" t="n">
        <f aca="false">(C4-$B4)*$A4</f>
        <v>-0.119380000000003</v>
      </c>
      <c r="AJ4" s="2" t="n">
        <f aca="false">(D4-$B4)*$A4</f>
        <v>-0.420900000000003</v>
      </c>
      <c r="AK4" s="2" t="n">
        <f aca="false">(E4-$B4)*$A4</f>
        <v>-0.361780000000003</v>
      </c>
      <c r="AL4" s="2" t="n">
        <f aca="false">(F4-$B4)*$A4</f>
        <v>-0.305380000000003</v>
      </c>
      <c r="AM4" s="2" t="n">
        <f aca="false">(G4-$B4)*$A4</f>
        <v>-0.00936000000000092</v>
      </c>
      <c r="AN4" s="2" t="n">
        <f aca="false">(H4-$B4)*$A4</f>
        <v>-0.314300000000003</v>
      </c>
      <c r="AO4" s="2" t="n">
        <f aca="false">(I4-$B4)*$A4</f>
        <v>-0.913220000000003</v>
      </c>
      <c r="AP4" s="2" t="n">
        <f aca="false">(J4-$B4)*$A4</f>
        <v>-0.0816000000000017</v>
      </c>
      <c r="AQ4" s="2" t="n">
        <f aca="false">(K4-$B4)*$A4</f>
        <v>-0.78914</v>
      </c>
      <c r="AR4" s="2" t="n">
        <f aca="false">(L4-$B4)*$A4</f>
        <v>-0.0906200000000013</v>
      </c>
      <c r="AS4" s="2" t="n">
        <f aca="false">(M4-$B4)*$A4</f>
        <v>0.0203999999999986</v>
      </c>
      <c r="AT4" s="2" t="n">
        <f aca="false">(N4-$B4)*$A4</f>
        <v>-0.0662800000000026</v>
      </c>
      <c r="AU4" s="2" t="n">
        <f aca="false">(O4-$B4)*$A4</f>
        <v>0.0365199999999994</v>
      </c>
      <c r="AV4" s="2" t="n">
        <f aca="false">(P4-$B4)*$A4</f>
        <v>-0.0188800000000029</v>
      </c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</row>
    <row r="5" customFormat="false" ht="13.8" hidden="false" customHeight="false" outlineLevel="0" collapsed="false">
      <c r="A5" s="1" t="n">
        <f aca="false">1+A4</f>
        <v>3</v>
      </c>
      <c r="B5" s="1" t="n">
        <v>7.61465</v>
      </c>
      <c r="C5" s="1" t="n">
        <v>7.56284</v>
      </c>
      <c r="D5" s="1" t="n">
        <v>7.48125</v>
      </c>
      <c r="E5" s="1" t="n">
        <v>7.50602</v>
      </c>
      <c r="F5" s="1" t="n">
        <v>7.51122</v>
      </c>
      <c r="G5" s="1" t="n">
        <v>7.6152</v>
      </c>
      <c r="H5" s="1" t="n">
        <v>7.50527</v>
      </c>
      <c r="I5" s="1" t="n">
        <v>7.34036</v>
      </c>
      <c r="J5" s="1" t="n">
        <v>7.59473</v>
      </c>
      <c r="K5" s="1" t="n">
        <v>7.38385</v>
      </c>
      <c r="L5" s="1" t="n">
        <v>7.5926</v>
      </c>
      <c r="M5" s="1" t="n">
        <v>7.60709</v>
      </c>
      <c r="N5" s="1" t="n">
        <v>7.59444</v>
      </c>
      <c r="O5" s="1" t="n">
        <v>7.63965</v>
      </c>
      <c r="P5" s="1" t="n">
        <v>7.59466</v>
      </c>
      <c r="AH5" s="2"/>
      <c r="AI5" s="2" t="n">
        <f aca="false">(C5-$B5)*$A5</f>
        <v>-0.155430000000002</v>
      </c>
      <c r="AJ5" s="2" t="n">
        <f aca="false">(D5-$B5)*$A5</f>
        <v>-0.4002</v>
      </c>
      <c r="AK5" s="2" t="n">
        <f aca="false">(E5-$B5)*$A5</f>
        <v>-0.325889999999999</v>
      </c>
      <c r="AL5" s="2" t="n">
        <f aca="false">(F5-$B5)*$A5</f>
        <v>-0.310290000000001</v>
      </c>
      <c r="AM5" s="2" t="n">
        <f aca="false">(G5-$B5)*$A5</f>
        <v>0.00164999999999882</v>
      </c>
      <c r="AN5" s="2" t="n">
        <f aca="false">(H5-$B5)*$A5</f>
        <v>-0.328139999999999</v>
      </c>
      <c r="AO5" s="2" t="n">
        <f aca="false">(I5-$B5)*$A5</f>
        <v>-0.822869999999999</v>
      </c>
      <c r="AP5" s="2" t="n">
        <f aca="false">(J5-$B5)*$A5</f>
        <v>-0.0597599999999998</v>
      </c>
      <c r="AQ5" s="2" t="n">
        <f aca="false">(K5-$B5)*$A5</f>
        <v>-0.692400000000001</v>
      </c>
      <c r="AR5" s="2" t="n">
        <f aca="false">(L5-$B5)*$A5</f>
        <v>-0.0661500000000004</v>
      </c>
      <c r="AS5" s="2" t="n">
        <f aca="false">(M5-$B5)*$A5</f>
        <v>-0.0226799999999994</v>
      </c>
      <c r="AT5" s="2" t="n">
        <f aca="false">(N5-$B5)*$A5</f>
        <v>-0.0606300000000015</v>
      </c>
      <c r="AU5" s="2" t="n">
        <f aca="false">(O5-$B5)*$A5</f>
        <v>0.0749999999999984</v>
      </c>
      <c r="AV5" s="2" t="n">
        <f aca="false">(P5-$B5)*$A5</f>
        <v>-0.0599699999999999</v>
      </c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</row>
    <row r="6" customFormat="false" ht="13.8" hidden="false" customHeight="false" outlineLevel="0" collapsed="false">
      <c r="A6" s="1" t="n">
        <f aca="false">1+A5</f>
        <v>4</v>
      </c>
      <c r="B6" s="1" t="n">
        <v>6.19225</v>
      </c>
      <c r="C6" s="1" t="n">
        <v>6.14466</v>
      </c>
      <c r="D6" s="1" t="n">
        <v>6.10723</v>
      </c>
      <c r="E6" s="1" t="n">
        <v>6.12985</v>
      </c>
      <c r="F6" s="1" t="n">
        <v>6.13222</v>
      </c>
      <c r="G6" s="1" t="n">
        <v>6.19259</v>
      </c>
      <c r="H6" s="1" t="n">
        <v>6.12423</v>
      </c>
      <c r="I6" s="1" t="n">
        <v>6.03578</v>
      </c>
      <c r="J6" s="1" t="n">
        <v>6.17701</v>
      </c>
      <c r="K6" s="1" t="n">
        <v>6.0712</v>
      </c>
      <c r="L6" s="1" t="n">
        <v>6.18921</v>
      </c>
      <c r="M6" s="1" t="n">
        <v>6.18329</v>
      </c>
      <c r="N6" s="1" t="n">
        <v>6.20219</v>
      </c>
      <c r="O6" s="1" t="n">
        <v>6.22899</v>
      </c>
      <c r="P6" s="1" t="n">
        <v>6.1658</v>
      </c>
      <c r="AH6" s="2"/>
      <c r="AI6" s="2" t="n">
        <f aca="false">(C6-$B6)*$A6</f>
        <v>-0.190359999999998</v>
      </c>
      <c r="AJ6" s="2" t="n">
        <f aca="false">(D6-$B6)*$A6</f>
        <v>-0.340079999999997</v>
      </c>
      <c r="AK6" s="2" t="n">
        <f aca="false">(E6-$B6)*$A6</f>
        <v>-0.249599999999997</v>
      </c>
      <c r="AL6" s="2" t="n">
        <f aca="false">(F6-$B6)*$A6</f>
        <v>-0.240119999999997</v>
      </c>
      <c r="AM6" s="2" t="n">
        <f aca="false">(G6-$B6)*$A6</f>
        <v>0.0013600000000018</v>
      </c>
      <c r="AN6" s="2" t="n">
        <f aca="false">(H6-$B6)*$A6</f>
        <v>-0.272079999999999</v>
      </c>
      <c r="AO6" s="2" t="n">
        <f aca="false">(I6-$B6)*$A6</f>
        <v>-0.625879999999999</v>
      </c>
      <c r="AP6" s="2" t="n">
        <f aca="false">(J6-$B6)*$A6</f>
        <v>-0.0609599999999979</v>
      </c>
      <c r="AQ6" s="2" t="n">
        <f aca="false">(K6-$B6)*$A6</f>
        <v>-0.484199999999998</v>
      </c>
      <c r="AR6" s="2" t="n">
        <f aca="false">(L6-$B6)*$A6</f>
        <v>-0.012159999999998</v>
      </c>
      <c r="AS6" s="2" t="n">
        <f aca="false">(M6-$B6)*$A6</f>
        <v>-0.0358399999999968</v>
      </c>
      <c r="AT6" s="2" t="n">
        <f aca="false">(N6-$B6)*$A6</f>
        <v>0.0397600000000011</v>
      </c>
      <c r="AU6" s="2" t="n">
        <f aca="false">(O6-$B6)*$A6</f>
        <v>0.14696</v>
      </c>
      <c r="AV6" s="2" t="n">
        <f aca="false">(P6-$B6)*$A6</f>
        <v>-0.105799999999999</v>
      </c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</row>
    <row r="7" customFormat="false" ht="13.8" hidden="false" customHeight="false" outlineLevel="0" collapsed="false">
      <c r="A7" s="1" t="n">
        <f aca="false">1+A6</f>
        <v>5</v>
      </c>
      <c r="B7" s="1" t="n">
        <v>4.6419</v>
      </c>
      <c r="C7" s="1" t="n">
        <v>4.59679</v>
      </c>
      <c r="D7" s="1" t="n">
        <v>4.57861</v>
      </c>
      <c r="E7" s="1" t="n">
        <v>4.59032</v>
      </c>
      <c r="F7" s="1" t="n">
        <v>4.60464</v>
      </c>
      <c r="G7" s="1" t="n">
        <v>4.63583</v>
      </c>
      <c r="H7" s="1" t="n">
        <v>4.59378</v>
      </c>
      <c r="I7" s="1" t="n">
        <v>4.5487</v>
      </c>
      <c r="J7" s="1" t="n">
        <v>4.62862</v>
      </c>
      <c r="K7" s="1" t="n">
        <v>4.57343</v>
      </c>
      <c r="L7" s="1" t="n">
        <v>4.63074</v>
      </c>
      <c r="M7" s="1" t="n">
        <v>4.62968</v>
      </c>
      <c r="N7" s="1" t="n">
        <v>4.64211</v>
      </c>
      <c r="O7" s="1" t="n">
        <v>4.67155</v>
      </c>
      <c r="P7" s="1" t="n">
        <v>4.60662</v>
      </c>
      <c r="AH7" s="2"/>
      <c r="AI7" s="2" t="n">
        <f aca="false">(C7-$B7)*$A7</f>
        <v>-0.225549999999997</v>
      </c>
      <c r="AJ7" s="2" t="n">
        <f aca="false">(D7-$B7)*$A7</f>
        <v>-0.316449999999997</v>
      </c>
      <c r="AK7" s="2" t="n">
        <f aca="false">(E7-$B7)*$A7</f>
        <v>-0.257899999999998</v>
      </c>
      <c r="AL7" s="2" t="n">
        <f aca="false">(F7-$B7)*$A7</f>
        <v>-0.186299999999999</v>
      </c>
      <c r="AM7" s="2" t="n">
        <f aca="false">(G7-$B7)*$A7</f>
        <v>-0.0303499999999968</v>
      </c>
      <c r="AN7" s="2" t="n">
        <f aca="false">(H7-$B7)*$A7</f>
        <v>-0.2406</v>
      </c>
      <c r="AO7" s="2" t="n">
        <f aca="false">(I7-$B7)*$A7</f>
        <v>-0.465999999999998</v>
      </c>
      <c r="AP7" s="2" t="n">
        <f aca="false">(J7-$B7)*$A7</f>
        <v>-0.0663999999999998</v>
      </c>
      <c r="AQ7" s="2" t="n">
        <f aca="false">(K7-$B7)*$A7</f>
        <v>-0.342349999999998</v>
      </c>
      <c r="AR7" s="2" t="n">
        <f aca="false">(L7-$B7)*$A7</f>
        <v>-0.055799999999997</v>
      </c>
      <c r="AS7" s="2" t="n">
        <f aca="false">(M7-$B7)*$A7</f>
        <v>-0.0611000000000006</v>
      </c>
      <c r="AT7" s="2" t="n">
        <f aca="false">(N7-$B7)*$A7</f>
        <v>0.00105000000000022</v>
      </c>
      <c r="AU7" s="2" t="n">
        <f aca="false">(O7-$B7)*$A7</f>
        <v>0.148250000000001</v>
      </c>
      <c r="AV7" s="2" t="n">
        <f aca="false">(P7-$B7)*$A7</f>
        <v>-0.176399999999997</v>
      </c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</row>
    <row r="8" customFormat="false" ht="13.8" hidden="false" customHeight="false" outlineLevel="0" collapsed="false">
      <c r="A8" s="1" t="n">
        <f aca="false">1+A7</f>
        <v>6</v>
      </c>
      <c r="B8" s="1" t="n">
        <v>3.54799</v>
      </c>
      <c r="C8" s="1" t="n">
        <v>3.50868</v>
      </c>
      <c r="D8" s="1" t="n">
        <v>3.49385</v>
      </c>
      <c r="E8" s="1" t="n">
        <v>3.50433</v>
      </c>
      <c r="F8" s="1" t="n">
        <v>3.51803</v>
      </c>
      <c r="G8" s="1" t="n">
        <v>3.54633</v>
      </c>
      <c r="H8" s="1" t="n">
        <v>3.51007</v>
      </c>
      <c r="I8" s="1" t="n">
        <v>3.48439</v>
      </c>
      <c r="J8" s="1" t="n">
        <v>3.53895</v>
      </c>
      <c r="K8" s="1" t="n">
        <v>3.50105</v>
      </c>
      <c r="L8" s="1" t="n">
        <v>3.53462</v>
      </c>
      <c r="M8" s="1" t="n">
        <v>3.53251</v>
      </c>
      <c r="N8" s="1" t="n">
        <v>3.54329</v>
      </c>
      <c r="O8" s="1" t="n">
        <v>3.57122</v>
      </c>
      <c r="P8" s="1" t="n">
        <v>3.51674</v>
      </c>
      <c r="AH8" s="2"/>
      <c r="AI8" s="2" t="n">
        <f aca="false">(C8-$B8)*$A8</f>
        <v>-0.23586</v>
      </c>
      <c r="AJ8" s="2" t="n">
        <f aca="false">(D8-$B8)*$A8</f>
        <v>-0.324839999999999</v>
      </c>
      <c r="AK8" s="2" t="n">
        <f aca="false">(E8-$B8)*$A8</f>
        <v>-0.26196</v>
      </c>
      <c r="AL8" s="2" t="n">
        <f aca="false">(F8-$B8)*$A8</f>
        <v>-0.17976</v>
      </c>
      <c r="AM8" s="2" t="n">
        <f aca="false">(G8-$B8)*$A8</f>
        <v>-0.00995999999999864</v>
      </c>
      <c r="AN8" s="2" t="n">
        <f aca="false">(H8-$B8)*$A8</f>
        <v>-0.227520000000001</v>
      </c>
      <c r="AO8" s="2" t="n">
        <f aca="false">(I8-$B8)*$A8</f>
        <v>-0.381600000000001</v>
      </c>
      <c r="AP8" s="2" t="n">
        <f aca="false">(J8-$B8)*$A8</f>
        <v>-0.054240000000001</v>
      </c>
      <c r="AQ8" s="2" t="n">
        <f aca="false">(K8-$B8)*$A8</f>
        <v>-0.281639999999999</v>
      </c>
      <c r="AR8" s="2" t="n">
        <f aca="false">(L8-$B8)*$A8</f>
        <v>-0.0802200000000006</v>
      </c>
      <c r="AS8" s="2" t="n">
        <f aca="false">(M8-$B8)*$A8</f>
        <v>-0.092880000000001</v>
      </c>
      <c r="AT8" s="2" t="n">
        <f aca="false">(N8-$B8)*$A8</f>
        <v>-0.0282000000000009</v>
      </c>
      <c r="AU8" s="2" t="n">
        <f aca="false">(O8-$B8)*$A8</f>
        <v>0.139379999999999</v>
      </c>
      <c r="AV8" s="2" t="n">
        <f aca="false">(P8-$B8)*$A8</f>
        <v>-0.1875</v>
      </c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</row>
    <row r="9" customFormat="false" ht="13.8" hidden="false" customHeight="false" outlineLevel="0" collapsed="false">
      <c r="A9" s="1" t="n">
        <f aca="false">1+A8</f>
        <v>7</v>
      </c>
      <c r="B9" s="1" t="n">
        <v>2.90383</v>
      </c>
      <c r="C9" s="1" t="n">
        <v>2.86864</v>
      </c>
      <c r="D9" s="1" t="n">
        <v>2.85557</v>
      </c>
      <c r="E9" s="1" t="n">
        <v>2.86748</v>
      </c>
      <c r="F9" s="1" t="n">
        <v>2.88217</v>
      </c>
      <c r="G9" s="1" t="n">
        <v>2.90135</v>
      </c>
      <c r="H9" s="1" t="n">
        <v>2.86656</v>
      </c>
      <c r="I9" s="1" t="n">
        <v>2.85545</v>
      </c>
      <c r="J9" s="1" t="n">
        <v>2.89607</v>
      </c>
      <c r="K9" s="1" t="n">
        <v>2.86716</v>
      </c>
      <c r="L9" s="1" t="n">
        <v>2.88177</v>
      </c>
      <c r="M9" s="1" t="n">
        <v>2.88385</v>
      </c>
      <c r="N9" s="1" t="n">
        <v>2.89112</v>
      </c>
      <c r="O9" s="1" t="n">
        <v>2.91869</v>
      </c>
      <c r="P9" s="1" t="n">
        <v>2.8705</v>
      </c>
      <c r="AH9" s="2"/>
      <c r="AI9" s="2" t="n">
        <f aca="false">(C9-$B9)*$A9</f>
        <v>-0.24633</v>
      </c>
      <c r="AJ9" s="2" t="n">
        <f aca="false">(D9-$B9)*$A9</f>
        <v>-0.33782</v>
      </c>
      <c r="AK9" s="2" t="n">
        <f aca="false">(E9-$B9)*$A9</f>
        <v>-0.254450000000001</v>
      </c>
      <c r="AL9" s="2" t="n">
        <f aca="false">(F9-$B9)*$A9</f>
        <v>-0.151620000000002</v>
      </c>
      <c r="AM9" s="2" t="n">
        <f aca="false">(G9-$B9)*$A9</f>
        <v>-0.0173600000000018</v>
      </c>
      <c r="AN9" s="2" t="n">
        <f aca="false">(H9-$B9)*$A9</f>
        <v>-0.260889999999999</v>
      </c>
      <c r="AO9" s="2" t="n">
        <f aca="false">(I9-$B9)*$A9</f>
        <v>-0.338660000000002</v>
      </c>
      <c r="AP9" s="2" t="n">
        <f aca="false">(J9-$B9)*$A9</f>
        <v>-0.0543200000000015</v>
      </c>
      <c r="AQ9" s="2" t="n">
        <f aca="false">(K9-$B9)*$A9</f>
        <v>-0.25669</v>
      </c>
      <c r="AR9" s="2" t="n">
        <f aca="false">(L9-$B9)*$A9</f>
        <v>-0.154420000000001</v>
      </c>
      <c r="AS9" s="2" t="n">
        <f aca="false">(M9-$B9)*$A9</f>
        <v>-0.139860000000002</v>
      </c>
      <c r="AT9" s="2" t="n">
        <f aca="false">(N9-$B9)*$A9</f>
        <v>-0.0889700000000016</v>
      </c>
      <c r="AU9" s="2" t="n">
        <f aca="false">(O9-$B9)*$A9</f>
        <v>0.104019999999998</v>
      </c>
      <c r="AV9" s="2" t="n">
        <f aca="false">(P9-$B9)*$A9</f>
        <v>-0.233310000000002</v>
      </c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</row>
    <row r="10" customFormat="false" ht="13.8" hidden="false" customHeight="false" outlineLevel="0" collapsed="false">
      <c r="A10" s="1" t="n">
        <f aca="false">1+A9</f>
        <v>8</v>
      </c>
      <c r="B10" s="1" t="n">
        <v>2.43526</v>
      </c>
      <c r="C10" s="1" t="n">
        <v>2.40783</v>
      </c>
      <c r="D10" s="1" t="n">
        <v>2.40114</v>
      </c>
      <c r="E10" s="1" t="n">
        <v>2.41465</v>
      </c>
      <c r="F10" s="1" t="n">
        <v>2.42205</v>
      </c>
      <c r="G10" s="1" t="n">
        <v>2.43898</v>
      </c>
      <c r="H10" s="1" t="n">
        <v>2.40865</v>
      </c>
      <c r="I10" s="1" t="n">
        <v>2.4058</v>
      </c>
      <c r="J10" s="1" t="n">
        <v>2.43279</v>
      </c>
      <c r="K10" s="1" t="n">
        <v>2.41689</v>
      </c>
      <c r="L10" s="1" t="n">
        <v>2.42035</v>
      </c>
      <c r="M10" s="1" t="n">
        <v>2.41901</v>
      </c>
      <c r="N10" s="1" t="n">
        <v>2.42541</v>
      </c>
      <c r="O10" s="1" t="n">
        <v>2.44907</v>
      </c>
      <c r="P10" s="1" t="n">
        <v>2.40762</v>
      </c>
      <c r="AH10" s="2"/>
      <c r="AI10" s="2" t="n">
        <f aca="false">(C10-$B10)*$A10</f>
        <v>-0.219439999999999</v>
      </c>
      <c r="AJ10" s="2" t="n">
        <f aca="false">(D10-$B10)*$A10</f>
        <v>-0.272960000000001</v>
      </c>
      <c r="AK10" s="2" t="n">
        <f aca="false">(E10-$B10)*$A10</f>
        <v>-0.16488</v>
      </c>
      <c r="AL10" s="2" t="n">
        <f aca="false">(F10-$B10)*$A10</f>
        <v>-0.10568</v>
      </c>
      <c r="AM10" s="2" t="n">
        <f aca="false">(G10-$B10)*$A10</f>
        <v>0.0297599999999996</v>
      </c>
      <c r="AN10" s="2" t="n">
        <f aca="false">(H10-$B10)*$A10</f>
        <v>-0.212879999999998</v>
      </c>
      <c r="AO10" s="2" t="n">
        <f aca="false">(I10-$B10)*$A10</f>
        <v>-0.235679999999999</v>
      </c>
      <c r="AP10" s="2" t="n">
        <f aca="false">(J10-$B10)*$A10</f>
        <v>-0.0197600000000016</v>
      </c>
      <c r="AQ10" s="2" t="n">
        <f aca="false">(K10-$B10)*$A10</f>
        <v>-0.14696</v>
      </c>
      <c r="AR10" s="2" t="n">
        <f aca="false">(L10-$B10)*$A10</f>
        <v>-0.11928</v>
      </c>
      <c r="AS10" s="2" t="n">
        <f aca="false">(M10-$B10)*$A10</f>
        <v>-0.129999999999999</v>
      </c>
      <c r="AT10" s="2" t="n">
        <f aca="false">(N10-$B10)*$A10</f>
        <v>-0.0788000000000011</v>
      </c>
      <c r="AU10" s="2" t="n">
        <f aca="false">(O10-$B10)*$A10</f>
        <v>0.110479999999999</v>
      </c>
      <c r="AV10" s="2" t="n">
        <f aca="false">(P10-$B10)*$A10</f>
        <v>-0.221119999999999</v>
      </c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</row>
    <row r="11" customFormat="false" ht="13.8" hidden="false" customHeight="false" outlineLevel="0" collapsed="false">
      <c r="A11" s="1" t="n">
        <f aca="false">1+A10</f>
        <v>9</v>
      </c>
      <c r="B11" s="1" t="n">
        <v>1.97486</v>
      </c>
      <c r="C11" s="1" t="n">
        <v>1.94751</v>
      </c>
      <c r="D11" s="1" t="n">
        <v>1.94791</v>
      </c>
      <c r="E11" s="1" t="n">
        <v>1.96029</v>
      </c>
      <c r="F11" s="1" t="n">
        <v>1.96419</v>
      </c>
      <c r="G11" s="1" t="n">
        <v>1.97769</v>
      </c>
      <c r="H11" s="1" t="n">
        <v>1.95454</v>
      </c>
      <c r="I11" s="1" t="n">
        <v>1.96248</v>
      </c>
      <c r="J11" s="1" t="n">
        <v>1.97799</v>
      </c>
      <c r="K11" s="1" t="n">
        <v>1.97212</v>
      </c>
      <c r="L11" s="1" t="n">
        <v>1.96116</v>
      </c>
      <c r="M11" s="1" t="n">
        <v>1.9591</v>
      </c>
      <c r="N11" s="1" t="n">
        <v>1.96731</v>
      </c>
      <c r="O11" s="1" t="n">
        <v>1.98747</v>
      </c>
      <c r="P11" s="1" t="n">
        <v>1.94825</v>
      </c>
      <c r="AH11" s="2"/>
      <c r="AI11" s="2" t="n">
        <f aca="false">(C11-$B11)*$A11</f>
        <v>-0.24615</v>
      </c>
      <c r="AJ11" s="2" t="n">
        <f aca="false">(D11-$B11)*$A11</f>
        <v>-0.24255</v>
      </c>
      <c r="AK11" s="2" t="n">
        <f aca="false">(E11-$B11)*$A11</f>
        <v>-0.13113</v>
      </c>
      <c r="AL11" s="2" t="n">
        <f aca="false">(F11-$B11)*$A11</f>
        <v>-0.0960299999999996</v>
      </c>
      <c r="AM11" s="2" t="n">
        <f aca="false">(G11-$B11)*$A11</f>
        <v>0.025469999999999</v>
      </c>
      <c r="AN11" s="2" t="n">
        <f aca="false">(H11-$B11)*$A11</f>
        <v>-0.182880000000001</v>
      </c>
      <c r="AO11" s="2" t="n">
        <f aca="false">(I11-$B11)*$A11</f>
        <v>-0.111420000000001</v>
      </c>
      <c r="AP11" s="2" t="n">
        <f aca="false">(J11-$B11)*$A11</f>
        <v>0.0281699999999987</v>
      </c>
      <c r="AQ11" s="2" t="n">
        <f aca="false">(K11-$B11)*$A11</f>
        <v>-0.0246599999999997</v>
      </c>
      <c r="AR11" s="2" t="n">
        <f aca="false">(L11-$B11)*$A11</f>
        <v>-0.1233</v>
      </c>
      <c r="AS11" s="2" t="n">
        <f aca="false">(M11-$B11)*$A11</f>
        <v>-0.14184</v>
      </c>
      <c r="AT11" s="2" t="n">
        <f aca="false">(N11-$B11)*$A11</f>
        <v>-0.0679500000000015</v>
      </c>
      <c r="AU11" s="2" t="n">
        <f aca="false">(O11-$B11)*$A11</f>
        <v>0.11349</v>
      </c>
      <c r="AV11" s="2" t="n">
        <f aca="false">(P11-$B11)*$A11</f>
        <v>-0.23949</v>
      </c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</row>
    <row r="12" customFormat="false" ht="13.8" hidden="false" customHeight="false" outlineLevel="0" collapsed="false">
      <c r="A12" s="1" t="n">
        <f aca="false">1+A11</f>
        <v>10</v>
      </c>
      <c r="B12" s="1" t="n">
        <v>1.57132</v>
      </c>
      <c r="C12" s="1" t="n">
        <v>1.55108</v>
      </c>
      <c r="D12" s="1" t="n">
        <v>1.55065</v>
      </c>
      <c r="E12" s="1" t="n">
        <v>1.56271</v>
      </c>
      <c r="F12" s="1" t="n">
        <v>1.56752</v>
      </c>
      <c r="G12" s="1" t="n">
        <v>1.57772</v>
      </c>
      <c r="H12" s="1" t="n">
        <v>1.55713</v>
      </c>
      <c r="I12" s="1" t="n">
        <v>1.57453</v>
      </c>
      <c r="J12" s="1" t="n">
        <v>1.57801</v>
      </c>
      <c r="K12" s="1" t="n">
        <v>1.5808</v>
      </c>
      <c r="L12" s="1" t="n">
        <v>1.55847</v>
      </c>
      <c r="M12" s="1" t="n">
        <v>1.56055</v>
      </c>
      <c r="N12" s="1" t="n">
        <v>1.56191</v>
      </c>
      <c r="O12" s="1" t="n">
        <v>1.58463</v>
      </c>
      <c r="P12" s="1" t="n">
        <v>1.54957</v>
      </c>
      <c r="AH12" s="2"/>
      <c r="AI12" s="2" t="n">
        <f aca="false">(C12-$B12)*$A12</f>
        <v>-0.2024</v>
      </c>
      <c r="AJ12" s="2" t="n">
        <f aca="false">(D12-$B12)*$A12</f>
        <v>-0.2067</v>
      </c>
      <c r="AK12" s="2" t="n">
        <f aca="false">(E12-$B12)*$A12</f>
        <v>-0.0861000000000001</v>
      </c>
      <c r="AL12" s="2" t="n">
        <f aca="false">(F12-$B12)*$A12</f>
        <v>-0.0380000000000003</v>
      </c>
      <c r="AM12" s="2" t="n">
        <f aca="false">(G12-$B12)*$A12</f>
        <v>0.0639999999999996</v>
      </c>
      <c r="AN12" s="2" t="n">
        <f aca="false">(H12-$B12)*$A12</f>
        <v>-0.141900000000001</v>
      </c>
      <c r="AO12" s="2" t="n">
        <f aca="false">(I12-$B12)*$A12</f>
        <v>0.0320999999999994</v>
      </c>
      <c r="AP12" s="2" t="n">
        <f aca="false">(J12-$B12)*$A12</f>
        <v>0.0668999999999986</v>
      </c>
      <c r="AQ12" s="2" t="n">
        <f aca="false">(K12-$B12)*$A12</f>
        <v>0.0947999999999993</v>
      </c>
      <c r="AR12" s="2" t="n">
        <f aca="false">(L12-$B12)*$A12</f>
        <v>-0.1285</v>
      </c>
      <c r="AS12" s="2" t="n">
        <f aca="false">(M12-$B12)*$A12</f>
        <v>-0.107699999999999</v>
      </c>
      <c r="AT12" s="2" t="n">
        <f aca="false">(N12-$B12)*$A12</f>
        <v>-0.0941000000000014</v>
      </c>
      <c r="AU12" s="2" t="n">
        <f aca="false">(O12-$B12)*$A12</f>
        <v>0.133099999999999</v>
      </c>
      <c r="AV12" s="2" t="n">
        <f aca="false">(P12-$B12)*$A12</f>
        <v>-0.217500000000002</v>
      </c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</row>
    <row r="13" customFormat="false" ht="13.8" hidden="false" customHeight="false" outlineLevel="0" collapsed="false">
      <c r="A13" s="1" t="n">
        <f aca="false">1+A12</f>
        <v>11</v>
      </c>
      <c r="B13" s="1" t="n">
        <v>1.19444</v>
      </c>
      <c r="C13" s="1" t="n">
        <v>1.1825</v>
      </c>
      <c r="D13" s="1" t="n">
        <v>1.18138</v>
      </c>
      <c r="E13" s="1" t="n">
        <v>1.19363</v>
      </c>
      <c r="F13" s="1" t="n">
        <v>1.19748</v>
      </c>
      <c r="G13" s="1" t="n">
        <v>1.20322</v>
      </c>
      <c r="H13" s="1" t="n">
        <v>1.1898</v>
      </c>
      <c r="I13" s="1" t="n">
        <v>1.21117</v>
      </c>
      <c r="J13" s="1" t="n">
        <v>1.20237</v>
      </c>
      <c r="K13" s="1" t="n">
        <v>1.21195</v>
      </c>
      <c r="L13" s="1" t="n">
        <v>1.18836</v>
      </c>
      <c r="M13" s="1" t="n">
        <v>1.18676</v>
      </c>
      <c r="N13" s="1" t="n">
        <v>1.18742</v>
      </c>
      <c r="O13" s="1" t="n">
        <v>1.20696</v>
      </c>
      <c r="P13" s="1" t="n">
        <v>1.17503</v>
      </c>
      <c r="AH13" s="2"/>
      <c r="AI13" s="2" t="n">
        <f aca="false">(C13-$B13)*$A13</f>
        <v>-0.131339999999998</v>
      </c>
      <c r="AJ13" s="2" t="n">
        <f aca="false">(D13-$B13)*$A13</f>
        <v>-0.143659999999998</v>
      </c>
      <c r="AK13" s="2" t="n">
        <f aca="false">(E13-$B13)*$A13</f>
        <v>-0.00890999999999975</v>
      </c>
      <c r="AL13" s="2" t="n">
        <f aca="false">(F13-$B13)*$A13</f>
        <v>0.0334400000000017</v>
      </c>
      <c r="AM13" s="2" t="n">
        <f aca="false">(G13-$B13)*$A13</f>
        <v>0.0965800000000001</v>
      </c>
      <c r="AN13" s="2" t="n">
        <f aca="false">(H13-$B13)*$A13</f>
        <v>-0.0510399999999998</v>
      </c>
      <c r="AO13" s="2" t="n">
        <f aca="false">(I13-$B13)*$A13</f>
        <v>0.184030000000001</v>
      </c>
      <c r="AP13" s="2" t="n">
        <f aca="false">(J13-$B13)*$A13</f>
        <v>0.0872299999999999</v>
      </c>
      <c r="AQ13" s="2" t="n">
        <f aca="false">(K13-$B13)*$A13</f>
        <v>0.192610000000002</v>
      </c>
      <c r="AR13" s="2" t="n">
        <f aca="false">(L13-$B13)*$A13</f>
        <v>-0.0668799999999985</v>
      </c>
      <c r="AS13" s="2" t="n">
        <f aca="false">(M13-$B13)*$A13</f>
        <v>-0.084479999999999</v>
      </c>
      <c r="AT13" s="2" t="n">
        <f aca="false">(N13-$B13)*$A13</f>
        <v>-0.0772200000000003</v>
      </c>
      <c r="AU13" s="2" t="n">
        <f aca="false">(O13-$B13)*$A13</f>
        <v>0.137720000000001</v>
      </c>
      <c r="AV13" s="2" t="n">
        <f aca="false">(P13-$B13)*$A13</f>
        <v>-0.213509999999999</v>
      </c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</row>
    <row r="14" customFormat="false" ht="13.8" hidden="false" customHeight="false" outlineLevel="0" collapsed="false">
      <c r="A14" s="1" t="n">
        <f aca="false">1+A13</f>
        <v>12</v>
      </c>
      <c r="B14" s="1" t="n">
        <v>0.884663</v>
      </c>
      <c r="C14" s="1" t="n">
        <v>0.876385</v>
      </c>
      <c r="D14" s="1" t="n">
        <v>0.87516</v>
      </c>
      <c r="E14" s="1" t="n">
        <v>0.885189</v>
      </c>
      <c r="F14" s="1" t="n">
        <v>0.888441</v>
      </c>
      <c r="G14" s="1" t="n">
        <v>0.892323</v>
      </c>
      <c r="H14" s="1" t="n">
        <v>0.886494</v>
      </c>
      <c r="I14" s="1" t="n">
        <v>0.908204</v>
      </c>
      <c r="J14" s="1" t="n">
        <v>0.891294</v>
      </c>
      <c r="K14" s="1" t="n">
        <v>0.902474</v>
      </c>
      <c r="L14" s="1" t="n">
        <v>0.879091</v>
      </c>
      <c r="M14" s="1" t="n">
        <v>0.879464</v>
      </c>
      <c r="N14" s="1" t="n">
        <v>0.875424</v>
      </c>
      <c r="O14" s="1" t="n">
        <v>0.892942</v>
      </c>
      <c r="P14" s="1" t="n">
        <v>0.868938</v>
      </c>
      <c r="AH14" s="2"/>
      <c r="AI14" s="2" t="n">
        <f aca="false">(C14-$B14)*$A14</f>
        <v>-0.0993360000000001</v>
      </c>
      <c r="AJ14" s="2" t="n">
        <f aca="false">(D14-$B14)*$A14</f>
        <v>-0.114035999999999</v>
      </c>
      <c r="AK14" s="2" t="n">
        <f aca="false">(E14-$B14)*$A14</f>
        <v>0.00631200000000032</v>
      </c>
      <c r="AL14" s="2" t="n">
        <f aca="false">(F14-$B14)*$A14</f>
        <v>0.0453360000000007</v>
      </c>
      <c r="AM14" s="2" t="n">
        <f aca="false">(G14-$B14)*$A14</f>
        <v>0.09192</v>
      </c>
      <c r="AN14" s="2" t="n">
        <f aca="false">(H14-$B14)*$A14</f>
        <v>0.0219720000000003</v>
      </c>
      <c r="AO14" s="2" t="n">
        <f aca="false">(I14-$B14)*$A14</f>
        <v>0.282492</v>
      </c>
      <c r="AP14" s="2" t="n">
        <f aca="false">(J14-$B14)*$A14</f>
        <v>0.0795720000000006</v>
      </c>
      <c r="AQ14" s="2" t="n">
        <f aca="false">(K14-$B14)*$A14</f>
        <v>0.213732</v>
      </c>
      <c r="AR14" s="2" t="n">
        <f aca="false">(L14-$B14)*$A14</f>
        <v>-0.0668640000000003</v>
      </c>
      <c r="AS14" s="2" t="n">
        <f aca="false">(M14-$B14)*$A14</f>
        <v>-0.0623879999999994</v>
      </c>
      <c r="AT14" s="2" t="n">
        <f aca="false">(N14-$B14)*$A14</f>
        <v>-0.110868</v>
      </c>
      <c r="AU14" s="2" t="n">
        <f aca="false">(O14-$B14)*$A14</f>
        <v>0.0993480000000004</v>
      </c>
      <c r="AV14" s="2" t="n">
        <f aca="false">(P14-$B14)*$A14</f>
        <v>-0.1887</v>
      </c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</row>
    <row r="15" customFormat="false" ht="13.8" hidden="false" customHeight="false" outlineLevel="0" collapsed="false">
      <c r="A15" s="1" t="n">
        <f aca="false">1+A14</f>
        <v>13</v>
      </c>
      <c r="B15" s="1" t="n">
        <v>0.619558</v>
      </c>
      <c r="C15" s="1" t="n">
        <v>0.612749</v>
      </c>
      <c r="D15" s="1" t="n">
        <v>0.612619</v>
      </c>
      <c r="E15" s="1" t="n">
        <v>0.621197</v>
      </c>
      <c r="F15" s="1" t="n">
        <v>0.625387</v>
      </c>
      <c r="G15" s="1" t="n">
        <v>0.625956</v>
      </c>
      <c r="H15" s="1" t="n">
        <v>0.624211</v>
      </c>
      <c r="I15" s="1" t="n">
        <v>0.641535</v>
      </c>
      <c r="J15" s="1" t="n">
        <v>0.623971</v>
      </c>
      <c r="K15" s="1" t="n">
        <v>0.636871</v>
      </c>
      <c r="L15" s="1" t="n">
        <v>0.615385</v>
      </c>
      <c r="M15" s="1" t="n">
        <v>0.6143</v>
      </c>
      <c r="N15" s="1" t="n">
        <v>0.611142</v>
      </c>
      <c r="O15" s="1" t="n">
        <v>0.623286</v>
      </c>
      <c r="P15" s="1" t="n">
        <v>0.604994</v>
      </c>
      <c r="AH15" s="2"/>
      <c r="AI15" s="2" t="n">
        <f aca="false">(C15-$B15)*$A15</f>
        <v>-0.0885170000000009</v>
      </c>
      <c r="AJ15" s="2" t="n">
        <f aca="false">(D15-$B15)*$A15</f>
        <v>-0.0902070000000004</v>
      </c>
      <c r="AK15" s="2" t="n">
        <f aca="false">(E15-$B15)*$A15</f>
        <v>0.0213069999999993</v>
      </c>
      <c r="AL15" s="2" t="n">
        <f aca="false">(F15-$B15)*$A15</f>
        <v>0.0757769999999997</v>
      </c>
      <c r="AM15" s="2" t="n">
        <f aca="false">(G15-$B15)*$A15</f>
        <v>0.0831739999999988</v>
      </c>
      <c r="AN15" s="2" t="n">
        <f aca="false">(H15-$B15)*$A15</f>
        <v>0.0604889999999988</v>
      </c>
      <c r="AO15" s="2" t="n">
        <f aca="false">(I15-$B15)*$A15</f>
        <v>0.285700999999999</v>
      </c>
      <c r="AP15" s="2" t="n">
        <f aca="false">(J15-$B15)*$A15</f>
        <v>0.057369</v>
      </c>
      <c r="AQ15" s="2" t="n">
        <f aca="false">(K15-$B15)*$A15</f>
        <v>0.225068999999999</v>
      </c>
      <c r="AR15" s="2" t="n">
        <f aca="false">(L15-$B15)*$A15</f>
        <v>-0.0542490000000012</v>
      </c>
      <c r="AS15" s="2" t="n">
        <f aca="false">(M15-$B15)*$A15</f>
        <v>-0.0683540000000013</v>
      </c>
      <c r="AT15" s="2" t="n">
        <f aca="false">(N15-$B15)*$A15</f>
        <v>-0.109408000000001</v>
      </c>
      <c r="AU15" s="2" t="n">
        <f aca="false">(O15-$B15)*$A15</f>
        <v>0.0484639999999994</v>
      </c>
      <c r="AV15" s="2" t="n">
        <f aca="false">(P15-$B15)*$A15</f>
        <v>-0.189332</v>
      </c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</row>
    <row r="16" customFormat="false" ht="13.8" hidden="false" customHeight="false" outlineLevel="0" collapsed="false">
      <c r="A16" s="1" t="n">
        <f aca="false">1+A15</f>
        <v>14</v>
      </c>
      <c r="B16" s="1" t="n">
        <v>0.420841</v>
      </c>
      <c r="C16" s="1" t="n">
        <v>0.415666</v>
      </c>
      <c r="D16" s="1" t="n">
        <v>0.416832</v>
      </c>
      <c r="E16" s="1" t="n">
        <v>0.422165</v>
      </c>
      <c r="F16" s="1" t="n">
        <v>0.425543</v>
      </c>
      <c r="G16" s="1" t="n">
        <v>0.424482</v>
      </c>
      <c r="H16" s="1" t="n">
        <v>0.426689</v>
      </c>
      <c r="I16" s="1" t="n">
        <v>0.440546</v>
      </c>
      <c r="J16" s="1" t="n">
        <v>0.422875</v>
      </c>
      <c r="K16" s="1" t="n">
        <v>0.435342</v>
      </c>
      <c r="L16" s="1" t="n">
        <v>0.420157</v>
      </c>
      <c r="M16" s="1" t="n">
        <v>0.415881</v>
      </c>
      <c r="N16" s="1" t="n">
        <v>0.41237</v>
      </c>
      <c r="O16" s="1" t="n">
        <v>0.423153</v>
      </c>
      <c r="P16" s="1" t="n">
        <v>0.409288</v>
      </c>
      <c r="AH16" s="2"/>
      <c r="AI16" s="2" t="n">
        <f aca="false">(C16-$B16)*$A16</f>
        <v>-0.0724500000000006</v>
      </c>
      <c r="AJ16" s="2" t="n">
        <f aca="false">(D16-$B16)*$A16</f>
        <v>-0.0561260000000006</v>
      </c>
      <c r="AK16" s="2" t="n">
        <f aca="false">(E16-$B16)*$A16</f>
        <v>0.0185359999999999</v>
      </c>
      <c r="AL16" s="2" t="n">
        <f aca="false">(F16-$B16)*$A16</f>
        <v>0.0658279999999998</v>
      </c>
      <c r="AM16" s="2" t="n">
        <f aca="false">(G16-$B16)*$A16</f>
        <v>0.0509740000000001</v>
      </c>
      <c r="AN16" s="2" t="n">
        <f aca="false">(H16-$B16)*$A16</f>
        <v>0.0818719999999995</v>
      </c>
      <c r="AO16" s="2" t="n">
        <f aca="false">(I16-$B16)*$A16</f>
        <v>0.27587</v>
      </c>
      <c r="AP16" s="2" t="n">
        <f aca="false">(J16-$B16)*$A16</f>
        <v>0.0284759999999997</v>
      </c>
      <c r="AQ16" s="2" t="n">
        <f aca="false">(K16-$B16)*$A16</f>
        <v>0.203014</v>
      </c>
      <c r="AR16" s="2" t="n">
        <f aca="false">(L16-$B16)*$A16</f>
        <v>-0.00957600000000025</v>
      </c>
      <c r="AS16" s="2" t="n">
        <f aca="false">(M16-$B16)*$A16</f>
        <v>-0.0694400000000003</v>
      </c>
      <c r="AT16" s="2" t="n">
        <f aca="false">(N16-$B16)*$A16</f>
        <v>-0.118594</v>
      </c>
      <c r="AU16" s="2" t="n">
        <f aca="false">(O16-$B16)*$A16</f>
        <v>0.0323679999999997</v>
      </c>
      <c r="AV16" s="2" t="n">
        <f aca="false">(P16-$B16)*$A16</f>
        <v>-0.161742000000001</v>
      </c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</row>
    <row r="17" customFormat="false" ht="13.8" hidden="false" customHeight="false" outlineLevel="0" collapsed="false">
      <c r="A17" s="1" t="n">
        <f aca="false">1+A16</f>
        <v>15</v>
      </c>
      <c r="B17" s="1" t="n">
        <v>0.273577</v>
      </c>
      <c r="C17" s="1" t="n">
        <v>0.2704</v>
      </c>
      <c r="D17" s="1" t="n">
        <v>0.270721</v>
      </c>
      <c r="E17" s="1" t="n">
        <v>0.274366</v>
      </c>
      <c r="F17" s="1" t="n">
        <v>0.277596</v>
      </c>
      <c r="G17" s="1" t="n">
        <v>0.275757</v>
      </c>
      <c r="H17" s="1" t="n">
        <v>0.279884</v>
      </c>
      <c r="I17" s="1" t="n">
        <v>0.290387</v>
      </c>
      <c r="J17" s="1" t="n">
        <v>0.274622</v>
      </c>
      <c r="K17" s="1" t="n">
        <v>0.285239</v>
      </c>
      <c r="L17" s="1" t="n">
        <v>0.273529</v>
      </c>
      <c r="M17" s="1" t="n">
        <v>0.268875</v>
      </c>
      <c r="N17" s="1" t="n">
        <v>0.26505</v>
      </c>
      <c r="O17" s="1" t="n">
        <v>0.274598</v>
      </c>
      <c r="P17" s="1" t="n">
        <v>0.265311</v>
      </c>
      <c r="AH17" s="2"/>
      <c r="AI17" s="2" t="n">
        <f aca="false">(C17-$B17)*$A17</f>
        <v>-0.0476550000000006</v>
      </c>
      <c r="AJ17" s="2" t="n">
        <f aca="false">(D17-$B17)*$A17</f>
        <v>-0.0428400000000004</v>
      </c>
      <c r="AK17" s="2" t="n">
        <f aca="false">(E17-$B17)*$A17</f>
        <v>0.0118349999999998</v>
      </c>
      <c r="AL17" s="2" t="n">
        <f aca="false">(F17-$B17)*$A17</f>
        <v>0.0602849999999999</v>
      </c>
      <c r="AM17" s="2" t="n">
        <f aca="false">(G17-$B17)*$A17</f>
        <v>0.0326999999999994</v>
      </c>
      <c r="AN17" s="2" t="n">
        <f aca="false">(H17-$B17)*$A17</f>
        <v>0.0946050000000001</v>
      </c>
      <c r="AO17" s="2" t="n">
        <f aca="false">(I17-$B17)*$A17</f>
        <v>0.25215</v>
      </c>
      <c r="AP17" s="2" t="n">
        <f aca="false">(J17-$B17)*$A17</f>
        <v>0.0156749999999994</v>
      </c>
      <c r="AQ17" s="2" t="n">
        <f aca="false">(K17-$B17)*$A17</f>
        <v>0.17493</v>
      </c>
      <c r="AR17" s="2" t="n">
        <f aca="false">(L17-$B17)*$A17</f>
        <v>-0.000719999999999887</v>
      </c>
      <c r="AS17" s="2" t="n">
        <f aca="false">(M17-$B17)*$A17</f>
        <v>-0.0705300000000006</v>
      </c>
      <c r="AT17" s="2" t="n">
        <f aca="false">(N17-$B17)*$A17</f>
        <v>-0.127905</v>
      </c>
      <c r="AU17" s="2" t="n">
        <f aca="false">(O17-$B17)*$A17</f>
        <v>0.0153149999999999</v>
      </c>
      <c r="AV17" s="2" t="n">
        <f aca="false">(P17-$B17)*$A17</f>
        <v>-0.12399</v>
      </c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</row>
    <row r="18" customFormat="false" ht="13.8" hidden="false" customHeight="false" outlineLevel="0" collapsed="false">
      <c r="A18" s="1" t="n">
        <f aca="false">1+A17</f>
        <v>16</v>
      </c>
      <c r="B18" s="1" t="n">
        <v>0.172269</v>
      </c>
      <c r="C18" s="1" t="n">
        <v>0.170409</v>
      </c>
      <c r="D18" s="1" t="n">
        <v>0.171819</v>
      </c>
      <c r="E18" s="1" t="n">
        <v>0.174331</v>
      </c>
      <c r="F18" s="1" t="n">
        <v>0.176917</v>
      </c>
      <c r="G18" s="1" t="n">
        <v>0.173924</v>
      </c>
      <c r="H18" s="1" t="n">
        <v>0.179306</v>
      </c>
      <c r="I18" s="1" t="n">
        <v>0.186526</v>
      </c>
      <c r="J18" s="1" t="n">
        <v>0.172212</v>
      </c>
      <c r="K18" s="1" t="n">
        <v>0.182402</v>
      </c>
      <c r="L18" s="1" t="n">
        <v>0.172636</v>
      </c>
      <c r="M18" s="1" t="n">
        <v>0.168139</v>
      </c>
      <c r="N18" s="1" t="n">
        <v>0.166684</v>
      </c>
      <c r="O18" s="1" t="n">
        <v>0.172784</v>
      </c>
      <c r="P18" s="1" t="n">
        <v>0.167135</v>
      </c>
      <c r="AH18" s="2"/>
      <c r="AI18" s="2" t="n">
        <f aca="false">(C18-$B18)*$A18</f>
        <v>-0.02976</v>
      </c>
      <c r="AJ18" s="2" t="n">
        <f aca="false">(D18-$B18)*$A18</f>
        <v>-0.0072000000000001</v>
      </c>
      <c r="AK18" s="2" t="n">
        <f aca="false">(E18-$B18)*$A18</f>
        <v>0.0329920000000001</v>
      </c>
      <c r="AL18" s="2" t="n">
        <f aca="false">(F18-$B18)*$A18</f>
        <v>0.0743679999999998</v>
      </c>
      <c r="AM18" s="2" t="n">
        <f aca="false">(G18-$B18)*$A18</f>
        <v>0.0264799999999998</v>
      </c>
      <c r="AN18" s="2" t="n">
        <f aca="false">(H18-$B18)*$A18</f>
        <v>0.112592</v>
      </c>
      <c r="AO18" s="2" t="n">
        <f aca="false">(I18-$B18)*$A18</f>
        <v>0.228112</v>
      </c>
      <c r="AP18" s="2" t="n">
        <f aca="false">(J18-$B18)*$A18</f>
        <v>-0.000912000000000024</v>
      </c>
      <c r="AQ18" s="2" t="n">
        <f aca="false">(K18-$B18)*$A18</f>
        <v>0.162128</v>
      </c>
      <c r="AR18" s="2" t="n">
        <f aca="false">(L18-$B18)*$A18</f>
        <v>0.0058720000000001</v>
      </c>
      <c r="AS18" s="2" t="n">
        <f aca="false">(M18-$B18)*$A18</f>
        <v>-0.0660799999999999</v>
      </c>
      <c r="AT18" s="2" t="n">
        <f aca="false">(N18-$B18)*$A18</f>
        <v>-0.0893600000000001</v>
      </c>
      <c r="AU18" s="2" t="n">
        <f aca="false">(O18-$B18)*$A18</f>
        <v>0.0082399999999998</v>
      </c>
      <c r="AV18" s="2" t="n">
        <f aca="false">(P18-$B18)*$A18</f>
        <v>-0.082144</v>
      </c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</row>
    <row r="19" customFormat="false" ht="13.8" hidden="false" customHeight="false" outlineLevel="0" collapsed="false">
      <c r="A19" s="1" t="n">
        <f aca="false">1+A18</f>
        <v>17</v>
      </c>
      <c r="B19" s="1" t="n">
        <v>0.105007</v>
      </c>
      <c r="C19" s="1" t="n">
        <v>0.104165</v>
      </c>
      <c r="D19" s="1" t="n">
        <v>0.105297</v>
      </c>
      <c r="E19" s="1" t="n">
        <v>0.106637</v>
      </c>
      <c r="F19" s="1" t="n">
        <v>0.108883</v>
      </c>
      <c r="G19" s="1" t="n">
        <v>0.105469</v>
      </c>
      <c r="H19" s="1" t="n">
        <v>0.11076</v>
      </c>
      <c r="I19" s="1" t="n">
        <v>0.116082</v>
      </c>
      <c r="J19" s="1" t="n">
        <v>0.103533</v>
      </c>
      <c r="K19" s="1" t="n">
        <v>0.113465</v>
      </c>
      <c r="L19" s="1" t="n">
        <v>0.105432</v>
      </c>
      <c r="M19" s="1" t="n">
        <v>0.100679</v>
      </c>
      <c r="N19" s="1" t="n">
        <v>0.0998904</v>
      </c>
      <c r="O19" s="1" t="n">
        <v>0.104365</v>
      </c>
      <c r="P19" s="1" t="n">
        <v>0.100993</v>
      </c>
      <c r="AH19" s="2"/>
      <c r="AI19" s="2" t="n">
        <f aca="false">(C19-$B19)*$A19</f>
        <v>-0.0143140000000002</v>
      </c>
      <c r="AJ19" s="2" t="n">
        <f aca="false">(D19-$B19)*$A19</f>
        <v>0.00492999999999998</v>
      </c>
      <c r="AK19" s="2" t="n">
        <f aca="false">(E19-$B19)*$A19</f>
        <v>0.0277099999999999</v>
      </c>
      <c r="AL19" s="2" t="n">
        <f aca="false">(F19-$B19)*$A19</f>
        <v>0.0658919999999998</v>
      </c>
      <c r="AM19" s="2" t="n">
        <f aca="false">(G19-$B19)*$A19</f>
        <v>0.00785399999999983</v>
      </c>
      <c r="AN19" s="2" t="n">
        <f aca="false">(H19-$B19)*$A19</f>
        <v>0.0978009999999999</v>
      </c>
      <c r="AO19" s="2" t="n">
        <f aca="false">(I19-$B19)*$A19</f>
        <v>0.188275</v>
      </c>
      <c r="AP19" s="2" t="n">
        <f aca="false">(J19-$B19)*$A19</f>
        <v>-0.0250580000000001</v>
      </c>
      <c r="AQ19" s="2" t="n">
        <f aca="false">(K19-$B19)*$A19</f>
        <v>0.143786</v>
      </c>
      <c r="AR19" s="2" t="n">
        <f aca="false">(L19-$B19)*$A19</f>
        <v>0.00722499999999991</v>
      </c>
      <c r="AS19" s="2" t="n">
        <f aca="false">(M19-$B19)*$A19</f>
        <v>-0.073576</v>
      </c>
      <c r="AT19" s="2" t="n">
        <f aca="false">(N19-$B19)*$A19</f>
        <v>-0.0869822</v>
      </c>
      <c r="AU19" s="2" t="n">
        <f aca="false">(O19-$B19)*$A19</f>
        <v>-0.0109140000000001</v>
      </c>
      <c r="AV19" s="2" t="n">
        <f aca="false">(P19-$B19)*$A19</f>
        <v>-0.0682380000000001</v>
      </c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</row>
    <row r="20" customFormat="false" ht="13.8" hidden="false" customHeight="false" outlineLevel="0" collapsed="false">
      <c r="A20" s="1" t="n">
        <f aca="false">1+A19</f>
        <v>18</v>
      </c>
      <c r="B20" s="1" t="n">
        <v>0.0632108</v>
      </c>
      <c r="C20" s="1" t="n">
        <v>0.0625415</v>
      </c>
      <c r="D20" s="1" t="n">
        <v>0.064093</v>
      </c>
      <c r="E20" s="1" t="n">
        <v>0.0650539</v>
      </c>
      <c r="F20" s="1" t="n">
        <v>0.0659806</v>
      </c>
      <c r="G20" s="1" t="n">
        <v>0.0628719</v>
      </c>
      <c r="H20" s="1" t="n">
        <v>0.0678011</v>
      </c>
      <c r="I20" s="1" t="n">
        <v>0.0719877</v>
      </c>
      <c r="J20" s="1" t="n">
        <v>0.061326</v>
      </c>
      <c r="K20" s="1" t="n">
        <v>0.0698195</v>
      </c>
      <c r="L20" s="1" t="n">
        <v>0.0636724</v>
      </c>
      <c r="M20" s="1" t="n">
        <v>0.059658</v>
      </c>
      <c r="N20" s="1" t="n">
        <v>0.0588266</v>
      </c>
      <c r="O20" s="1" t="n">
        <v>0.0623911</v>
      </c>
      <c r="P20" s="1" t="n">
        <v>0.0612609</v>
      </c>
      <c r="AH20" s="2"/>
      <c r="AI20" s="2" t="n">
        <f aca="false">(C20-$B20)*$A20</f>
        <v>-0.0120474</v>
      </c>
      <c r="AJ20" s="2" t="n">
        <f aca="false">(D20-$B20)*$A20</f>
        <v>0.0158796</v>
      </c>
      <c r="AK20" s="2" t="n">
        <f aca="false">(E20-$B20)*$A20</f>
        <v>0.0331758</v>
      </c>
      <c r="AL20" s="2" t="n">
        <f aca="false">(F20-$B20)*$A20</f>
        <v>0.0498564000000001</v>
      </c>
      <c r="AM20" s="2" t="n">
        <f aca="false">(G20-$B20)*$A20</f>
        <v>-0.00610020000000006</v>
      </c>
      <c r="AN20" s="2" t="n">
        <f aca="false">(H20-$B20)*$A20</f>
        <v>0.0826254000000001</v>
      </c>
      <c r="AO20" s="2" t="n">
        <f aca="false">(I20-$B20)*$A20</f>
        <v>0.1579842</v>
      </c>
      <c r="AP20" s="2" t="n">
        <f aca="false">(J20-$B20)*$A20</f>
        <v>-0.0339264</v>
      </c>
      <c r="AQ20" s="2" t="n">
        <f aca="false">(K20-$B20)*$A20</f>
        <v>0.1189566</v>
      </c>
      <c r="AR20" s="2" t="n">
        <f aca="false">(L20-$B20)*$A20</f>
        <v>0.00830880000000012</v>
      </c>
      <c r="AS20" s="2" t="n">
        <f aca="false">(M20-$B20)*$A20</f>
        <v>-0.0639503999999999</v>
      </c>
      <c r="AT20" s="2" t="n">
        <f aca="false">(N20-$B20)*$A20</f>
        <v>-0.0789156</v>
      </c>
      <c r="AU20" s="2" t="n">
        <f aca="false">(O20-$B20)*$A20</f>
        <v>-0.0147546</v>
      </c>
      <c r="AV20" s="2" t="n">
        <f aca="false">(P20-$B20)*$A20</f>
        <v>-0.0350982</v>
      </c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</row>
    <row r="21" customFormat="false" ht="13.8" hidden="false" customHeight="false" outlineLevel="0" collapsed="false">
      <c r="A21" s="1" t="n">
        <f aca="false">1+A20</f>
        <v>19</v>
      </c>
      <c r="B21" s="1" t="n">
        <v>0.0371975</v>
      </c>
      <c r="C21" s="1" t="n">
        <v>0.0365567</v>
      </c>
      <c r="D21" s="1" t="n">
        <v>0.0381559</v>
      </c>
      <c r="E21" s="1" t="n">
        <v>0.0390368</v>
      </c>
      <c r="F21" s="1" t="n">
        <v>0.0395032</v>
      </c>
      <c r="G21" s="1" t="n">
        <v>0.036621</v>
      </c>
      <c r="H21" s="1" t="n">
        <v>0.0408736</v>
      </c>
      <c r="I21" s="1" t="n">
        <v>0.0442133</v>
      </c>
      <c r="J21" s="1" t="n">
        <v>0.035469</v>
      </c>
      <c r="K21" s="1" t="n">
        <v>0.0424876</v>
      </c>
      <c r="L21" s="1" t="n">
        <v>0.037406</v>
      </c>
      <c r="M21" s="1" t="n">
        <v>0.0345155</v>
      </c>
      <c r="N21" s="1" t="n">
        <v>0.0338974</v>
      </c>
      <c r="O21" s="1" t="n">
        <v>0.0364519</v>
      </c>
      <c r="P21" s="1" t="n">
        <v>0.0358659</v>
      </c>
      <c r="AH21" s="2"/>
      <c r="AI21" s="2" t="n">
        <f aca="false">(C21-$B21)*$A21</f>
        <v>-0.0121752000000001</v>
      </c>
      <c r="AJ21" s="2" t="n">
        <f aca="false">(D21-$B21)*$A21</f>
        <v>0.0182096</v>
      </c>
      <c r="AK21" s="2" t="n">
        <f aca="false">(E21-$B21)*$A21</f>
        <v>0.0349467</v>
      </c>
      <c r="AL21" s="2" t="n">
        <f aca="false">(F21-$B21)*$A21</f>
        <v>0.0438083</v>
      </c>
      <c r="AM21" s="2" t="n">
        <f aca="false">(G21-$B21)*$A21</f>
        <v>-0.0109535</v>
      </c>
      <c r="AN21" s="2" t="n">
        <f aca="false">(H21-$B21)*$A21</f>
        <v>0.0698459</v>
      </c>
      <c r="AO21" s="2" t="n">
        <f aca="false">(I21-$B21)*$A21</f>
        <v>0.1333002</v>
      </c>
      <c r="AP21" s="2" t="n">
        <f aca="false">(J21-$B21)*$A21</f>
        <v>-0.0328415</v>
      </c>
      <c r="AQ21" s="2" t="n">
        <f aca="false">(K21-$B21)*$A21</f>
        <v>0.1005119</v>
      </c>
      <c r="AR21" s="2" t="n">
        <f aca="false">(L21-$B21)*$A21</f>
        <v>0.00396150000000001</v>
      </c>
      <c r="AS21" s="2" t="n">
        <f aca="false">(M21-$B21)*$A21</f>
        <v>-0.0509580000000001</v>
      </c>
      <c r="AT21" s="2" t="n">
        <f aca="false">(N21-$B21)*$A21</f>
        <v>-0.0627019</v>
      </c>
      <c r="AU21" s="2" t="n">
        <f aca="false">(O21-$B21)*$A21</f>
        <v>-0.0141664</v>
      </c>
      <c r="AV21" s="2" t="n">
        <f aca="false">(P21-$B21)*$A21</f>
        <v>-0.0253004</v>
      </c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</row>
    <row r="22" customFormat="false" ht="13.8" hidden="false" customHeight="false" outlineLevel="0" collapsed="false">
      <c r="A22" s="1" t="n">
        <f aca="false">1+A21</f>
        <v>20</v>
      </c>
      <c r="B22" s="1" t="n">
        <v>0.0215492</v>
      </c>
      <c r="C22" s="1" t="n">
        <v>0.0212707</v>
      </c>
      <c r="D22" s="1" t="n">
        <v>0.0226993</v>
      </c>
      <c r="E22" s="1" t="n">
        <v>0.0239728</v>
      </c>
      <c r="F22" s="1" t="n">
        <v>0.0230677</v>
      </c>
      <c r="G22" s="1" t="n">
        <v>0.0211047</v>
      </c>
      <c r="H22" s="1" t="n">
        <v>0.0243491</v>
      </c>
      <c r="I22" s="1" t="n">
        <v>0.0268882</v>
      </c>
      <c r="J22" s="1" t="n">
        <v>0.0201698</v>
      </c>
      <c r="K22" s="1" t="n">
        <v>0.0255098</v>
      </c>
      <c r="L22" s="1" t="n">
        <v>0.0219072</v>
      </c>
      <c r="M22" s="1" t="n">
        <v>0.0195466</v>
      </c>
      <c r="N22" s="1" t="n">
        <v>0.0192561</v>
      </c>
      <c r="O22" s="1" t="n">
        <v>0.0206324</v>
      </c>
      <c r="P22" s="1" t="n">
        <v>0.0210399</v>
      </c>
      <c r="AH22" s="2"/>
      <c r="AI22" s="2" t="n">
        <f aca="false">(C22-$B22)*$A22</f>
        <v>-0.00557000000000002</v>
      </c>
      <c r="AJ22" s="2" t="n">
        <f aca="false">(D22-$B22)*$A22</f>
        <v>0.023002</v>
      </c>
      <c r="AK22" s="2" t="n">
        <f aca="false">(E22-$B22)*$A22</f>
        <v>0.048472</v>
      </c>
      <c r="AL22" s="2" t="n">
        <f aca="false">(F22-$B22)*$A22</f>
        <v>0.03037</v>
      </c>
      <c r="AM22" s="2" t="n">
        <f aca="false">(G22-$B22)*$A22</f>
        <v>-0.00889000000000001</v>
      </c>
      <c r="AN22" s="2" t="n">
        <f aca="false">(H22-$B22)*$A22</f>
        <v>0.055998</v>
      </c>
      <c r="AO22" s="2" t="n">
        <f aca="false">(I22-$B22)*$A22</f>
        <v>0.10678</v>
      </c>
      <c r="AP22" s="2" t="n">
        <f aca="false">(J22-$B22)*$A22</f>
        <v>-0.027588</v>
      </c>
      <c r="AQ22" s="2" t="n">
        <f aca="false">(K22-$B22)*$A22</f>
        <v>0.079212</v>
      </c>
      <c r="AR22" s="2" t="n">
        <f aca="false">(L22-$B22)*$A22</f>
        <v>0.00716000000000001</v>
      </c>
      <c r="AS22" s="2" t="n">
        <f aca="false">(M22-$B22)*$A22</f>
        <v>-0.040052</v>
      </c>
      <c r="AT22" s="2" t="n">
        <f aca="false">(N22-$B22)*$A22</f>
        <v>-0.045862</v>
      </c>
      <c r="AU22" s="2" t="n">
        <f aca="false">(O22-$B22)*$A22</f>
        <v>-0.018336</v>
      </c>
      <c r="AV22" s="2" t="n">
        <f aca="false">(P22-$B22)*$A22</f>
        <v>-0.010186</v>
      </c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</row>
    <row r="23" customFormat="false" ht="13.8" hidden="false" customHeight="false" outlineLevel="0" collapsed="false">
      <c r="A23" s="1" t="n">
        <f aca="false">1+A22</f>
        <v>21</v>
      </c>
      <c r="B23" s="1" t="n">
        <v>0.0123563</v>
      </c>
      <c r="C23" s="1" t="n">
        <v>0.0119631</v>
      </c>
      <c r="D23" s="1" t="n">
        <v>0.0135784</v>
      </c>
      <c r="E23" s="1" t="n">
        <v>0.0146038</v>
      </c>
      <c r="F23" s="1" t="n">
        <v>0.0134824</v>
      </c>
      <c r="G23" s="1" t="n">
        <v>0.0119692</v>
      </c>
      <c r="H23" s="1" t="n">
        <v>0.0142909</v>
      </c>
      <c r="I23" s="1" t="n">
        <v>0.0165631</v>
      </c>
      <c r="J23" s="1" t="n">
        <v>0.011184</v>
      </c>
      <c r="K23" s="1" t="n">
        <v>0.0155751</v>
      </c>
      <c r="L23" s="1" t="n">
        <v>0.0125742</v>
      </c>
      <c r="M23" s="1" t="n">
        <v>0.0110434</v>
      </c>
      <c r="N23" s="1" t="n">
        <v>0.0105781</v>
      </c>
      <c r="O23" s="1" t="n">
        <v>0.0115018</v>
      </c>
      <c r="P23" s="1" t="n">
        <v>0.0123686</v>
      </c>
      <c r="AH23" s="2"/>
      <c r="AI23" s="2" t="n">
        <f aca="false">(C23-$B23)*$A23</f>
        <v>-0.0082572</v>
      </c>
      <c r="AJ23" s="2" t="n">
        <f aca="false">(D23-$B23)*$A23</f>
        <v>0.0256641</v>
      </c>
      <c r="AK23" s="2" t="n">
        <f aca="false">(E23-$B23)*$A23</f>
        <v>0.0471975</v>
      </c>
      <c r="AL23" s="2" t="n">
        <f aca="false">(F23-$B23)*$A23</f>
        <v>0.0236481</v>
      </c>
      <c r="AM23" s="2" t="n">
        <f aca="false">(G23-$B23)*$A23</f>
        <v>-0.00812910000000003</v>
      </c>
      <c r="AN23" s="2" t="n">
        <f aca="false">(H23-$B23)*$A23</f>
        <v>0.0406266</v>
      </c>
      <c r="AO23" s="2" t="n">
        <f aca="false">(I23-$B23)*$A23</f>
        <v>0.0883428</v>
      </c>
      <c r="AP23" s="2" t="n">
        <f aca="false">(J23-$B23)*$A23</f>
        <v>-0.0246183</v>
      </c>
      <c r="AQ23" s="2" t="n">
        <f aca="false">(K23-$B23)*$A23</f>
        <v>0.0675948</v>
      </c>
      <c r="AR23" s="2" t="n">
        <f aca="false">(L23-$B23)*$A23</f>
        <v>0.0045759</v>
      </c>
      <c r="AS23" s="2" t="n">
        <f aca="false">(M23-$B23)*$A23</f>
        <v>-0.0275709</v>
      </c>
      <c r="AT23" s="2" t="n">
        <f aca="false">(N23-$B23)*$A23</f>
        <v>-0.0373422</v>
      </c>
      <c r="AU23" s="2" t="n">
        <f aca="false">(O23-$B23)*$A23</f>
        <v>-0.0179445</v>
      </c>
      <c r="AV23" s="2" t="n">
        <f aca="false">(P23-$B23)*$A23</f>
        <v>0.000258299999999996</v>
      </c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</row>
    <row r="24" customFormat="false" ht="13.8" hidden="false" customHeight="false" outlineLevel="0" collapsed="false">
      <c r="A24" s="1" t="n">
        <f aca="false">1+A23</f>
        <v>22</v>
      </c>
      <c r="B24" s="1" t="n">
        <v>0.00703537</v>
      </c>
      <c r="C24" s="1" t="n">
        <v>0.00678587</v>
      </c>
      <c r="D24" s="1" t="n">
        <v>0.00803492</v>
      </c>
      <c r="E24" s="1" t="n">
        <v>0.00905743</v>
      </c>
      <c r="F24" s="1" t="n">
        <v>0.00773395</v>
      </c>
      <c r="G24" s="1" t="n">
        <v>0.00659855</v>
      </c>
      <c r="H24" s="1" t="n">
        <v>0.00821796</v>
      </c>
      <c r="I24" s="1" t="n">
        <v>0.0104212</v>
      </c>
      <c r="J24" s="1" t="n">
        <v>0.00620113</v>
      </c>
      <c r="K24" s="1" t="n">
        <v>0.00967239</v>
      </c>
      <c r="L24" s="1" t="n">
        <v>0.00722212</v>
      </c>
      <c r="M24" s="1" t="n">
        <v>0.00611812</v>
      </c>
      <c r="N24" s="1" t="n">
        <v>0.00572217</v>
      </c>
      <c r="O24" s="1" t="n">
        <v>0.00633464</v>
      </c>
      <c r="P24" s="1" t="n">
        <v>0.00729747</v>
      </c>
      <c r="AH24" s="2"/>
      <c r="AI24" s="2" t="n">
        <f aca="false">(C24-$B24)*$A24</f>
        <v>-0.00548899999999999</v>
      </c>
      <c r="AJ24" s="2" t="n">
        <f aca="false">(D24-$B24)*$A24</f>
        <v>0.0219901</v>
      </c>
      <c r="AK24" s="2" t="n">
        <f aca="false">(E24-$B24)*$A24</f>
        <v>0.04448532</v>
      </c>
      <c r="AL24" s="2" t="n">
        <f aca="false">(F24-$B24)*$A24</f>
        <v>0.01536876</v>
      </c>
      <c r="AM24" s="2" t="n">
        <f aca="false">(G24-$B24)*$A24</f>
        <v>-0.00961004</v>
      </c>
      <c r="AN24" s="2" t="n">
        <f aca="false">(H24-$B24)*$A24</f>
        <v>0.02601698</v>
      </c>
      <c r="AO24" s="2" t="n">
        <f aca="false">(I24-$B24)*$A24</f>
        <v>0.07448826</v>
      </c>
      <c r="AP24" s="2" t="n">
        <f aca="false">(J24-$B24)*$A24</f>
        <v>-0.01835328</v>
      </c>
      <c r="AQ24" s="2" t="n">
        <f aca="false">(K24-$B24)*$A24</f>
        <v>0.05801444</v>
      </c>
      <c r="AR24" s="2" t="n">
        <f aca="false">(L24-$B24)*$A24</f>
        <v>0.00410850000000001</v>
      </c>
      <c r="AS24" s="2" t="n">
        <f aca="false">(M24-$B24)*$A24</f>
        <v>-0.0201795</v>
      </c>
      <c r="AT24" s="2" t="n">
        <f aca="false">(N24-$B24)*$A24</f>
        <v>-0.0288904</v>
      </c>
      <c r="AU24" s="2" t="n">
        <f aca="false">(O24-$B24)*$A24</f>
        <v>-0.01541606</v>
      </c>
      <c r="AV24" s="2" t="n">
        <f aca="false">(P24-$B24)*$A24</f>
        <v>0.00576620000000001</v>
      </c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</row>
    <row r="25" customFormat="false" ht="13.8" hidden="false" customHeight="false" outlineLevel="0" collapsed="false">
      <c r="A25" s="1" t="n">
        <f aca="false">1+A24</f>
        <v>23</v>
      </c>
      <c r="B25" s="1" t="n">
        <v>0.00389447</v>
      </c>
      <c r="C25" s="1" t="n">
        <v>0.00370416</v>
      </c>
      <c r="D25" s="1" t="n">
        <v>0.00480561</v>
      </c>
      <c r="E25" s="1" t="n">
        <v>0.00566428</v>
      </c>
      <c r="F25" s="1" t="n">
        <v>0.00448179</v>
      </c>
      <c r="G25" s="1" t="n">
        <v>0.00361609</v>
      </c>
      <c r="H25" s="1" t="n">
        <v>0.00466895</v>
      </c>
      <c r="I25" s="1" t="n">
        <v>0.00669543</v>
      </c>
      <c r="J25" s="1" t="n">
        <v>0.00334878</v>
      </c>
      <c r="K25" s="1" t="n">
        <v>0.00595586</v>
      </c>
      <c r="L25" s="1" t="n">
        <v>0.00403209</v>
      </c>
      <c r="M25" s="1" t="n">
        <v>0.00334245</v>
      </c>
      <c r="N25" s="1" t="n">
        <v>0.00294939</v>
      </c>
      <c r="O25" s="1" t="n">
        <v>0.00340255</v>
      </c>
      <c r="P25" s="1" t="n">
        <v>0.00426029</v>
      </c>
      <c r="AH25" s="2"/>
      <c r="AI25" s="2" t="n">
        <f aca="false">(C25-$B25)*$A25</f>
        <v>-0.00437713</v>
      </c>
      <c r="AJ25" s="2" t="n">
        <f aca="false">(D25-$B25)*$A25</f>
        <v>0.02095622</v>
      </c>
      <c r="AK25" s="2" t="n">
        <f aca="false">(E25-$B25)*$A25</f>
        <v>0.04070563</v>
      </c>
      <c r="AL25" s="2" t="n">
        <f aca="false">(F25-$B25)*$A25</f>
        <v>0.01350836</v>
      </c>
      <c r="AM25" s="2" t="n">
        <f aca="false">(G25-$B25)*$A25</f>
        <v>-0.00640274</v>
      </c>
      <c r="AN25" s="2" t="n">
        <f aca="false">(H25-$B25)*$A25</f>
        <v>0.01781304</v>
      </c>
      <c r="AO25" s="2" t="n">
        <f aca="false">(I25-$B25)*$A25</f>
        <v>0.06442208</v>
      </c>
      <c r="AP25" s="2" t="n">
        <f aca="false">(J25-$B25)*$A25</f>
        <v>-0.01255087</v>
      </c>
      <c r="AQ25" s="2" t="n">
        <f aca="false">(K25-$B25)*$A25</f>
        <v>0.04741197</v>
      </c>
      <c r="AR25" s="2" t="n">
        <f aca="false">(L25-$B25)*$A25</f>
        <v>0.00316526</v>
      </c>
      <c r="AS25" s="2" t="n">
        <f aca="false">(M25-$B25)*$A25</f>
        <v>-0.01269646</v>
      </c>
      <c r="AT25" s="2" t="n">
        <f aca="false">(N25-$B25)*$A25</f>
        <v>-0.02173684</v>
      </c>
      <c r="AU25" s="2" t="n">
        <f aca="false">(O25-$B25)*$A25</f>
        <v>-0.01131416</v>
      </c>
      <c r="AV25" s="2" t="n">
        <f aca="false">(P25-$B25)*$A25</f>
        <v>0.00841386</v>
      </c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</row>
    <row r="26" customFormat="false" ht="13.8" hidden="false" customHeight="false" outlineLevel="0" collapsed="false">
      <c r="A26" s="1" t="n">
        <f aca="false">1+A25</f>
        <v>24</v>
      </c>
      <c r="B26" s="1" t="n">
        <v>0.00210323</v>
      </c>
      <c r="C26" s="1" t="n">
        <v>0.00200733</v>
      </c>
      <c r="D26" s="1" t="n">
        <v>0.00275652</v>
      </c>
      <c r="E26" s="1" t="n">
        <v>0.00365459</v>
      </c>
      <c r="F26" s="1" t="n">
        <v>0.00250268</v>
      </c>
      <c r="G26" s="1" t="n">
        <v>0.00193826</v>
      </c>
      <c r="H26" s="1" t="n">
        <v>0.00264238</v>
      </c>
      <c r="I26" s="1" t="n">
        <v>0.00442863</v>
      </c>
      <c r="J26" s="1" t="n">
        <v>0.00170019</v>
      </c>
      <c r="K26" s="1" t="n">
        <v>0.00375349</v>
      </c>
      <c r="L26" s="1" t="n">
        <v>0.00216827</v>
      </c>
      <c r="M26" s="1" t="n">
        <v>0.00176495</v>
      </c>
      <c r="N26" s="1" t="n">
        <v>0.00148685</v>
      </c>
      <c r="O26" s="1" t="n">
        <v>0.00180685</v>
      </c>
      <c r="P26" s="1" t="n">
        <v>0.00243071</v>
      </c>
      <c r="AH26" s="2"/>
      <c r="AI26" s="2" t="n">
        <f aca="false">(C26-$B26)*$A26</f>
        <v>-0.00230160000000001</v>
      </c>
      <c r="AJ26" s="2" t="n">
        <f aca="false">(D26-$B26)*$A26</f>
        <v>0.01567896</v>
      </c>
      <c r="AK26" s="2" t="n">
        <f aca="false">(E26-$B26)*$A26</f>
        <v>0.03723264</v>
      </c>
      <c r="AL26" s="2" t="n">
        <f aca="false">(F26-$B26)*$A26</f>
        <v>0.0095868</v>
      </c>
      <c r="AM26" s="2" t="n">
        <f aca="false">(G26-$B26)*$A26</f>
        <v>-0.00395928</v>
      </c>
      <c r="AN26" s="2" t="n">
        <f aca="false">(H26-$B26)*$A26</f>
        <v>0.0129396</v>
      </c>
      <c r="AO26" s="2" t="n">
        <f aca="false">(I26-$B26)*$A26</f>
        <v>0.0558096</v>
      </c>
      <c r="AP26" s="2" t="n">
        <f aca="false">(J26-$B26)*$A26</f>
        <v>-0.00967296</v>
      </c>
      <c r="AQ26" s="2" t="n">
        <f aca="false">(K26-$B26)*$A26</f>
        <v>0.03960624</v>
      </c>
      <c r="AR26" s="2" t="n">
        <f aca="false">(L26-$B26)*$A26</f>
        <v>0.00156095999999999</v>
      </c>
      <c r="AS26" s="2" t="n">
        <f aca="false">(M26-$B26)*$A26</f>
        <v>-0.00811872000000001</v>
      </c>
      <c r="AT26" s="2" t="n">
        <f aca="false">(N26-$B26)*$A26</f>
        <v>-0.01479312</v>
      </c>
      <c r="AU26" s="2" t="n">
        <f aca="false">(O26-$B26)*$A26</f>
        <v>-0.00711312</v>
      </c>
      <c r="AV26" s="2" t="n">
        <f aca="false">(P26-$B26)*$A26</f>
        <v>0.00785952</v>
      </c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</row>
    <row r="27" customFormat="false" ht="13.8" hidden="false" customHeight="false" outlineLevel="0" collapsed="false">
      <c r="A27" s="1" t="n">
        <f aca="false">1+A26</f>
        <v>25</v>
      </c>
      <c r="B27" s="1" t="n">
        <v>0.00108609</v>
      </c>
      <c r="C27" s="1" t="n">
        <v>0.00101868</v>
      </c>
      <c r="D27" s="1" t="n">
        <v>0.00160469</v>
      </c>
      <c r="E27" s="1" t="n">
        <v>0.0024287</v>
      </c>
      <c r="F27" s="1" t="n">
        <v>0.00139748</v>
      </c>
      <c r="G27" s="1" t="n">
        <v>0.00107287</v>
      </c>
      <c r="H27" s="1" t="n">
        <v>0.00141652</v>
      </c>
      <c r="I27" s="1" t="n">
        <v>0.00291644</v>
      </c>
      <c r="J27" s="1" t="n">
        <v>0.000919724</v>
      </c>
      <c r="K27" s="1" t="n">
        <v>0.00239733</v>
      </c>
      <c r="L27" s="1" t="n">
        <v>0.00112725</v>
      </c>
      <c r="M27" s="1" t="n">
        <v>0.000935827</v>
      </c>
      <c r="N27" s="1" t="n">
        <v>0.000693566</v>
      </c>
      <c r="O27" s="1" t="n">
        <v>0.000984649</v>
      </c>
      <c r="P27" s="1" t="n">
        <v>0.00135002</v>
      </c>
      <c r="AH27" s="2"/>
      <c r="AI27" s="2" t="n">
        <f aca="false">(C27-$B27)*$A27</f>
        <v>-0.00168525</v>
      </c>
      <c r="AJ27" s="2" t="n">
        <f aca="false">(D27-$B27)*$A27</f>
        <v>0.012965</v>
      </c>
      <c r="AK27" s="2" t="n">
        <f aca="false">(E27-$B27)*$A27</f>
        <v>0.03356525</v>
      </c>
      <c r="AL27" s="2" t="n">
        <f aca="false">(F27-$B27)*$A27</f>
        <v>0.00778475</v>
      </c>
      <c r="AM27" s="2" t="n">
        <f aca="false">(G27-$B27)*$A27</f>
        <v>-0.0003305</v>
      </c>
      <c r="AN27" s="2" t="n">
        <f aca="false">(H27-$B27)*$A27</f>
        <v>0.00826075</v>
      </c>
      <c r="AO27" s="2" t="n">
        <f aca="false">(I27-$B27)*$A27</f>
        <v>0.04575875</v>
      </c>
      <c r="AP27" s="2" t="n">
        <f aca="false">(J27-$B27)*$A27</f>
        <v>-0.00415915</v>
      </c>
      <c r="AQ27" s="2" t="n">
        <f aca="false">(K27-$B27)*$A27</f>
        <v>0.032781</v>
      </c>
      <c r="AR27" s="2" t="n">
        <f aca="false">(L27-$B27)*$A27</f>
        <v>0.001029</v>
      </c>
      <c r="AS27" s="2" t="n">
        <f aca="false">(M27-$B27)*$A27</f>
        <v>-0.003756575</v>
      </c>
      <c r="AT27" s="2" t="n">
        <f aca="false">(N27-$B27)*$A27</f>
        <v>-0.0098131</v>
      </c>
      <c r="AU27" s="2" t="n">
        <f aca="false">(O27-$B27)*$A27</f>
        <v>-0.002536025</v>
      </c>
      <c r="AV27" s="2" t="n">
        <f aca="false">(P27-$B27)*$A27</f>
        <v>0.00659825</v>
      </c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</row>
    <row r="28" customFormat="false" ht="13.8" hidden="false" customHeight="false" outlineLevel="0" collapsed="false">
      <c r="A28" s="1" t="n">
        <f aca="false">1+A27</f>
        <v>26</v>
      </c>
      <c r="B28" s="1" t="n">
        <v>0.000530575</v>
      </c>
      <c r="C28" s="1" t="n">
        <v>0.000525083</v>
      </c>
      <c r="D28" s="1" t="n">
        <v>0.000913195</v>
      </c>
      <c r="E28" s="1" t="n">
        <v>0.00166145</v>
      </c>
      <c r="F28" s="1" t="n">
        <v>0.000734847</v>
      </c>
      <c r="G28" s="1" t="n">
        <v>0.000551985</v>
      </c>
      <c r="H28" s="1" t="n">
        <v>0.000773263</v>
      </c>
      <c r="I28" s="1" t="n">
        <v>0.0020105</v>
      </c>
      <c r="J28" s="1" t="n">
        <v>0.000484408</v>
      </c>
      <c r="K28" s="1" t="n">
        <v>0.00159215</v>
      </c>
      <c r="L28" s="1" t="n">
        <v>0.00059253</v>
      </c>
      <c r="M28" s="1" t="n">
        <v>0.000461061</v>
      </c>
      <c r="N28" s="1" t="n">
        <v>0.000304117</v>
      </c>
      <c r="O28" s="1" t="n">
        <v>0.000508719</v>
      </c>
      <c r="P28" s="1" t="n">
        <v>0.00076099</v>
      </c>
      <c r="AH28" s="2"/>
      <c r="AI28" s="2" t="n">
        <f aca="false">(C28-$B28)*$A28</f>
        <v>-0.000142792000000002</v>
      </c>
      <c r="AJ28" s="2" t="n">
        <f aca="false">(D28-$B28)*$A28</f>
        <v>0.00994812</v>
      </c>
      <c r="AK28" s="2" t="n">
        <f aca="false">(E28-$B28)*$A28</f>
        <v>0.02940275</v>
      </c>
      <c r="AL28" s="2" t="n">
        <f aca="false">(F28-$B28)*$A28</f>
        <v>0.005311072</v>
      </c>
      <c r="AM28" s="2" t="n">
        <f aca="false">(G28-$B28)*$A28</f>
        <v>0.000556659999999998</v>
      </c>
      <c r="AN28" s="2" t="n">
        <f aca="false">(H28-$B28)*$A28</f>
        <v>0.006309888</v>
      </c>
      <c r="AO28" s="2" t="n">
        <f aca="false">(I28-$B28)*$A28</f>
        <v>0.03847805</v>
      </c>
      <c r="AP28" s="2" t="n">
        <f aca="false">(J28-$B28)*$A28</f>
        <v>-0.001200342</v>
      </c>
      <c r="AQ28" s="2" t="n">
        <f aca="false">(K28-$B28)*$A28</f>
        <v>0.02760095</v>
      </c>
      <c r="AR28" s="2" t="n">
        <f aca="false">(L28-$B28)*$A28</f>
        <v>0.00161083</v>
      </c>
      <c r="AS28" s="2" t="n">
        <f aca="false">(M28-$B28)*$A28</f>
        <v>-0.001807364</v>
      </c>
      <c r="AT28" s="2" t="n">
        <f aca="false">(N28-$B28)*$A28</f>
        <v>-0.005887908</v>
      </c>
      <c r="AU28" s="2" t="n">
        <f aca="false">(O28-$B28)*$A28</f>
        <v>-0.000568256</v>
      </c>
      <c r="AV28" s="2" t="n">
        <f aca="false">(P28-$B28)*$A28</f>
        <v>0.00599079</v>
      </c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</row>
    <row r="29" customFormat="false" ht="13.8" hidden="false" customHeight="false" outlineLevel="0" collapsed="false">
      <c r="A29" s="1" t="n">
        <f aca="false">1+A28</f>
        <v>27</v>
      </c>
      <c r="B29" s="1" t="n">
        <v>0.000247928</v>
      </c>
      <c r="C29" s="1" t="n">
        <v>0.000262541</v>
      </c>
      <c r="D29" s="1" t="n">
        <v>0.000569937</v>
      </c>
      <c r="E29" s="1" t="n">
        <v>0.0011451</v>
      </c>
      <c r="F29" s="1" t="n">
        <v>0.000384014</v>
      </c>
      <c r="G29" s="1" t="n">
        <v>0.000271619</v>
      </c>
      <c r="H29" s="1" t="n">
        <v>0.000403965</v>
      </c>
      <c r="I29" s="1" t="n">
        <v>0.00145699</v>
      </c>
      <c r="J29" s="1" t="n">
        <v>0.000244458</v>
      </c>
      <c r="K29" s="1" t="n">
        <v>0.00101788</v>
      </c>
      <c r="L29" s="1" t="n">
        <v>0.000288076</v>
      </c>
      <c r="M29" s="1" t="n">
        <v>0.000230531</v>
      </c>
      <c r="N29" s="1" t="n">
        <v>0.000134447</v>
      </c>
      <c r="O29" s="1" t="n">
        <v>0.000283173</v>
      </c>
      <c r="P29" s="1" t="n">
        <v>0.000406895</v>
      </c>
      <c r="AH29" s="2"/>
      <c r="AI29" s="2" t="n">
        <f aca="false">(C29-$B29)*$A29</f>
        <v>0.000394550999999999</v>
      </c>
      <c r="AJ29" s="2" t="n">
        <f aca="false">(D29-$B29)*$A29</f>
        <v>0.008694243</v>
      </c>
      <c r="AK29" s="2" t="n">
        <f aca="false">(E29-$B29)*$A29</f>
        <v>0.024223644</v>
      </c>
      <c r="AL29" s="2" t="n">
        <f aca="false">(F29-$B29)*$A29</f>
        <v>0.003674322</v>
      </c>
      <c r="AM29" s="2" t="n">
        <f aca="false">(G29-$B29)*$A29</f>
        <v>0.000639657</v>
      </c>
      <c r="AN29" s="2" t="n">
        <f aca="false">(H29-$B29)*$A29</f>
        <v>0.004212999</v>
      </c>
      <c r="AO29" s="2" t="n">
        <f aca="false">(I29-$B29)*$A29</f>
        <v>0.032644674</v>
      </c>
      <c r="AP29" s="2" t="n">
        <f aca="false">(J29-$B29)*$A29</f>
        <v>-9.36899999999998E-005</v>
      </c>
      <c r="AQ29" s="2" t="n">
        <f aca="false">(K29-$B29)*$A29</f>
        <v>0.020788704</v>
      </c>
      <c r="AR29" s="2" t="n">
        <f aca="false">(L29-$B29)*$A29</f>
        <v>0.001083996</v>
      </c>
      <c r="AS29" s="2" t="n">
        <f aca="false">(M29-$B29)*$A29</f>
        <v>-0.000469719000000001</v>
      </c>
      <c r="AT29" s="2" t="n">
        <f aca="false">(N29-$B29)*$A29</f>
        <v>-0.003063987</v>
      </c>
      <c r="AU29" s="2" t="n">
        <f aca="false">(O29-$B29)*$A29</f>
        <v>0.000951615</v>
      </c>
      <c r="AV29" s="2" t="n">
        <f aca="false">(P29-$B29)*$A29</f>
        <v>0.004292109</v>
      </c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</row>
    <row r="30" customFormat="false" ht="13.8" hidden="false" customHeight="false" outlineLevel="0" collapsed="false">
      <c r="A30" s="1" t="n">
        <f aca="false">1+A29</f>
        <v>28</v>
      </c>
      <c r="B30" s="1" t="n">
        <v>0.000112472</v>
      </c>
      <c r="C30" s="3" t="n">
        <v>0.000117223</v>
      </c>
      <c r="D30" s="3" t="n">
        <v>0.000322831</v>
      </c>
      <c r="E30" s="1" t="n">
        <v>0.000796352</v>
      </c>
      <c r="F30" s="1" t="n">
        <v>0.000179076</v>
      </c>
      <c r="G30" s="1" t="n">
        <v>0.000134595</v>
      </c>
      <c r="H30" s="1" t="n">
        <v>0.000234001</v>
      </c>
      <c r="I30" s="1" t="n">
        <v>0.00102965</v>
      </c>
      <c r="J30" s="1" t="n">
        <v>0.000128741</v>
      </c>
      <c r="K30" s="1" t="n">
        <v>0.000641619</v>
      </c>
      <c r="L30" s="1" t="n">
        <v>0.000124769</v>
      </c>
      <c r="M30" s="1" t="n">
        <v>0.000114531</v>
      </c>
      <c r="N30" s="3" t="n">
        <v>5.45724E-005</v>
      </c>
      <c r="O30" s="1" t="n">
        <v>0.000147051</v>
      </c>
      <c r="P30" s="1" t="n">
        <v>0.000219917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2"/>
      <c r="AI30" s="2" t="n">
        <f aca="false">(C30-$B30)*$A30</f>
        <v>0.000133028</v>
      </c>
      <c r="AJ30" s="2" t="n">
        <f aca="false">(D30-$B30)*$A30</f>
        <v>0.005890052</v>
      </c>
      <c r="AK30" s="2" t="n">
        <f aca="false">(E30-$B30)*$A30</f>
        <v>0.01914864</v>
      </c>
      <c r="AL30" s="2" t="n">
        <f aca="false">(F30-$B30)*$A30</f>
        <v>0.001864912</v>
      </c>
      <c r="AM30" s="2" t="n">
        <f aca="false">(G30-$B30)*$A30</f>
        <v>0.000619444</v>
      </c>
      <c r="AN30" s="2" t="n">
        <f aca="false">(H30-$B30)*$A30</f>
        <v>0.003402812</v>
      </c>
      <c r="AO30" s="2" t="n">
        <f aca="false">(I30-$B30)*$A30</f>
        <v>0.025680984</v>
      </c>
      <c r="AP30" s="2" t="n">
        <f aca="false">(J30-$B30)*$A30</f>
        <v>0.000455532</v>
      </c>
      <c r="AQ30" s="2" t="n">
        <f aca="false">(K30-$B30)*$A30</f>
        <v>0.014816116</v>
      </c>
      <c r="AR30" s="2" t="n">
        <f aca="false">(L30-$B30)*$A30</f>
        <v>0.000344316</v>
      </c>
      <c r="AS30" s="2" t="n">
        <f aca="false">(M30-$B30)*$A30</f>
        <v>5.76520000000001E-005</v>
      </c>
      <c r="AT30" s="2" t="n">
        <f aca="false">(N30-$B30)*$A30</f>
        <v>-0.0016211888</v>
      </c>
      <c r="AU30" s="2" t="n">
        <f aca="false">(O30-$B30)*$A30</f>
        <v>0.000968212</v>
      </c>
      <c r="AV30" s="2" t="n">
        <f aca="false">(P30-$B30)*$A30</f>
        <v>0.00300846</v>
      </c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</row>
    <row r="31" customFormat="false" ht="13.8" hidden="false" customHeight="false" outlineLevel="0" collapsed="false">
      <c r="A31" s="1" t="n">
        <f aca="false">1+A30</f>
        <v>29</v>
      </c>
      <c r="B31" s="3" t="n">
        <v>4.93899E-005</v>
      </c>
      <c r="C31" s="3" t="n">
        <v>6.05492E-005</v>
      </c>
      <c r="D31" s="3" t="n">
        <v>0.00017686</v>
      </c>
      <c r="E31" s="1" t="n">
        <v>0.000536923</v>
      </c>
      <c r="F31" s="3" t="n">
        <v>8.39268E-005</v>
      </c>
      <c r="G31" s="3" t="n">
        <v>7.28854E-005</v>
      </c>
      <c r="H31" s="1" t="n">
        <v>0.000118445</v>
      </c>
      <c r="I31" s="1" t="n">
        <v>0.000816228</v>
      </c>
      <c r="J31" s="3" t="n">
        <v>5.86099E-005</v>
      </c>
      <c r="K31" s="1" t="n">
        <v>0.00041019</v>
      </c>
      <c r="L31" s="3" t="n">
        <v>5.10636E-005</v>
      </c>
      <c r="M31" s="3" t="n">
        <v>5.82445E-005</v>
      </c>
      <c r="N31" s="3" t="n">
        <v>2.03406E-005</v>
      </c>
      <c r="O31" s="3" t="n">
        <v>8.24681E-005</v>
      </c>
      <c r="P31" s="1" t="n">
        <v>0.000105599</v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2"/>
      <c r="AI31" s="2" t="n">
        <f aca="false">(C31-$B31)*$A31</f>
        <v>0.0003236197</v>
      </c>
      <c r="AJ31" s="2" t="n">
        <f aca="false">(D31-$B31)*$A31</f>
        <v>0.0036966329</v>
      </c>
      <c r="AK31" s="2" t="n">
        <f aca="false">(E31-$B31)*$A31</f>
        <v>0.0141384599</v>
      </c>
      <c r="AL31" s="2" t="n">
        <f aca="false">(F31-$B31)*$A31</f>
        <v>0.0010015701</v>
      </c>
      <c r="AM31" s="2" t="n">
        <f aca="false">(G31-$B31)*$A31</f>
        <v>0.0006813695</v>
      </c>
      <c r="AN31" s="2" t="n">
        <f aca="false">(H31-$B31)*$A31</f>
        <v>0.0020025979</v>
      </c>
      <c r="AO31" s="2" t="n">
        <f aca="false">(I31-$B31)*$A31</f>
        <v>0.0222383049</v>
      </c>
      <c r="AP31" s="2" t="n">
        <f aca="false">(J31-$B31)*$A31</f>
        <v>0.00026738</v>
      </c>
      <c r="AQ31" s="2" t="n">
        <f aca="false">(K31-$B31)*$A31</f>
        <v>0.0104632029</v>
      </c>
      <c r="AR31" s="2" t="n">
        <f aca="false">(L31-$B31)*$A31</f>
        <v>4.85372999999999E-005</v>
      </c>
      <c r="AS31" s="2" t="n">
        <f aca="false">(M31-$B31)*$A31</f>
        <v>0.0002567834</v>
      </c>
      <c r="AT31" s="2" t="n">
        <f aca="false">(N31-$B31)*$A31</f>
        <v>-0.0008424297</v>
      </c>
      <c r="AU31" s="2" t="n">
        <f aca="false">(O31-$B31)*$A31</f>
        <v>0.0009592678</v>
      </c>
      <c r="AV31" s="2" t="n">
        <f aca="false">(P31-$B31)*$A31</f>
        <v>0.0016300639</v>
      </c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</row>
    <row r="32" customFormat="false" ht="13.8" hidden="false" customHeight="false" outlineLevel="0" collapsed="false">
      <c r="A32" s="1" t="n">
        <f aca="false">1+A31</f>
        <v>30</v>
      </c>
      <c r="B32" s="3" t="n">
        <v>1.95604E-005</v>
      </c>
      <c r="C32" s="3" t="n">
        <v>2.37353E-005</v>
      </c>
      <c r="D32" s="3" t="n">
        <v>8.96754E-005</v>
      </c>
      <c r="E32" s="1" t="n">
        <v>0.000346742</v>
      </c>
      <c r="F32" s="3" t="n">
        <v>4.14754E-005</v>
      </c>
      <c r="G32" s="3" t="n">
        <v>3.83863E-005</v>
      </c>
      <c r="H32" s="3" t="n">
        <v>6.21114E-005</v>
      </c>
      <c r="I32" s="3" t="n">
        <v>0.000600341</v>
      </c>
      <c r="J32" s="3" t="n">
        <v>2.70507E-005</v>
      </c>
      <c r="K32" s="3" t="n">
        <v>0.00026789</v>
      </c>
      <c r="L32" s="3" t="n">
        <v>1.78241E-005</v>
      </c>
      <c r="M32" s="3" t="n">
        <v>2.98564E-005</v>
      </c>
      <c r="N32" s="3" t="n">
        <v>6.44947E-006</v>
      </c>
      <c r="O32" s="3" t="n">
        <v>3.87501E-005</v>
      </c>
      <c r="P32" s="3" t="n">
        <v>6.00654E-005</v>
      </c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2"/>
      <c r="AI32" s="2" t="n">
        <f aca="false">(C32-$B32)*$A32</f>
        <v>0.000125247</v>
      </c>
      <c r="AJ32" s="2" t="n">
        <f aca="false">(D32-$B32)*$A32</f>
        <v>0.00210345</v>
      </c>
      <c r="AK32" s="2" t="n">
        <f aca="false">(E32-$B32)*$A32</f>
        <v>0.009815448</v>
      </c>
      <c r="AL32" s="2" t="n">
        <f aca="false">(F32-$B32)*$A32</f>
        <v>0.00065745</v>
      </c>
      <c r="AM32" s="2" t="n">
        <f aca="false">(G32-$B32)*$A32</f>
        <v>0.000564777</v>
      </c>
      <c r="AN32" s="2" t="n">
        <f aca="false">(H32-$B32)*$A32</f>
        <v>0.00127653</v>
      </c>
      <c r="AO32" s="2" t="n">
        <f aca="false">(I32-$B32)*$A32</f>
        <v>0.017423418</v>
      </c>
      <c r="AP32" s="2" t="n">
        <f aca="false">(J32-$B32)*$A32</f>
        <v>0.000224709</v>
      </c>
      <c r="AQ32" s="2" t="n">
        <f aca="false">(K32-$B32)*$A32</f>
        <v>0.007449888</v>
      </c>
      <c r="AR32" s="2" t="n">
        <f aca="false">(L32-$B32)*$A32</f>
        <v>-5.2089E-005</v>
      </c>
      <c r="AS32" s="2" t="n">
        <f aca="false">(M32-$B32)*$A32</f>
        <v>0.00030888</v>
      </c>
      <c r="AT32" s="2" t="n">
        <f aca="false">(N32-$B32)*$A32</f>
        <v>-0.0003933279</v>
      </c>
      <c r="AU32" s="2" t="n">
        <f aca="false">(O32-$B32)*$A32</f>
        <v>0.000575691</v>
      </c>
      <c r="AV32" s="2" t="n">
        <f aca="false">(P32-$B32)*$A32</f>
        <v>0.00121515</v>
      </c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</row>
    <row r="33" customFormat="false" ht="13.8" hidden="false" customHeight="false" outlineLevel="0" collapsed="false">
      <c r="A33" s="1" t="n">
        <f aca="false">1+A32</f>
        <v>31</v>
      </c>
      <c r="B33" s="3" t="n">
        <v>3.91207E-006</v>
      </c>
      <c r="C33" s="3" t="n">
        <v>1.01723E-005</v>
      </c>
      <c r="D33" s="3" t="n">
        <v>4.93215E-005</v>
      </c>
      <c r="E33" s="1" t="n">
        <v>0.000218783</v>
      </c>
      <c r="F33" s="3" t="n">
        <v>1.36625E-005</v>
      </c>
      <c r="G33" s="3" t="n">
        <v>2.72105E-005</v>
      </c>
      <c r="H33" s="3" t="n">
        <v>3.22594E-005</v>
      </c>
      <c r="I33" s="3" t="n">
        <v>0.000483033</v>
      </c>
      <c r="J33" s="3" t="n">
        <v>1.40263E-005</v>
      </c>
      <c r="K33" s="3" t="n">
        <v>0.000163063</v>
      </c>
      <c r="L33" s="3" t="n">
        <v>6.74424E-006</v>
      </c>
      <c r="M33" s="3" t="n">
        <v>1.56624E-005</v>
      </c>
      <c r="N33" s="3" t="n">
        <v>4.96113E-007</v>
      </c>
      <c r="O33" s="3" t="n">
        <v>2.03686E-005</v>
      </c>
      <c r="P33" s="3" t="n">
        <v>3.77831E-005</v>
      </c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2"/>
      <c r="AI33" s="2" t="n">
        <f aca="false">(C33-$B33)*$A33</f>
        <v>0.00019406713</v>
      </c>
      <c r="AJ33" s="2" t="n">
        <f aca="false">(D33-$B33)*$A33</f>
        <v>0.00140769233</v>
      </c>
      <c r="AK33" s="2" t="n">
        <f aca="false">(E33-$B33)*$A33</f>
        <v>0.00666099883</v>
      </c>
      <c r="AL33" s="2" t="n">
        <f aca="false">(F33-$B33)*$A33</f>
        <v>0.00030226333</v>
      </c>
      <c r="AM33" s="2" t="n">
        <f aca="false">(G33-$B33)*$A33</f>
        <v>0.00072225133</v>
      </c>
      <c r="AN33" s="2" t="n">
        <f aca="false">(H33-$B33)*$A33</f>
        <v>0.00087876723</v>
      </c>
      <c r="AO33" s="2" t="n">
        <f aca="false">(I33-$B33)*$A33</f>
        <v>0.01485274883</v>
      </c>
      <c r="AP33" s="2" t="n">
        <f aca="false">(J33-$B33)*$A33</f>
        <v>0.00031354113</v>
      </c>
      <c r="AQ33" s="2" t="n">
        <f aca="false">(K33-$B33)*$A33</f>
        <v>0.00493367883</v>
      </c>
      <c r="AR33" s="2" t="n">
        <f aca="false">(L33-$B33)*$A33</f>
        <v>8.779727E-005</v>
      </c>
      <c r="AS33" s="2" t="n">
        <f aca="false">(M33-$B33)*$A33</f>
        <v>0.00036426023</v>
      </c>
      <c r="AT33" s="2" t="n">
        <f aca="false">(N33-$B33)*$A33</f>
        <v>-0.000105894667</v>
      </c>
      <c r="AU33" s="2" t="n">
        <f aca="false">(O33-$B33)*$A33</f>
        <v>0.00051015243</v>
      </c>
      <c r="AV33" s="2" t="n">
        <f aca="false">(P33-$B33)*$A33</f>
        <v>0.00105000193</v>
      </c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</row>
    <row r="34" customFormat="false" ht="13.8" hidden="false" customHeight="false" outlineLevel="0" collapsed="false">
      <c r="A34" s="1" t="n">
        <f aca="false">1+A33</f>
        <v>32</v>
      </c>
      <c r="B34" s="3" t="n">
        <v>9.78018E-007</v>
      </c>
      <c r="C34" s="3" t="n">
        <v>2.90636E-006</v>
      </c>
      <c r="D34" s="3" t="n">
        <v>2.59062E-005</v>
      </c>
      <c r="E34" s="3" t="n">
        <v>0.000146525</v>
      </c>
      <c r="F34" s="3" t="n">
        <v>5.85536E-006</v>
      </c>
      <c r="G34" s="3" t="n">
        <v>1.55489E-005</v>
      </c>
      <c r="H34" s="3" t="n">
        <v>1.4926E-005</v>
      </c>
      <c r="I34" s="3" t="n">
        <v>0.000383962</v>
      </c>
      <c r="J34" s="3" t="n">
        <v>3.00564E-006</v>
      </c>
      <c r="K34" s="3" t="n">
        <v>0.000121538</v>
      </c>
      <c r="L34" s="3" t="n">
        <v>4.81732E-007</v>
      </c>
      <c r="M34" s="3" t="n">
        <v>5.87339E-006</v>
      </c>
      <c r="N34" s="3"/>
      <c r="O34" s="3" t="n">
        <v>7.45193E-006</v>
      </c>
      <c r="P34" s="3" t="n">
        <v>2.22823E-005</v>
      </c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2"/>
      <c r="AI34" s="2" t="n">
        <f aca="false">(C34-$B34)*$A34</f>
        <v>6.1706944E-005</v>
      </c>
      <c r="AJ34" s="2" t="n">
        <f aca="false">(D34-$B34)*$A34</f>
        <v>0.000797701824</v>
      </c>
      <c r="AK34" s="2" t="n">
        <f aca="false">(E34-$B34)*$A34</f>
        <v>0.004657503424</v>
      </c>
      <c r="AL34" s="2" t="n">
        <f aca="false">(F34-$B34)*$A34</f>
        <v>0.000156074944</v>
      </c>
      <c r="AM34" s="2" t="n">
        <f aca="false">(G34-$B34)*$A34</f>
        <v>0.000466268224</v>
      </c>
      <c r="AN34" s="2" t="n">
        <f aca="false">(H34-$B34)*$A34</f>
        <v>0.000446335424</v>
      </c>
      <c r="AO34" s="2" t="n">
        <f aca="false">(I34-$B34)*$A34</f>
        <v>0.012255487424</v>
      </c>
      <c r="AP34" s="2" t="n">
        <f aca="false">(J34-$B34)*$A34</f>
        <v>6.4883904E-005</v>
      </c>
      <c r="AQ34" s="2" t="n">
        <f aca="false">(K34-$B34)*$A34</f>
        <v>0.003857919424</v>
      </c>
      <c r="AR34" s="2" t="n">
        <f aca="false">(L34-$B34)*$A34</f>
        <v>-1.5881152E-005</v>
      </c>
      <c r="AS34" s="2" t="n">
        <f aca="false">(M34-$B34)*$A34</f>
        <v>0.000156651904</v>
      </c>
      <c r="AT34" s="2" t="n">
        <f aca="false">(N34-$B34)*$A34</f>
        <v>-3.1296576E-005</v>
      </c>
      <c r="AU34" s="2" t="n">
        <f aca="false">(O34-$B34)*$A34</f>
        <v>0.000207165184</v>
      </c>
      <c r="AV34" s="2" t="n">
        <f aca="false">(P34-$B34)*$A34</f>
        <v>0.000681737024</v>
      </c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</row>
    <row r="35" customFormat="false" ht="13.8" hidden="false" customHeight="false" outlineLevel="0" collapsed="false">
      <c r="A35" s="1" t="n">
        <f aca="false">1+A34</f>
        <v>33</v>
      </c>
      <c r="B35" s="3" t="n">
        <v>4.89009E-007</v>
      </c>
      <c r="C35" s="3"/>
      <c r="D35" s="3" t="n">
        <v>8.96754E-006</v>
      </c>
      <c r="E35" s="3" t="n">
        <v>9.6345E-005</v>
      </c>
      <c r="F35" s="3" t="n">
        <v>1.46384E-006</v>
      </c>
      <c r="G35" s="3" t="n">
        <v>7.77444E-006</v>
      </c>
      <c r="H35" s="3" t="n">
        <v>5.7778E-006</v>
      </c>
      <c r="I35" s="3" t="n">
        <v>0.000332701</v>
      </c>
      <c r="J35" s="3" t="n">
        <v>5.00939E-007</v>
      </c>
      <c r="K35" s="3" t="n">
        <v>7.34291E-005</v>
      </c>
      <c r="L35" s="3"/>
      <c r="M35" s="3" t="n">
        <v>1.46835E-006</v>
      </c>
      <c r="N35" s="3"/>
      <c r="O35" s="3" t="n">
        <v>3.97436E-006</v>
      </c>
      <c r="P35" s="3" t="n">
        <v>1.16256E-005</v>
      </c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2"/>
      <c r="AI35" s="2" t="n">
        <f aca="false">(C35-$B35)*$A35</f>
        <v>-1.6137297E-005</v>
      </c>
      <c r="AJ35" s="2" t="n">
        <f aca="false">(D35-$B35)*$A35</f>
        <v>0.000279791523</v>
      </c>
      <c r="AK35" s="2" t="n">
        <f aca="false">(E35-$B35)*$A35</f>
        <v>0.003163247703</v>
      </c>
      <c r="AL35" s="2" t="n">
        <f aca="false">(F35-$B35)*$A35</f>
        <v>3.2169423E-005</v>
      </c>
      <c r="AM35" s="2" t="n">
        <f aca="false">(G35-$B35)*$A35</f>
        <v>0.000240419223</v>
      </c>
      <c r="AN35" s="2" t="n">
        <f aca="false">(H35-$B35)*$A35</f>
        <v>0.000174530103</v>
      </c>
      <c r="AO35" s="2" t="n">
        <f aca="false">(I35-$B35)*$A35</f>
        <v>0.010962995703</v>
      </c>
      <c r="AP35" s="2" t="n">
        <f aca="false">(J35-$B35)*$A35</f>
        <v>3.93689999999997E-007</v>
      </c>
      <c r="AQ35" s="2" t="n">
        <f aca="false">(K35-$B35)*$A35</f>
        <v>0.002407023003</v>
      </c>
      <c r="AR35" s="2" t="n">
        <f aca="false">(L35-$B35)*$A35</f>
        <v>-1.6137297E-005</v>
      </c>
      <c r="AS35" s="2" t="n">
        <f aca="false">(M35-$B35)*$A35</f>
        <v>3.2318253E-005</v>
      </c>
      <c r="AT35" s="2" t="n">
        <f aca="false">(N35-$B35)*$A35</f>
        <v>-1.6137297E-005</v>
      </c>
      <c r="AU35" s="2" t="n">
        <f aca="false">(O35-$B35)*$A35</f>
        <v>0.000115016583</v>
      </c>
      <c r="AV35" s="2" t="n">
        <f aca="false">(P35-$B35)*$A35</f>
        <v>0.000367507503</v>
      </c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</row>
    <row r="36" customFormat="false" ht="13.8" hidden="false" customHeight="false" outlineLevel="0" collapsed="false">
      <c r="A36" s="1" t="n">
        <f aca="false">1+A35</f>
        <v>34</v>
      </c>
      <c r="C36" s="3"/>
      <c r="D36" s="3" t="n">
        <v>4.98197E-006</v>
      </c>
      <c r="E36" s="3" t="n">
        <v>5.21869E-005</v>
      </c>
      <c r="G36" s="3" t="n">
        <v>3.88722E-006</v>
      </c>
      <c r="H36" s="3" t="n">
        <v>3.37039E-006</v>
      </c>
      <c r="I36" s="3" t="n">
        <v>0.000235602</v>
      </c>
      <c r="J36" s="3"/>
      <c r="K36" s="3" t="n">
        <v>4.65895E-005</v>
      </c>
      <c r="L36" s="3"/>
      <c r="M36" s="3"/>
      <c r="N36" s="3"/>
      <c r="O36" s="3" t="n">
        <v>1.49039E-006</v>
      </c>
      <c r="P36" s="3" t="n">
        <v>5.32839E-006</v>
      </c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2"/>
      <c r="AI36" s="2" t="n">
        <f aca="false">(C36-$B36)*$A36</f>
        <v>0</v>
      </c>
      <c r="AJ36" s="2" t="n">
        <f aca="false">(D36-$B36)*$A36</f>
        <v>0.00016938698</v>
      </c>
      <c r="AK36" s="2" t="n">
        <f aca="false">(E36-$B36)*$A36</f>
        <v>0.0017743546</v>
      </c>
      <c r="AL36" s="2" t="n">
        <f aca="false">(F36-$B36)*$A36</f>
        <v>0</v>
      </c>
      <c r="AM36" s="2" t="n">
        <f aca="false">(G36-$B36)*$A36</f>
        <v>0.00013216548</v>
      </c>
      <c r="AN36" s="2" t="n">
        <f aca="false">(H36-$B36)*$A36</f>
        <v>0.00011459326</v>
      </c>
      <c r="AO36" s="2" t="n">
        <f aca="false">(I36-$B36)*$A36</f>
        <v>0.008010468</v>
      </c>
      <c r="AP36" s="2" t="n">
        <f aca="false">(J36-$B36)*$A36</f>
        <v>0</v>
      </c>
      <c r="AQ36" s="2" t="n">
        <f aca="false">(K36-$B36)*$A36</f>
        <v>0.001584043</v>
      </c>
      <c r="AR36" s="2" t="n">
        <f aca="false">(L36-$B36)*$A36</f>
        <v>0</v>
      </c>
      <c r="AS36" s="2" t="n">
        <f aca="false">(M36-$B36)*$A36</f>
        <v>0</v>
      </c>
      <c r="AT36" s="2" t="n">
        <f aca="false">(N36-$B36)*$A36</f>
        <v>0</v>
      </c>
      <c r="AU36" s="2" t="n">
        <f aca="false">(O36-$B36)*$A36</f>
        <v>5.067326E-005</v>
      </c>
      <c r="AV36" s="2" t="n">
        <f aca="false">(P36-$B36)*$A36</f>
        <v>0.00018116526</v>
      </c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</row>
    <row r="37" customFormat="false" ht="13.8" hidden="false" customHeight="false" outlineLevel="0" collapsed="false">
      <c r="A37" s="1" t="n">
        <f aca="false">1+A36</f>
        <v>35</v>
      </c>
      <c r="C37" s="3"/>
      <c r="D37" s="3" t="n">
        <v>9.96393E-007</v>
      </c>
      <c r="E37" s="3" t="n">
        <v>2.65952E-005</v>
      </c>
      <c r="G37" s="3" t="n">
        <v>1.94361E-006</v>
      </c>
      <c r="H37" s="3" t="n">
        <v>9.62967E-007</v>
      </c>
      <c r="I37" s="3" t="n">
        <v>0.000186806</v>
      </c>
      <c r="J37" s="3"/>
      <c r="K37" s="3" t="n">
        <v>1.97499E-005</v>
      </c>
      <c r="M37" s="3"/>
      <c r="N37" s="3"/>
      <c r="O37" s="3" t="n">
        <v>9.93591E-007</v>
      </c>
      <c r="P37" s="3" t="n">
        <v>2.90639E-006</v>
      </c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I37" s="2" t="n">
        <f aca="false">(C37-$B37)*$A37</f>
        <v>0</v>
      </c>
      <c r="AJ37" s="2" t="n">
        <f aca="false">(D37-$B37)*$A37</f>
        <v>3.4873755E-005</v>
      </c>
      <c r="AK37" s="2" t="n">
        <f aca="false">(E37-$B37)*$A37</f>
        <v>0.000930832</v>
      </c>
      <c r="AL37" s="2" t="n">
        <f aca="false">(F37-$B37)*$A37</f>
        <v>0</v>
      </c>
      <c r="AM37" s="2" t="n">
        <f aca="false">(G37-$B37)*$A37</f>
        <v>6.802635E-005</v>
      </c>
      <c r="AN37" s="2" t="n">
        <f aca="false">(H37-$B37)*$A37</f>
        <v>3.3703845E-005</v>
      </c>
      <c r="AO37" s="2" t="n">
        <f aca="false">(I37-$B37)*$A37</f>
        <v>0.00653821</v>
      </c>
      <c r="AP37" s="2" t="n">
        <f aca="false">(J37-$B37)*$A37</f>
        <v>0</v>
      </c>
      <c r="AQ37" s="2" t="n">
        <f aca="false">(K37-$B37)*$A37</f>
        <v>0.0006912465</v>
      </c>
      <c r="AR37" s="2" t="n">
        <f aca="false">(L37-$B37)*$A37</f>
        <v>0</v>
      </c>
      <c r="AS37" s="2" t="n">
        <f aca="false">(M37-$B37)*$A37</f>
        <v>0</v>
      </c>
      <c r="AT37" s="2" t="n">
        <f aca="false">(N37-$B37)*$A37</f>
        <v>0</v>
      </c>
      <c r="AU37" s="2" t="n">
        <f aca="false">(O37-$B37)*$A37</f>
        <v>3.4775685E-005</v>
      </c>
      <c r="AV37" s="2" t="n">
        <f aca="false">(P37-$B37)*$A37</f>
        <v>0.00010172365</v>
      </c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</row>
    <row r="38" customFormat="false" ht="13.8" hidden="false" customHeight="false" outlineLevel="0" collapsed="false">
      <c r="A38" s="1" t="n">
        <f aca="false">1+A37</f>
        <v>36</v>
      </c>
      <c r="D38" s="3"/>
      <c r="E38" s="3" t="n">
        <v>1.40503E-005</v>
      </c>
      <c r="G38" s="3" t="n">
        <v>1.94361E-006</v>
      </c>
      <c r="H38" s="3" t="n">
        <v>9.62967E-007</v>
      </c>
      <c r="I38" s="3" t="n">
        <v>0.000147374</v>
      </c>
      <c r="J38" s="3"/>
      <c r="K38" s="3" t="n">
        <v>9.62175E-006</v>
      </c>
      <c r="M38" s="3"/>
      <c r="N38" s="3"/>
      <c r="O38" s="3"/>
      <c r="P38" s="3" t="n">
        <v>9.68797E-007</v>
      </c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I38" s="2" t="n">
        <f aca="false">(C38-$B38)*$A38</f>
        <v>0</v>
      </c>
      <c r="AJ38" s="2" t="n">
        <f aca="false">(D38-$B38)*$A38</f>
        <v>0</v>
      </c>
      <c r="AK38" s="2" t="n">
        <f aca="false">(E38-$B38)*$A38</f>
        <v>0.0005058108</v>
      </c>
      <c r="AL38" s="2" t="n">
        <f aca="false">(F38-$B38)*$A38</f>
        <v>0</v>
      </c>
      <c r="AM38" s="2" t="n">
        <f aca="false">(G38-$B38)*$A38</f>
        <v>6.996996E-005</v>
      </c>
      <c r="AN38" s="2" t="n">
        <f aca="false">(H38-$B38)*$A38</f>
        <v>3.4666812E-005</v>
      </c>
      <c r="AO38" s="2" t="n">
        <f aca="false">(I38-$B38)*$A38</f>
        <v>0.005305464</v>
      </c>
      <c r="AP38" s="2" t="n">
        <f aca="false">(J38-$B38)*$A38</f>
        <v>0</v>
      </c>
      <c r="AQ38" s="2" t="n">
        <f aca="false">(K38-$B38)*$A38</f>
        <v>0.000346383</v>
      </c>
      <c r="AR38" s="2" t="n">
        <f aca="false">(L38-$B38)*$A38</f>
        <v>0</v>
      </c>
      <c r="AS38" s="2" t="n">
        <f aca="false">(M38-$B38)*$A38</f>
        <v>0</v>
      </c>
      <c r="AT38" s="2" t="n">
        <f aca="false">(N38-$B38)*$A38</f>
        <v>0</v>
      </c>
      <c r="AU38" s="2" t="n">
        <f aca="false">(O38-$B38)*$A38</f>
        <v>0</v>
      </c>
      <c r="AV38" s="2" t="n">
        <f aca="false">(P38-$B38)*$A38</f>
        <v>3.4876692E-005</v>
      </c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</row>
    <row r="39" customFormat="false" ht="13.8" hidden="false" customHeight="false" outlineLevel="0" collapsed="false">
      <c r="A39" s="1" t="n">
        <f aca="false">1+A38</f>
        <v>37</v>
      </c>
      <c r="D39" s="3"/>
      <c r="E39" s="3" t="n">
        <v>4.01437E-006</v>
      </c>
      <c r="G39" s="3" t="n">
        <v>1.94361E-006</v>
      </c>
      <c r="I39" s="1" t="n">
        <v>0.000108929</v>
      </c>
      <c r="J39" s="3"/>
      <c r="K39" s="3" t="n">
        <v>7.08971E-006</v>
      </c>
      <c r="M39" s="3"/>
      <c r="N39" s="3"/>
      <c r="O39" s="3"/>
      <c r="P39" s="3" t="n">
        <v>4.84399E-007</v>
      </c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I39" s="2" t="n">
        <f aca="false">(C39-$B39)*$A39</f>
        <v>0</v>
      </c>
      <c r="AJ39" s="2" t="n">
        <f aca="false">(D39-$B39)*$A39</f>
        <v>0</v>
      </c>
      <c r="AK39" s="2" t="n">
        <f aca="false">(E39-$B39)*$A39</f>
        <v>0.00014853169</v>
      </c>
      <c r="AL39" s="2" t="n">
        <f aca="false">(F39-$B39)*$A39</f>
        <v>0</v>
      </c>
      <c r="AM39" s="2" t="n">
        <f aca="false">(G39-$B39)*$A39</f>
        <v>7.191357E-005</v>
      </c>
      <c r="AN39" s="2" t="n">
        <f aca="false">(H39-$B39)*$A39</f>
        <v>0</v>
      </c>
      <c r="AO39" s="2" t="n">
        <f aca="false">(I39-$B39)*$A39</f>
        <v>0.004030373</v>
      </c>
      <c r="AP39" s="2" t="n">
        <f aca="false">(J39-$B39)*$A39</f>
        <v>0</v>
      </c>
      <c r="AQ39" s="2" t="n">
        <f aca="false">(K39-$B39)*$A39</f>
        <v>0.00026231927</v>
      </c>
      <c r="AR39" s="2" t="n">
        <f aca="false">(L39-$B39)*$A39</f>
        <v>0</v>
      </c>
      <c r="AS39" s="2" t="n">
        <f aca="false">(M39-$B39)*$A39</f>
        <v>0</v>
      </c>
      <c r="AT39" s="2" t="n">
        <f aca="false">(N39-$B39)*$A39</f>
        <v>0</v>
      </c>
      <c r="AU39" s="2" t="n">
        <f aca="false">(O39-$B39)*$A39</f>
        <v>0</v>
      </c>
      <c r="AV39" s="2" t="n">
        <f aca="false">(P39-$B39)*$A39</f>
        <v>1.7922763E-005</v>
      </c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</row>
    <row r="40" customFormat="false" ht="13.8" hidden="false" customHeight="false" outlineLevel="0" collapsed="false">
      <c r="A40" s="1" t="n">
        <f aca="false">1+A39</f>
        <v>38</v>
      </c>
      <c r="E40" s="3" t="n">
        <v>2.50898E-006</v>
      </c>
      <c r="G40" s="3" t="n">
        <v>1.45771E-006</v>
      </c>
      <c r="I40" s="3" t="n">
        <v>8.92133E-005</v>
      </c>
      <c r="K40" s="3" t="n">
        <v>3.03845E-006</v>
      </c>
      <c r="M40" s="3"/>
      <c r="N40" s="3"/>
      <c r="P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I40" s="2" t="n">
        <f aca="false">(C40-$B40)*$A40</f>
        <v>0</v>
      </c>
      <c r="AJ40" s="2" t="n">
        <f aca="false">(D40-$B40)*$A40</f>
        <v>0</v>
      </c>
      <c r="AK40" s="2" t="n">
        <f aca="false">(E40-$B40)*$A40</f>
        <v>9.534124E-005</v>
      </c>
      <c r="AL40" s="2" t="n">
        <f aca="false">(F40-$B40)*$A40</f>
        <v>0</v>
      </c>
      <c r="AM40" s="2" t="n">
        <f aca="false">(G40-$B40)*$A40</f>
        <v>5.539298E-005</v>
      </c>
      <c r="AN40" s="2" t="n">
        <f aca="false">(H40-$B40)*$A40</f>
        <v>0</v>
      </c>
      <c r="AO40" s="2" t="n">
        <f aca="false">(I40-$B40)*$A40</f>
        <v>0.0033901054</v>
      </c>
      <c r="AP40" s="2" t="n">
        <f aca="false">(J40-$B40)*$A40</f>
        <v>0</v>
      </c>
      <c r="AQ40" s="2" t="n">
        <f aca="false">(K40-$B40)*$A40</f>
        <v>0.0001154611</v>
      </c>
      <c r="AR40" s="2" t="n">
        <f aca="false">(L40-$B40)*$A40</f>
        <v>0</v>
      </c>
      <c r="AS40" s="2" t="n">
        <f aca="false">(M40-$B40)*$A40</f>
        <v>0</v>
      </c>
      <c r="AT40" s="2" t="n">
        <f aca="false">(N40-$B40)*$A40</f>
        <v>0</v>
      </c>
      <c r="AU40" s="2" t="n">
        <f aca="false">(O40-$B40)*$A40</f>
        <v>0</v>
      </c>
      <c r="AV40" s="2" t="n">
        <f aca="false">(P40-$B40)*$A40</f>
        <v>0</v>
      </c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</row>
    <row r="41" customFormat="false" ht="13.8" hidden="false" customHeight="false" outlineLevel="0" collapsed="false">
      <c r="A41" s="1" t="n">
        <f aca="false">1+A40</f>
        <v>39</v>
      </c>
      <c r="E41" s="3" t="n">
        <v>1.00359E-006</v>
      </c>
      <c r="G41" s="3" t="n">
        <v>9.71805E-007</v>
      </c>
      <c r="I41" s="3" t="n">
        <v>6.75261E-005</v>
      </c>
      <c r="K41" s="3" t="n">
        <v>5.06408E-007</v>
      </c>
      <c r="M41" s="3"/>
      <c r="P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I41" s="2" t="n">
        <f aca="false">(C41-$B41)*$A41</f>
        <v>0</v>
      </c>
      <c r="AJ41" s="2" t="n">
        <f aca="false">(D41-$B41)*$A41</f>
        <v>0</v>
      </c>
      <c r="AK41" s="2" t="n">
        <f aca="false">(E41-$B41)*$A41</f>
        <v>3.914001E-005</v>
      </c>
      <c r="AL41" s="2" t="n">
        <f aca="false">(F41-$B41)*$A41</f>
        <v>0</v>
      </c>
      <c r="AM41" s="2" t="n">
        <f aca="false">(G41-$B41)*$A41</f>
        <v>3.7900395E-005</v>
      </c>
      <c r="AN41" s="2" t="n">
        <f aca="false">(H41-$B41)*$A41</f>
        <v>0</v>
      </c>
      <c r="AO41" s="2" t="n">
        <f aca="false">(I41-$B41)*$A41</f>
        <v>0.0026335179</v>
      </c>
      <c r="AP41" s="2" t="n">
        <f aca="false">(J41-$B41)*$A41</f>
        <v>0</v>
      </c>
      <c r="AQ41" s="2" t="n">
        <f aca="false">(K41-$B41)*$A41</f>
        <v>1.9749912E-005</v>
      </c>
      <c r="AR41" s="2" t="n">
        <f aca="false">(L41-$B41)*$A41</f>
        <v>0</v>
      </c>
      <c r="AS41" s="2" t="n">
        <f aca="false">(M41-$B41)*$A41</f>
        <v>0</v>
      </c>
      <c r="AT41" s="2" t="n">
        <f aca="false">(N41-$B41)*$A41</f>
        <v>0</v>
      </c>
      <c r="AU41" s="2" t="n">
        <f aca="false">(O41-$B41)*$A41</f>
        <v>0</v>
      </c>
      <c r="AV41" s="2" t="n">
        <f aca="false">(P41-$B41)*$A41</f>
        <v>0</v>
      </c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</row>
    <row r="42" customFormat="false" ht="13.8" hidden="false" customHeight="false" outlineLevel="0" collapsed="false">
      <c r="A42" s="1" t="n">
        <f aca="false">1+A41</f>
        <v>40</v>
      </c>
      <c r="E42" s="3" t="n">
        <v>5.01797E-007</v>
      </c>
      <c r="G42" s="3" t="n">
        <v>4.85902E-007</v>
      </c>
      <c r="I42" s="3" t="n">
        <v>4.58389E-005</v>
      </c>
      <c r="M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I42" s="2" t="n">
        <f aca="false">(C42-$B42)*$A42</f>
        <v>0</v>
      </c>
      <c r="AJ42" s="2" t="n">
        <f aca="false">(D42-$B42)*$A42</f>
        <v>0</v>
      </c>
      <c r="AK42" s="2" t="n">
        <f aca="false">(E42-$B42)*$A42</f>
        <v>2.007188E-005</v>
      </c>
      <c r="AL42" s="2" t="n">
        <f aca="false">(F42-$B42)*$A42</f>
        <v>0</v>
      </c>
      <c r="AM42" s="2" t="n">
        <f aca="false">(G42-$B42)*$A42</f>
        <v>1.943608E-005</v>
      </c>
      <c r="AN42" s="2" t="n">
        <f aca="false">(H42-$B42)*$A42</f>
        <v>0</v>
      </c>
      <c r="AO42" s="2" t="n">
        <f aca="false">(I42-$B42)*$A42</f>
        <v>0.001833556</v>
      </c>
      <c r="AP42" s="2" t="n">
        <f aca="false">(J42-$B42)*$A42</f>
        <v>0</v>
      </c>
      <c r="AQ42" s="2" t="n">
        <f aca="false">(K42-$B42)*$A42</f>
        <v>0</v>
      </c>
      <c r="AR42" s="2" t="n">
        <f aca="false">(L42-$B42)*$A42</f>
        <v>0</v>
      </c>
      <c r="AS42" s="2" t="n">
        <f aca="false">(M42-$B42)*$A42</f>
        <v>0</v>
      </c>
      <c r="AT42" s="2" t="n">
        <f aca="false">(N42-$B42)*$A42</f>
        <v>0</v>
      </c>
      <c r="AU42" s="2" t="n">
        <f aca="false">(O42-$B42)*$A42</f>
        <v>0</v>
      </c>
      <c r="AV42" s="2" t="n">
        <f aca="false">(P42-$B42)*$A42</f>
        <v>0</v>
      </c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</row>
    <row r="43" customFormat="false" ht="13.8" hidden="false" customHeight="false" outlineLevel="0" collapsed="false">
      <c r="A43" s="1" t="n">
        <f aca="false">1+A42</f>
        <v>41</v>
      </c>
      <c r="I43" s="3" t="n">
        <v>2.36588E-005</v>
      </c>
      <c r="M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I43" s="2" t="n">
        <f aca="false">(C43-$B43)*$A43</f>
        <v>0</v>
      </c>
      <c r="AJ43" s="2" t="n">
        <f aca="false">(D43-$B43)*$A43</f>
        <v>0</v>
      </c>
      <c r="AK43" s="2" t="n">
        <f aca="false">(E43-$B43)*$A43</f>
        <v>0</v>
      </c>
      <c r="AL43" s="2" t="n">
        <f aca="false">(F43-$B43)*$A43</f>
        <v>0</v>
      </c>
      <c r="AM43" s="2" t="n">
        <f aca="false">(G43-$B43)*$A43</f>
        <v>0</v>
      </c>
      <c r="AN43" s="2" t="n">
        <f aca="false">(H43-$B43)*$A43</f>
        <v>0</v>
      </c>
      <c r="AO43" s="2" t="n">
        <f aca="false">(I43-$B43)*$A43</f>
        <v>0.0009700108</v>
      </c>
      <c r="AP43" s="2" t="n">
        <f aca="false">(J43-$B43)*$A43</f>
        <v>0</v>
      </c>
      <c r="AQ43" s="2" t="n">
        <f aca="false">(K43-$B43)*$A43</f>
        <v>0</v>
      </c>
      <c r="AR43" s="2" t="n">
        <f aca="false">(L43-$B43)*$A43</f>
        <v>0</v>
      </c>
      <c r="AS43" s="2" t="n">
        <f aca="false">(M43-$B43)*$A43</f>
        <v>0</v>
      </c>
      <c r="AT43" s="2" t="n">
        <f aca="false">(N43-$B43)*$A43</f>
        <v>0</v>
      </c>
      <c r="AU43" s="2" t="n">
        <f aca="false">(O43-$B43)*$A43</f>
        <v>0</v>
      </c>
      <c r="AV43" s="2" t="n">
        <f aca="false">(P43-$B43)*$A43</f>
        <v>0</v>
      </c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</row>
    <row r="44" customFormat="false" ht="13.8" hidden="false" customHeight="false" outlineLevel="0" collapsed="false">
      <c r="A44" s="1" t="n">
        <f aca="false">1+A43</f>
        <v>42</v>
      </c>
      <c r="I44" s="3" t="n">
        <v>1.57725E-005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I44" s="2" t="n">
        <f aca="false">(C44-$B44)*$A44</f>
        <v>0</v>
      </c>
      <c r="AJ44" s="2" t="n">
        <f aca="false">(D44-$B44)*$A44</f>
        <v>0</v>
      </c>
      <c r="AK44" s="2" t="n">
        <f aca="false">(E44-$B44)*$A44</f>
        <v>0</v>
      </c>
      <c r="AL44" s="2" t="n">
        <f aca="false">(F44-$B44)*$A44</f>
        <v>0</v>
      </c>
      <c r="AM44" s="2" t="n">
        <f aca="false">(G44-$B44)*$A44</f>
        <v>0</v>
      </c>
      <c r="AN44" s="2" t="n">
        <f aca="false">(H44-$B44)*$A44</f>
        <v>0</v>
      </c>
      <c r="AO44" s="2" t="n">
        <f aca="false">(I44-$B44)*$A44</f>
        <v>0.000662445</v>
      </c>
      <c r="AP44" s="2" t="n">
        <f aca="false">(J44-$B44)*$A44</f>
        <v>0</v>
      </c>
      <c r="AQ44" s="2" t="n">
        <f aca="false">(K44-$B44)*$A44</f>
        <v>0</v>
      </c>
      <c r="AR44" s="2" t="n">
        <f aca="false">(L44-$B44)*$A44</f>
        <v>0</v>
      </c>
      <c r="AS44" s="2" t="n">
        <f aca="false">(M44-$B44)*$A44</f>
        <v>0</v>
      </c>
      <c r="AT44" s="2" t="n">
        <f aca="false">(N44-$B44)*$A44</f>
        <v>0</v>
      </c>
      <c r="AU44" s="2" t="n">
        <f aca="false">(O44-$B44)*$A44</f>
        <v>0</v>
      </c>
      <c r="AV44" s="2" t="n">
        <f aca="false">(P44-$B44)*$A44</f>
        <v>0</v>
      </c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</row>
    <row r="45" customFormat="false" ht="13.8" hidden="false" customHeight="false" outlineLevel="0" collapsed="false">
      <c r="A45" s="1" t="n">
        <f aca="false">1+A44</f>
        <v>43</v>
      </c>
      <c r="I45" s="3" t="n">
        <v>8.37915E-006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I45" s="2" t="n">
        <f aca="false">(C45-$B45)*$A45</f>
        <v>0</v>
      </c>
      <c r="AJ45" s="2" t="n">
        <f aca="false">(D45-$B45)*$A45</f>
        <v>0</v>
      </c>
      <c r="AK45" s="2" t="n">
        <f aca="false">(E45-$B45)*$A45</f>
        <v>0</v>
      </c>
      <c r="AL45" s="2" t="n">
        <f aca="false">(F45-$B45)*$A45</f>
        <v>0</v>
      </c>
      <c r="AM45" s="2" t="n">
        <f aca="false">(G45-$B45)*$A45</f>
        <v>0</v>
      </c>
      <c r="AN45" s="2" t="n">
        <f aca="false">(H45-$B45)*$A45</f>
        <v>0</v>
      </c>
      <c r="AO45" s="2" t="n">
        <f aca="false">(I45-$B45)*$A45</f>
        <v>0.00036030345</v>
      </c>
      <c r="AP45" s="2" t="n">
        <f aca="false">(J45-$B45)*$A45</f>
        <v>0</v>
      </c>
      <c r="AQ45" s="2" t="n">
        <f aca="false">(K45-$B45)*$A45</f>
        <v>0</v>
      </c>
      <c r="AR45" s="2" t="n">
        <f aca="false">(L45-$B45)*$A45</f>
        <v>0</v>
      </c>
      <c r="AS45" s="2" t="n">
        <f aca="false">(M45-$B45)*$A45</f>
        <v>0</v>
      </c>
      <c r="AT45" s="2" t="n">
        <f aca="false">(N45-$B45)*$A45</f>
        <v>0</v>
      </c>
      <c r="AU45" s="2" t="n">
        <f aca="false">(O45-$B45)*$A45</f>
        <v>0</v>
      </c>
      <c r="AV45" s="2" t="n">
        <f aca="false">(P45-$B45)*$A45</f>
        <v>0</v>
      </c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</row>
    <row r="46" customFormat="false" ht="13.8" hidden="false" customHeight="false" outlineLevel="0" collapsed="false">
      <c r="A46" s="1" t="n">
        <f aca="false">1+A45</f>
        <v>44</v>
      </c>
      <c r="I46" s="3" t="n">
        <v>5.91469E-006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I46" s="2" t="n">
        <f aca="false">(C46-$B46)*$A46</f>
        <v>0</v>
      </c>
      <c r="AJ46" s="2" t="n">
        <f aca="false">(D46-$B46)*$A46</f>
        <v>0</v>
      </c>
      <c r="AK46" s="2" t="n">
        <f aca="false">(E46-$B46)*$A46</f>
        <v>0</v>
      </c>
      <c r="AL46" s="2" t="n">
        <f aca="false">(F46-$B46)*$A46</f>
        <v>0</v>
      </c>
      <c r="AM46" s="2" t="n">
        <f aca="false">(G46-$B46)*$A46</f>
        <v>0</v>
      </c>
      <c r="AN46" s="2" t="n">
        <f aca="false">(H46-$B46)*$A46</f>
        <v>0</v>
      </c>
      <c r="AO46" s="2" t="n">
        <f aca="false">(I46-$B46)*$A46</f>
        <v>0.00026024636</v>
      </c>
      <c r="AP46" s="2" t="n">
        <f aca="false">(J46-$B46)*$A46</f>
        <v>0</v>
      </c>
      <c r="AQ46" s="2" t="n">
        <f aca="false">(K46-$B46)*$A46</f>
        <v>0</v>
      </c>
      <c r="AR46" s="2" t="n">
        <f aca="false">(L46-$B46)*$A46</f>
        <v>0</v>
      </c>
      <c r="AS46" s="2" t="n">
        <f aca="false">(M46-$B46)*$A46</f>
        <v>0</v>
      </c>
      <c r="AT46" s="2" t="n">
        <f aca="false">(N46-$B46)*$A46</f>
        <v>0</v>
      </c>
      <c r="AU46" s="2" t="n">
        <f aca="false">(O46-$B46)*$A46</f>
        <v>0</v>
      </c>
      <c r="AV46" s="2" t="n">
        <f aca="false">(P46-$B46)*$A46</f>
        <v>0</v>
      </c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</row>
    <row r="47" customFormat="false" ht="13.8" hidden="false" customHeight="false" outlineLevel="0" collapsed="false">
      <c r="A47" s="1" t="n">
        <f aca="false">1+A46</f>
        <v>45</v>
      </c>
      <c r="I47" s="3" t="n">
        <v>9.85782E-007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I47" s="2" t="n">
        <f aca="false">(C47-$B47)*$A47</f>
        <v>0</v>
      </c>
      <c r="AJ47" s="2" t="n">
        <f aca="false">(D47-$B47)*$A47</f>
        <v>0</v>
      </c>
      <c r="AK47" s="2" t="n">
        <f aca="false">(E47-$B47)*$A47</f>
        <v>0</v>
      </c>
      <c r="AL47" s="2" t="n">
        <f aca="false">(F47-$B47)*$A47</f>
        <v>0</v>
      </c>
      <c r="AM47" s="2" t="n">
        <f aca="false">(G47-$B47)*$A47</f>
        <v>0</v>
      </c>
      <c r="AN47" s="2" t="n">
        <f aca="false">(H47-$B47)*$A47</f>
        <v>0</v>
      </c>
      <c r="AO47" s="2" t="n">
        <f aca="false">(I47-$B47)*$A47</f>
        <v>4.436019E-005</v>
      </c>
      <c r="AP47" s="2" t="n">
        <f aca="false">(J47-$B47)*$A47</f>
        <v>0</v>
      </c>
      <c r="AQ47" s="2" t="n">
        <f aca="false">(K47-$B47)*$A47</f>
        <v>0</v>
      </c>
      <c r="AR47" s="2" t="n">
        <f aca="false">(L47-$B47)*$A47</f>
        <v>0</v>
      </c>
      <c r="AS47" s="2" t="n">
        <f aca="false">(M47-$B47)*$A47</f>
        <v>0</v>
      </c>
      <c r="AT47" s="2" t="n">
        <f aca="false">(N47-$B47)*$A47</f>
        <v>0</v>
      </c>
      <c r="AU47" s="2" t="n">
        <f aca="false">(O47-$B47)*$A47</f>
        <v>0</v>
      </c>
      <c r="AV47" s="2" t="n">
        <f aca="false">(P47-$B47)*$A47</f>
        <v>0</v>
      </c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</row>
    <row r="48" customFormat="false" ht="13.8" hidden="false" customHeight="false" outlineLevel="0" collapsed="false">
      <c r="A48" s="1" t="n">
        <f aca="false">1+A47</f>
        <v>46</v>
      </c>
      <c r="I48" s="3" t="n">
        <v>9.85782E-007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I48" s="2" t="n">
        <f aca="false">(C48-$B48)*$A48</f>
        <v>0</v>
      </c>
      <c r="AJ48" s="2" t="n">
        <f aca="false">(D48-$B48)*$A48</f>
        <v>0</v>
      </c>
      <c r="AK48" s="2" t="n">
        <f aca="false">(E48-$B48)*$A48</f>
        <v>0</v>
      </c>
      <c r="AL48" s="2" t="n">
        <f aca="false">(F48-$B48)*$A48</f>
        <v>0</v>
      </c>
      <c r="AM48" s="2" t="n">
        <f aca="false">(G48-$B48)*$A48</f>
        <v>0</v>
      </c>
      <c r="AN48" s="2" t="n">
        <f aca="false">(H48-$B48)*$A48</f>
        <v>0</v>
      </c>
      <c r="AO48" s="2" t="n">
        <f aca="false">(I48-$B48)*$A48</f>
        <v>4.5345972E-005</v>
      </c>
      <c r="AP48" s="2" t="n">
        <f aca="false">(J48-$B48)*$A48</f>
        <v>0</v>
      </c>
      <c r="AQ48" s="2" t="n">
        <f aca="false">(K48-$B48)*$A48</f>
        <v>0</v>
      </c>
      <c r="AR48" s="2" t="n">
        <f aca="false">(L48-$B48)*$A48</f>
        <v>0</v>
      </c>
      <c r="AS48" s="2" t="n">
        <f aca="false">(M48-$B48)*$A48</f>
        <v>0</v>
      </c>
      <c r="AT48" s="2" t="n">
        <f aca="false">(N48-$B48)*$A48</f>
        <v>0</v>
      </c>
      <c r="AU48" s="2" t="n">
        <f aca="false">(O48-$B48)*$A48</f>
        <v>0</v>
      </c>
      <c r="AV48" s="2" t="n">
        <f aca="false">(P48-$B48)*$A48</f>
        <v>0</v>
      </c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</row>
    <row r="49" customFormat="false" ht="13.8" hidden="false" customHeight="false" outlineLevel="0" collapsed="false">
      <c r="A49" s="1" t="n">
        <f aca="false">1+A48</f>
        <v>47</v>
      </c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I49" s="2" t="n">
        <f aca="false">(C49-$B49)*$A49</f>
        <v>0</v>
      </c>
      <c r="AJ49" s="2" t="n">
        <f aca="false">(D49-$B49)*$A49</f>
        <v>0</v>
      </c>
      <c r="AK49" s="2" t="n">
        <f aca="false">(E49-$B49)*$A49</f>
        <v>0</v>
      </c>
      <c r="AL49" s="2" t="n">
        <f aca="false">(F49-$B49)*$A49</f>
        <v>0</v>
      </c>
      <c r="AM49" s="2" t="n">
        <f aca="false">(G49-$B49)*$A49</f>
        <v>0</v>
      </c>
      <c r="AN49" s="2" t="n">
        <f aca="false">(H49-$B49)*$A49</f>
        <v>0</v>
      </c>
      <c r="AO49" s="2" t="n">
        <f aca="false">(I49-$B49)*$A49</f>
        <v>0</v>
      </c>
      <c r="AP49" s="2" t="n">
        <f aca="false">(J49-$B49)*$A49</f>
        <v>0</v>
      </c>
      <c r="AQ49" s="2" t="n">
        <f aca="false">(K49-$B49)*$A49</f>
        <v>0</v>
      </c>
      <c r="AR49" s="2" t="n">
        <f aca="false">(L49-$B49)*$A49</f>
        <v>0</v>
      </c>
      <c r="AS49" s="2" t="n">
        <f aca="false">(M49-$B49)*$A49</f>
        <v>0</v>
      </c>
      <c r="AT49" s="2" t="n">
        <f aca="false">(N49-$B49)*$A49</f>
        <v>0</v>
      </c>
      <c r="AU49" s="2" t="n">
        <f aca="false">(O49-$B49)*$A49</f>
        <v>0</v>
      </c>
      <c r="AV49" s="2" t="n">
        <f aca="false">(P49-$B49)*$A49</f>
        <v>0</v>
      </c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</row>
    <row r="50" customFormat="false" ht="13.8" hidden="false" customHeight="false" outlineLevel="0" collapsed="false">
      <c r="A50" s="1" t="n">
        <f aca="false">1+A49</f>
        <v>48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I50" s="2" t="n">
        <f aca="false">(C50-$B50)*$A50</f>
        <v>0</v>
      </c>
      <c r="AJ50" s="2" t="n">
        <f aca="false">(D50-$B50)*$A50</f>
        <v>0</v>
      </c>
      <c r="AK50" s="2" t="n">
        <f aca="false">(E50-$B50)*$A50</f>
        <v>0</v>
      </c>
      <c r="AL50" s="2" t="n">
        <f aca="false">(F50-$B50)*$A50</f>
        <v>0</v>
      </c>
      <c r="AM50" s="2" t="n">
        <f aca="false">(G50-$B50)*$A50</f>
        <v>0</v>
      </c>
      <c r="AN50" s="2" t="n">
        <f aca="false">(H50-$B50)*$A50</f>
        <v>0</v>
      </c>
      <c r="AO50" s="2" t="n">
        <f aca="false">(I50-$B50)*$A50</f>
        <v>0</v>
      </c>
      <c r="AP50" s="2" t="n">
        <f aca="false">(J50-$B50)*$A50</f>
        <v>0</v>
      </c>
      <c r="AQ50" s="2" t="n">
        <f aca="false">(K50-$B50)*$A50</f>
        <v>0</v>
      </c>
      <c r="AR50" s="2" t="n">
        <f aca="false">(L50-$B50)*$A50</f>
        <v>0</v>
      </c>
      <c r="AS50" s="2" t="n">
        <f aca="false">(M50-$B50)*$A50</f>
        <v>0</v>
      </c>
      <c r="AT50" s="2" t="n">
        <f aca="false">(N50-$B50)*$A50</f>
        <v>0</v>
      </c>
      <c r="AU50" s="2" t="n">
        <f aca="false">(O50-$B50)*$A50</f>
        <v>0</v>
      </c>
      <c r="AV50" s="2" t="n">
        <f aca="false">(P50-$B50)*$A50</f>
        <v>0</v>
      </c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</row>
    <row r="51" customFormat="false" ht="13.8" hidden="false" customHeight="false" outlineLevel="0" collapsed="false">
      <c r="A51" s="1" t="n">
        <f aca="false">1+A50</f>
        <v>49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I51" s="2" t="n">
        <f aca="false">(C51-$B51)*$A51</f>
        <v>0</v>
      </c>
      <c r="AJ51" s="2" t="n">
        <f aca="false">(D51-$B51)*$A51</f>
        <v>0</v>
      </c>
      <c r="AK51" s="2" t="n">
        <f aca="false">(E51-$B51)*$A51</f>
        <v>0</v>
      </c>
      <c r="AL51" s="2" t="n">
        <f aca="false">(F51-$B51)*$A51</f>
        <v>0</v>
      </c>
      <c r="AM51" s="2" t="n">
        <f aca="false">(G51-$B51)*$A51</f>
        <v>0</v>
      </c>
      <c r="AN51" s="2" t="n">
        <f aca="false">(H51-$B51)*$A51</f>
        <v>0</v>
      </c>
      <c r="AO51" s="2" t="n">
        <f aca="false">(I51-$B51)*$A51</f>
        <v>0</v>
      </c>
      <c r="AP51" s="2" t="n">
        <f aca="false">(J51-$B51)*$A51</f>
        <v>0</v>
      </c>
      <c r="AQ51" s="2" t="n">
        <f aca="false">(K51-$B51)*$A51</f>
        <v>0</v>
      </c>
      <c r="AR51" s="2" t="n">
        <f aca="false">(L51-$B51)*$A51</f>
        <v>0</v>
      </c>
      <c r="AS51" s="2" t="n">
        <f aca="false">(M51-$B51)*$A51</f>
        <v>0</v>
      </c>
      <c r="AT51" s="2" t="n">
        <f aca="false">(N51-$B51)*$A51</f>
        <v>0</v>
      </c>
      <c r="AU51" s="2" t="n">
        <f aca="false">(O51-$B51)*$A51</f>
        <v>0</v>
      </c>
      <c r="AV51" s="2" t="n">
        <f aca="false">(P51-$B51)*$A51</f>
        <v>0</v>
      </c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</row>
    <row r="52" customFormat="false" ht="13.8" hidden="false" customHeight="false" outlineLevel="0" collapsed="false">
      <c r="A52" s="1" t="n">
        <f aca="false">1+A51</f>
        <v>50</v>
      </c>
      <c r="AI52" s="2" t="n">
        <f aca="false">(C52-$B52)*$A52</f>
        <v>0</v>
      </c>
      <c r="AJ52" s="2" t="n">
        <f aca="false">(D52-$B52)*$A52</f>
        <v>0</v>
      </c>
      <c r="AK52" s="2" t="n">
        <f aca="false">(E52-$B52)*$A52</f>
        <v>0</v>
      </c>
      <c r="AL52" s="2" t="n">
        <f aca="false">(F52-$B52)*$A52</f>
        <v>0</v>
      </c>
      <c r="AM52" s="2" t="n">
        <f aca="false">(G52-$B52)*$A52</f>
        <v>0</v>
      </c>
      <c r="AN52" s="2" t="n">
        <f aca="false">(H52-$B52)*$A52</f>
        <v>0</v>
      </c>
      <c r="AO52" s="2" t="n">
        <f aca="false">(I52-$B52)*$A52</f>
        <v>0</v>
      </c>
      <c r="AP52" s="2" t="n">
        <f aca="false">(J52-$B52)*$A52</f>
        <v>0</v>
      </c>
      <c r="AQ52" s="2" t="n">
        <f aca="false">(K52-$B52)*$A52</f>
        <v>0</v>
      </c>
      <c r="AR52" s="2" t="n">
        <f aca="false">(L52-$B52)*$A52</f>
        <v>0</v>
      </c>
      <c r="AS52" s="2" t="n">
        <f aca="false">(M52-$B52)*$A52</f>
        <v>0</v>
      </c>
      <c r="AT52" s="2" t="n">
        <f aca="false">(N52-$B52)*$A52</f>
        <v>0</v>
      </c>
      <c r="AU52" s="2" t="n">
        <f aca="false">(O52-$B52)*$A52</f>
        <v>0</v>
      </c>
      <c r="AV52" s="2" t="n">
        <f aca="false">(P52-$B52)*$A52</f>
        <v>0</v>
      </c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</row>
    <row r="53" customFormat="false" ht="13.8" hidden="false" customHeight="false" outlineLevel="0" collapsed="false">
      <c r="A53" s="1" t="n">
        <f aca="false">1+A52</f>
        <v>51</v>
      </c>
      <c r="AI53" s="2" t="n">
        <f aca="false">(C53-$B53)*$A53</f>
        <v>0</v>
      </c>
      <c r="AJ53" s="2" t="n">
        <f aca="false">(D53-$B53)*$A53</f>
        <v>0</v>
      </c>
      <c r="AK53" s="2" t="n">
        <f aca="false">(E53-$B53)*$A53</f>
        <v>0</v>
      </c>
      <c r="AL53" s="2" t="n">
        <f aca="false">(F53-$B53)*$A53</f>
        <v>0</v>
      </c>
      <c r="AM53" s="2" t="n">
        <f aca="false">(G53-$B53)*$A53</f>
        <v>0</v>
      </c>
      <c r="AN53" s="2" t="n">
        <f aca="false">(H53-$B53)*$A53</f>
        <v>0</v>
      </c>
      <c r="AO53" s="2" t="n">
        <f aca="false">(I53-$B53)*$A53</f>
        <v>0</v>
      </c>
      <c r="AP53" s="2" t="n">
        <f aca="false">(J53-$B53)*$A53</f>
        <v>0</v>
      </c>
      <c r="AQ53" s="2" t="n">
        <f aca="false">(K53-$B53)*$A53</f>
        <v>0</v>
      </c>
      <c r="AR53" s="2" t="n">
        <f aca="false">(L53-$B53)*$A53</f>
        <v>0</v>
      </c>
      <c r="AS53" s="2" t="n">
        <f aca="false">(M53-$B53)*$A53</f>
        <v>0</v>
      </c>
      <c r="AT53" s="2" t="n">
        <f aca="false">(N53-$B53)*$A53</f>
        <v>0</v>
      </c>
      <c r="AU53" s="2" t="n">
        <f aca="false">(O53-$B53)*$A53</f>
        <v>0</v>
      </c>
      <c r="AV53" s="2" t="n">
        <f aca="false">(P53-$B53)*$A53</f>
        <v>0</v>
      </c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 t="n">
        <f aca="false">(D54-$B54)*$A54</f>
        <v>0</v>
      </c>
      <c r="AK54" s="2" t="n">
        <f aca="false">(E54-$B54)*$A54</f>
        <v>0</v>
      </c>
      <c r="AL54" s="2" t="n">
        <f aca="false">(F54-$B54)*$A54</f>
        <v>0</v>
      </c>
      <c r="AM54" s="2" t="n">
        <f aca="false">(G54-$B54)*$A54</f>
        <v>0</v>
      </c>
      <c r="AN54" s="2" t="n">
        <f aca="false">(H54-$B54)*$A54</f>
        <v>0</v>
      </c>
      <c r="AO54" s="2" t="n">
        <f aca="false">(I54-$B54)*$A54</f>
        <v>0</v>
      </c>
      <c r="AP54" s="2" t="n">
        <f aca="false">(J54-$B54)*$A54</f>
        <v>0</v>
      </c>
      <c r="AQ54" s="2" t="n">
        <f aca="false">(K54-$B54)*$A54</f>
        <v>0</v>
      </c>
      <c r="AR54" s="2" t="n">
        <f aca="false">(L54-$B54)*$A54</f>
        <v>0</v>
      </c>
      <c r="AS54" s="2" t="n">
        <f aca="false">(M54-$B54)*$A54</f>
        <v>0</v>
      </c>
      <c r="AT54" s="2" t="n">
        <f aca="false">(N54-$B54)*$A54</f>
        <v>0</v>
      </c>
      <c r="AU54" s="2" t="n">
        <f aca="false">(O54-$B54)*$A54</f>
        <v>0</v>
      </c>
      <c r="AV54" s="2" t="n">
        <f aca="false">(P54-$B54)*$A54</f>
        <v>0</v>
      </c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 t="n">
        <f aca="false">(D55-$B55)*$A55</f>
        <v>0</v>
      </c>
      <c r="AK55" s="2" t="n">
        <f aca="false">(E55-$B55)*$A55</f>
        <v>0</v>
      </c>
      <c r="AL55" s="2" t="n">
        <f aca="false">(F55-$B55)*$A55</f>
        <v>0</v>
      </c>
      <c r="AM55" s="2" t="n">
        <f aca="false">(G55-$B55)*$A55</f>
        <v>0</v>
      </c>
      <c r="AN55" s="2" t="n">
        <f aca="false">(H55-$B55)*$A55</f>
        <v>0</v>
      </c>
      <c r="AO55" s="2" t="n">
        <f aca="false">(I55-$B55)*$A55</f>
        <v>0</v>
      </c>
      <c r="AP55" s="2" t="n">
        <f aca="false">(J55-$B55)*$A55</f>
        <v>0</v>
      </c>
      <c r="AQ55" s="2" t="n">
        <f aca="false">(K55-$B55)*$A55</f>
        <v>0</v>
      </c>
      <c r="AR55" s="2" t="n">
        <f aca="false">(L55-$B55)*$A55</f>
        <v>0</v>
      </c>
      <c r="AS55" s="2" t="n">
        <f aca="false">(M55-$B55)*$A55</f>
        <v>0</v>
      </c>
      <c r="AT55" s="2" t="n">
        <f aca="false">(N55-$B55)*$A55</f>
        <v>0</v>
      </c>
      <c r="AU55" s="2" t="n">
        <f aca="false">(O55-$B55)*$A55</f>
        <v>0</v>
      </c>
      <c r="AV55" s="2" t="n">
        <f aca="false">(P55-$B55)*$A55</f>
        <v>0</v>
      </c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 t="n">
        <f aca="false">(D56-$B56)*$A56</f>
        <v>0</v>
      </c>
      <c r="AK56" s="2" t="n">
        <f aca="false">(E56-$B56)*$A56</f>
        <v>0</v>
      </c>
      <c r="AL56" s="2" t="n">
        <f aca="false">(F56-$B56)*$A56</f>
        <v>0</v>
      </c>
      <c r="AM56" s="2" t="n">
        <f aca="false">(G56-$B56)*$A56</f>
        <v>0</v>
      </c>
      <c r="AN56" s="2" t="n">
        <f aca="false">(H56-$B56)*$A56</f>
        <v>0</v>
      </c>
      <c r="AO56" s="2" t="n">
        <f aca="false">(I56-$B56)*$A56</f>
        <v>0</v>
      </c>
      <c r="AP56" s="2" t="n">
        <f aca="false">(J56-$B56)*$A56</f>
        <v>0</v>
      </c>
      <c r="AQ56" s="2" t="n">
        <f aca="false">(K56-$B56)*$A56</f>
        <v>0</v>
      </c>
      <c r="AR56" s="2" t="n">
        <f aca="false">(L56-$B56)*$A56</f>
        <v>0</v>
      </c>
      <c r="AS56" s="2" t="n">
        <f aca="false">(M56-$B56)*$A56</f>
        <v>0</v>
      </c>
      <c r="AT56" s="2" t="n">
        <f aca="false">(N56-$B56)*$A56</f>
        <v>0</v>
      </c>
      <c r="AU56" s="2" t="n">
        <f aca="false">(O56-$B56)*$A56</f>
        <v>0</v>
      </c>
      <c r="AV56" s="2" t="n">
        <f aca="false">(P56-$B56)*$A56</f>
        <v>0</v>
      </c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 t="n">
        <f aca="false">(D57-$B57)*$A57</f>
        <v>0</v>
      </c>
      <c r="AK57" s="2" t="n">
        <f aca="false">(E57-$B57)*$A57</f>
        <v>0</v>
      </c>
      <c r="AL57" s="2" t="n">
        <f aca="false">(F57-$B57)*$A57</f>
        <v>0</v>
      </c>
      <c r="AM57" s="2" t="n">
        <f aca="false">(G57-$B57)*$A57</f>
        <v>0</v>
      </c>
      <c r="AN57" s="2" t="n">
        <f aca="false">(H57-$B57)*$A57</f>
        <v>0</v>
      </c>
      <c r="AO57" s="2" t="n">
        <f aca="false">(I57-$B57)*$A57</f>
        <v>0</v>
      </c>
      <c r="AP57" s="2" t="n">
        <f aca="false">(J57-$B57)*$A57</f>
        <v>0</v>
      </c>
      <c r="AQ57" s="2" t="n">
        <f aca="false">(K57-$B57)*$A57</f>
        <v>0</v>
      </c>
      <c r="AR57" s="2" t="n">
        <f aca="false">(L57-$B57)*$A57</f>
        <v>0</v>
      </c>
      <c r="AS57" s="2" t="n">
        <f aca="false">(M57-$B57)*$A57</f>
        <v>0</v>
      </c>
      <c r="AT57" s="2" t="n">
        <f aca="false">(N57-$B57)*$A57</f>
        <v>0</v>
      </c>
      <c r="AU57" s="2" t="n">
        <f aca="false">(O57-$B57)*$A57</f>
        <v>0</v>
      </c>
      <c r="AV57" s="2" t="n">
        <f aca="false">(P57-$B57)*$A57</f>
        <v>0</v>
      </c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 t="n">
        <f aca="false">(D58-$B58)*$A58</f>
        <v>0</v>
      </c>
      <c r="AK58" s="2" t="n">
        <f aca="false">(E58-$B58)*$A58</f>
        <v>0</v>
      </c>
      <c r="AL58" s="2" t="n">
        <f aca="false">(F58-$B58)*$A58</f>
        <v>0</v>
      </c>
      <c r="AM58" s="2" t="n">
        <f aca="false">(G58-$B58)*$A58</f>
        <v>0</v>
      </c>
      <c r="AN58" s="2" t="n">
        <f aca="false">(H58-$B58)*$A58</f>
        <v>0</v>
      </c>
      <c r="AO58" s="2" t="n">
        <f aca="false">(I58-$B58)*$A58</f>
        <v>0</v>
      </c>
      <c r="AP58" s="2" t="n">
        <f aca="false">(J58-$B58)*$A58</f>
        <v>0</v>
      </c>
      <c r="AQ58" s="2" t="n">
        <f aca="false">(K58-$B58)*$A58</f>
        <v>0</v>
      </c>
      <c r="AR58" s="2" t="n">
        <f aca="false">(L58-$B58)*$A58</f>
        <v>0</v>
      </c>
      <c r="AS58" s="2" t="n">
        <f aca="false">(M58-$B58)*$A58</f>
        <v>0</v>
      </c>
      <c r="AT58" s="2" t="n">
        <f aca="false">(N58-$B58)*$A58</f>
        <v>0</v>
      </c>
      <c r="AU58" s="2" t="n">
        <f aca="false">(O58-$B58)*$A58</f>
        <v>0</v>
      </c>
      <c r="AV58" s="2" t="n">
        <f aca="false">(P58-$B58)*$A58</f>
        <v>0</v>
      </c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 t="n">
        <f aca="false">(D59-$B59)*$A59</f>
        <v>0</v>
      </c>
      <c r="AK59" s="2" t="n">
        <f aca="false">(E59-$B59)*$A59</f>
        <v>0</v>
      </c>
      <c r="AL59" s="2" t="n">
        <f aca="false">(F59-$B59)*$A59</f>
        <v>0</v>
      </c>
      <c r="AM59" s="2" t="n">
        <f aca="false">(G59-$B59)*$A59</f>
        <v>0</v>
      </c>
      <c r="AN59" s="2" t="n">
        <f aca="false">(H59-$B59)*$A59</f>
        <v>0</v>
      </c>
      <c r="AO59" s="2" t="n">
        <f aca="false">(I59-$B59)*$A59</f>
        <v>0</v>
      </c>
      <c r="AP59" s="2" t="n">
        <f aca="false">(J59-$B59)*$A59</f>
        <v>0</v>
      </c>
      <c r="AQ59" s="2" t="n">
        <f aca="false">(K59-$B59)*$A59</f>
        <v>0</v>
      </c>
      <c r="AR59" s="2" t="n">
        <f aca="false">(L59-$B59)*$A59</f>
        <v>0</v>
      </c>
      <c r="AS59" s="2" t="n">
        <f aca="false">(M59-$B59)*$A59</f>
        <v>0</v>
      </c>
      <c r="AT59" s="2" t="n">
        <f aca="false">(N59-$B59)*$A59</f>
        <v>0</v>
      </c>
      <c r="AU59" s="2" t="n">
        <f aca="false">(O59-$B59)*$A59</f>
        <v>0</v>
      </c>
      <c r="AV59" s="2" t="n">
        <f aca="false">(P59-$B59)*$A59</f>
        <v>0</v>
      </c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 t="n">
        <f aca="false">(D60-$B60)*$A60</f>
        <v>0</v>
      </c>
      <c r="AK60" s="2" t="n">
        <f aca="false">(E60-$B60)*$A60</f>
        <v>0</v>
      </c>
      <c r="AL60" s="2" t="n">
        <f aca="false">(F60-$B60)*$A60</f>
        <v>0</v>
      </c>
      <c r="AM60" s="2" t="n">
        <f aca="false">(G60-$B60)*$A60</f>
        <v>0</v>
      </c>
      <c r="AN60" s="2" t="n">
        <f aca="false">(H60-$B60)*$A60</f>
        <v>0</v>
      </c>
      <c r="AO60" s="2" t="n">
        <f aca="false">(I60-$B60)*$A60</f>
        <v>0</v>
      </c>
      <c r="AP60" s="2" t="n">
        <f aca="false">(J60-$B60)*$A60</f>
        <v>0</v>
      </c>
      <c r="AQ60" s="2" t="n">
        <f aca="false">(K60-$B60)*$A60</f>
        <v>0</v>
      </c>
      <c r="AR60" s="2" t="n">
        <f aca="false">(L60-$B60)*$A60</f>
        <v>0</v>
      </c>
      <c r="AS60" s="2" t="n">
        <f aca="false">(M60-$B60)*$A60</f>
        <v>0</v>
      </c>
      <c r="AT60" s="2" t="n">
        <f aca="false">(N60-$B60)*$A60</f>
        <v>0</v>
      </c>
      <c r="AU60" s="2" t="n">
        <f aca="false">(O60-$B60)*$A60</f>
        <v>0</v>
      </c>
      <c r="AV60" s="2" t="n">
        <f aca="false">(P60-$B60)*$A60</f>
        <v>0</v>
      </c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 t="n">
        <f aca="false">(D61-$B61)*$A61</f>
        <v>0</v>
      </c>
      <c r="AK61" s="2" t="n">
        <f aca="false">(E61-$B61)*$A61</f>
        <v>0</v>
      </c>
      <c r="AL61" s="2" t="n">
        <f aca="false">(F61-$B61)*$A61</f>
        <v>0</v>
      </c>
      <c r="AM61" s="2" t="n">
        <f aca="false">(G61-$B61)*$A61</f>
        <v>0</v>
      </c>
      <c r="AN61" s="2" t="n">
        <f aca="false">(H61-$B61)*$A61</f>
        <v>0</v>
      </c>
      <c r="AO61" s="2" t="n">
        <f aca="false">(I61-$B61)*$A61</f>
        <v>0</v>
      </c>
      <c r="AP61" s="2" t="n">
        <f aca="false">(J61-$B61)*$A61</f>
        <v>0</v>
      </c>
      <c r="AQ61" s="2" t="n">
        <f aca="false">(K61-$B61)*$A61</f>
        <v>0</v>
      </c>
      <c r="AR61" s="2" t="n">
        <f aca="false">(L61-$B61)*$A61</f>
        <v>0</v>
      </c>
      <c r="AS61" s="2" t="n">
        <f aca="false">(M61-$B61)*$A61</f>
        <v>0</v>
      </c>
      <c r="AT61" s="2" t="n">
        <f aca="false">(N61-$B61)*$A61</f>
        <v>0</v>
      </c>
      <c r="AU61" s="2" t="n">
        <f aca="false">(O61-$B61)*$A61</f>
        <v>0</v>
      </c>
      <c r="AV61" s="2" t="n">
        <f aca="false">(P61-$B61)*$A61</f>
        <v>0</v>
      </c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 t="n">
        <f aca="false">(D62-$B62)*$A62</f>
        <v>0</v>
      </c>
      <c r="AK62" s="2" t="n">
        <f aca="false">(E62-$B62)*$A62</f>
        <v>0</v>
      </c>
      <c r="AL62" s="2" t="n">
        <f aca="false">(F62-$B62)*$A62</f>
        <v>0</v>
      </c>
      <c r="AM62" s="2" t="n">
        <f aca="false">(G62-$B62)*$A62</f>
        <v>0</v>
      </c>
      <c r="AN62" s="2" t="n">
        <f aca="false">(H62-$B62)*$A62</f>
        <v>0</v>
      </c>
      <c r="AO62" s="2" t="n">
        <f aca="false">(I62-$B62)*$A62</f>
        <v>0</v>
      </c>
      <c r="AP62" s="2" t="n">
        <f aca="false">(J62-$B62)*$A62</f>
        <v>0</v>
      </c>
      <c r="AQ62" s="2" t="n">
        <f aca="false">(K62-$B62)*$A62</f>
        <v>0</v>
      </c>
      <c r="AR62" s="2" t="n">
        <f aca="false">(L62-$B62)*$A62</f>
        <v>0</v>
      </c>
      <c r="AS62" s="2" t="n">
        <f aca="false">(M62-$B62)*$A62</f>
        <v>0</v>
      </c>
      <c r="AT62" s="2" t="n">
        <f aca="false">(N62-$B62)*$A62</f>
        <v>0</v>
      </c>
      <c r="AU62" s="2" t="n">
        <f aca="false">(O62-$B62)*$A62</f>
        <v>0</v>
      </c>
      <c r="AV62" s="2" t="n">
        <f aca="false">(P62-$B62)*$A62</f>
        <v>0</v>
      </c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</row>
    <row r="63" customFormat="false" ht="13.8" hidden="false" customHeight="false" outlineLevel="0" collapsed="false">
      <c r="A63" s="1" t="n">
        <f aca="false">1+A62</f>
        <v>61</v>
      </c>
      <c r="B63" s="3"/>
      <c r="E63" s="3"/>
      <c r="F63" s="3"/>
      <c r="O63" s="3"/>
      <c r="P63" s="3"/>
      <c r="AI63" s="2" t="n">
        <f aca="false">(C63-$B63)*$A63</f>
        <v>0</v>
      </c>
      <c r="AJ63" s="2" t="n">
        <f aca="false">(D63-$B63)*$A63</f>
        <v>0</v>
      </c>
      <c r="AK63" s="2" t="n">
        <f aca="false">(E63-$B63)*$A63</f>
        <v>0</v>
      </c>
      <c r="AL63" s="2" t="n">
        <f aca="false">(F63-$B63)*$A63</f>
        <v>0</v>
      </c>
      <c r="AM63" s="2" t="n">
        <f aca="false">(G63-$B63)*$A63</f>
        <v>0</v>
      </c>
      <c r="AN63" s="2" t="n">
        <f aca="false">(H63-$B63)*$A63</f>
        <v>0</v>
      </c>
      <c r="AO63" s="2" t="n">
        <f aca="false">(I63-$B63)*$A63</f>
        <v>0</v>
      </c>
      <c r="AP63" s="2" t="n">
        <f aca="false">(J63-$B63)*$A63</f>
        <v>0</v>
      </c>
      <c r="AQ63" s="2" t="n">
        <f aca="false">(K63-$B63)*$A63</f>
        <v>0</v>
      </c>
      <c r="AR63" s="2" t="n">
        <f aca="false">(L63-$B63)*$A63</f>
        <v>0</v>
      </c>
      <c r="AS63" s="2" t="n">
        <f aca="false">(M63-$B63)*$A63</f>
        <v>0</v>
      </c>
      <c r="AT63" s="2" t="n">
        <f aca="false">(N63-$B63)*$A63</f>
        <v>0</v>
      </c>
      <c r="AU63" s="2" t="n">
        <f aca="false">(O63-$B63)*$A63</f>
        <v>0</v>
      </c>
      <c r="AV63" s="2" t="n">
        <f aca="false">(P63-$B63)*$A63</f>
        <v>0</v>
      </c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</row>
    <row r="64" customFormat="false" ht="13.8" hidden="false" customHeight="false" outlineLevel="0" collapsed="false">
      <c r="A64" s="1" t="n">
        <f aca="false">1+A63</f>
        <v>62</v>
      </c>
      <c r="B64" s="3"/>
      <c r="D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 t="n">
        <f aca="false">(D64-$B64)*$A64</f>
        <v>0</v>
      </c>
      <c r="AK64" s="2" t="n">
        <f aca="false">(E64-$B64)*$A64</f>
        <v>0</v>
      </c>
      <c r="AL64" s="2" t="n">
        <f aca="false">(F64-$B64)*$A64</f>
        <v>0</v>
      </c>
      <c r="AM64" s="2" t="n">
        <f aca="false">(G64-$B64)*$A64</f>
        <v>0</v>
      </c>
      <c r="AN64" s="2" t="n">
        <f aca="false">(H64-$B64)*$A64</f>
        <v>0</v>
      </c>
      <c r="AO64" s="2" t="n">
        <f aca="false">(I64-$B64)*$A64</f>
        <v>0</v>
      </c>
      <c r="AP64" s="2" t="n">
        <f aca="false">(J64-$B64)*$A64</f>
        <v>0</v>
      </c>
      <c r="AQ64" s="2" t="n">
        <f aca="false">(K64-$B64)*$A64</f>
        <v>0</v>
      </c>
      <c r="AR64" s="2" t="n">
        <f aca="false">(L64-$B64)*$A64</f>
        <v>0</v>
      </c>
      <c r="AS64" s="2" t="n">
        <f aca="false">(M64-$B64)*$A64</f>
        <v>0</v>
      </c>
      <c r="AT64" s="2" t="n">
        <f aca="false">(N64-$B64)*$A64</f>
        <v>0</v>
      </c>
      <c r="AU64" s="2" t="n">
        <f aca="false">(O64-$B64)*$A64</f>
        <v>0</v>
      </c>
      <c r="AV64" s="2" t="n">
        <f aca="false">(P64-$B64)*$A64</f>
        <v>0</v>
      </c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</row>
    <row r="65" customFormat="false" ht="13.8" hidden="false" customHeight="false" outlineLevel="0" collapsed="false">
      <c r="A65" s="1" t="n">
        <f aca="false">1+A64</f>
        <v>63</v>
      </c>
      <c r="B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 t="n">
        <f aca="false">(D65-$B65)*$A65</f>
        <v>0</v>
      </c>
      <c r="AK65" s="2" t="n">
        <f aca="false">(E65-$B65)*$A65</f>
        <v>0</v>
      </c>
      <c r="AL65" s="2" t="n">
        <f aca="false">(F65-$B65)*$A65</f>
        <v>0</v>
      </c>
      <c r="AM65" s="2" t="n">
        <f aca="false">(G65-$B65)*$A65</f>
        <v>0</v>
      </c>
      <c r="AN65" s="2" t="n">
        <f aca="false">(H65-$B65)*$A65</f>
        <v>0</v>
      </c>
      <c r="AO65" s="2" t="n">
        <f aca="false">(I65-$B65)*$A65</f>
        <v>0</v>
      </c>
      <c r="AP65" s="2" t="n">
        <f aca="false">(J65-$B65)*$A65</f>
        <v>0</v>
      </c>
      <c r="AQ65" s="2" t="n">
        <f aca="false">(K65-$B65)*$A65</f>
        <v>0</v>
      </c>
      <c r="AR65" s="2" t="n">
        <f aca="false">(L65-$B65)*$A65</f>
        <v>0</v>
      </c>
      <c r="AS65" s="2" t="n">
        <f aca="false">(M65-$B65)*$A65</f>
        <v>0</v>
      </c>
      <c r="AT65" s="2" t="n">
        <f aca="false">(N65-$B65)*$A65</f>
        <v>0</v>
      </c>
      <c r="AU65" s="2" t="n">
        <f aca="false">(O65-$B65)*$A65</f>
        <v>0</v>
      </c>
      <c r="AV65" s="2" t="n">
        <f aca="false">(P65-$B65)*$A65</f>
        <v>0</v>
      </c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65"/>
  <sheetViews>
    <sheetView showFormulas="false" showGridLines="true" showRowColHeaders="true" showZeros="true" rightToLeft="false" tabSelected="false" showOutlineSymbols="true" defaultGridColor="true" view="normal" topLeftCell="AS1" colorId="64" zoomScale="100" zoomScaleNormal="100" zoomScalePageLayoutView="100" workbookViewId="0">
      <selection pane="topLeft" activeCell="Q1" activeCellId="0" sqref="Q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8.75"/>
    <col collapsed="false" customWidth="true" hidden="false" outlineLevel="0" max="3" min="3" style="1" width="13.55"/>
    <col collapsed="false" customWidth="true" hidden="false" outlineLevel="0" max="6" min="4" style="1" width="12.15"/>
    <col collapsed="false" customWidth="true" hidden="false" outlineLevel="0" max="7" min="7" style="1" width="20.59"/>
    <col collapsed="false" customWidth="true" hidden="false" outlineLevel="0" max="27" min="8" style="1" width="12.15"/>
  </cols>
  <sheetData>
    <row r="1" customFormat="false" ht="13.8" hidden="false" customHeight="false" outlineLevel="0" collapsed="false">
      <c r="A1" s="1" t="s">
        <v>0</v>
      </c>
      <c r="B1" s="1" t="str">
        <f aca="false">"master(3pp-net)="  &amp; SUMPRODUCT($A2:$A65,B2:B65)/100</f>
        <v>master(3pp-net)=2,96677045562377</v>
      </c>
      <c r="C1" s="1" t="str">
        <f aca="false">"w+p="&amp; SUMPRODUCT($A2:$A65,C2:C65)/100-SUMPRODUCT($A2:$A65,$B2:$B65)/100</f>
        <v>w+p=-0,0375693279095839</v>
      </c>
      <c r="D1" s="1" t="str">
        <f aca="false">"w+256p/rd="&amp; SUMPRODUCT($A2:$A65,D2:D65)/100-SUMPRODUCT($A2:$A65,$B2:$B65)/100</f>
        <v>w+256p/rd=0,0435564283593521</v>
      </c>
      <c r="E1" s="1" t="str">
        <f aca="false">"w+28m="&amp; SUMPRODUCT($A2:$A65,E2:E65)/100-SUMPRODUCT($A2:$A65,$B2:$B65)/100</f>
        <v>w+28m=-0,0560743079518766</v>
      </c>
      <c r="F1" s="1" t="str">
        <f aca="false">"w+2p="&amp; SUMPRODUCT($A2:$A65,F2:F65)/100-SUMPRODUCT($A2:$A65,$B2:$B65)/100</f>
        <v>w+2p=0,0454816923068804</v>
      </c>
      <c r="G1" s="1" t="str">
        <f aca="false">"r+653="&amp; SUMPRODUCT($A2:$A65,G2:G65)/100-SUMPRODUCT($A2:$A65,$B2:$B65)/100</f>
        <v>r+653=-0,0281370151157647</v>
      </c>
      <c r="H1" s="1" t="str">
        <f aca="false">"no_scale="&amp; SUMPRODUCT($A2:$A65,H2:H65)/100-SUMPRODUCT($A2:$A65,$B2:$B65)/100</f>
        <v>no_scale=0,00128746583786032</v>
      </c>
      <c r="I1" s="1" t="str">
        <f aca="false">"w2="&amp; SUMPRODUCT($A2:$A65,I2:I65)/100-SUMPRODUCT($A2:$A65,$B2:$B65)/100</f>
        <v>w2=-0,0177378419111993</v>
      </c>
      <c r="J1" s="1" t="str">
        <f aca="false">"w+p-14="&amp; SUMPRODUCT($A2:$A65,J2:J65)/100-SUMPRODUCT($A2:$A65,$B2:$B65)/100</f>
        <v>w+p-14=-0,0430313246934433</v>
      </c>
      <c r="K1" s="1" t="str">
        <f aca="false">"w-d+7="&amp; SUMPRODUCT($A2:$A65,K2:K65)/100-SUMPRODUCT($A2:$A65,$B2:$B65)/100</f>
        <v>w-d+7=0,0283973412917904</v>
      </c>
      <c r="L1" s="1" t="str">
        <f aca="false">"w+(ss+1)-&gt;cuttoffCnt="&amp; SUMPRODUCT($A2:$A65,L2:L65)/100-SUMPRODUCT($A2:$A65,$B2:$B65)/100</f>
        <v>w+(ss+1)-&gt;cuttoffCnt=-0,029311443031192</v>
      </c>
      <c r="M1" s="1" t="str">
        <f aca="false">"w+5="&amp; SUMPRODUCT($A2:$A65,M2:M65)/100-SUMPRODUCT($A2:$A65,$B2:$B65)/100</f>
        <v>w+5=-0,0111585008185968</v>
      </c>
      <c r="N1" s="1" t="str">
        <f aca="false">"w+128cap="&amp; SUMPRODUCT($A2:$A65,N2:N65)/100-SUMPRODUCT($A2:$A65,$B2:$B65)/100</f>
        <v>w+128cap=-0,00902303334261978</v>
      </c>
      <c r="O1" s="1" t="str">
        <f aca="false">"w+d="&amp; SUMPRODUCT($A2:$A65,O2:O65)/100-SUMPRODUCT($A2:$A65,$B2:$B65)/100</f>
        <v>w+d=-0,0635742758553097</v>
      </c>
      <c r="P1" s="1" t="str">
        <f aca="false">"w+2d="&amp; SUMPRODUCT($A2:$A65,P2:P65)/100-SUMPRODUCT($A2:$A65,$B2:$B65)/100</f>
        <v>w+2d=-0,0570698649328039</v>
      </c>
      <c r="Q1" s="1" t="str">
        <f aca="false">"w+128ncap="&amp; SUMPRODUCT($A2:$A65,Q2:Q65)/100-SUMPRODUCT($A2:$A65,$B2:$B65)/100</f>
        <v>w+128ncap=0,0318852054650982</v>
      </c>
      <c r="R1" s="1" t="str">
        <f aca="false">"p/(2rd)="&amp; SUMPRODUCT($A2:$A65,R2:R65)/100-SUMPRODUCT($A2:$A65,$B2:$B65)/100</f>
        <v>p/(2rd)=-0,15537010137645</v>
      </c>
      <c r="S1" s="1" t="str">
        <f aca="false">"p/(2(p+d))="&amp; SUMPRODUCT($A2:$A65,S2:S65)/100-SUMPRODUCT($A2:$A65,$B2:$B65)/100</f>
        <v>p/(2(p+d))=0,0100551939490807</v>
      </c>
      <c r="T1" s="1" t="str">
        <f aca="false">"45p/(256rd)="&amp; SUMPRODUCT($A2:$A65,T2:T65)/100-SUMPRODUCT($A2:$A65,$B2:$B65)/100</f>
        <v>45p/(256rd)=-0,0594907069424506</v>
      </c>
      <c r="U1" s="1" t="str">
        <f aca="false">"p/(4(p+d))="&amp; SUMPRODUCT($A2:$A65,U2:U65)/100-SUMPRODUCT($A2:$A65,$B2:$B65)/100</f>
        <v>p/(4(p+d))=-0,0471293046087551</v>
      </c>
      <c r="V1" s="1" t="str">
        <f aca="false">"(184+21p)/(256d+85p+179)="&amp; SUMPRODUCT($A2:$A65,V2:V65)/100-SUMPRODUCT($A2:$A65,$B2:$B65)/100</f>
        <v>(184+21p)/(256d+85p+179)=-0,0368152463710656</v>
      </c>
      <c r="W1" s="1" t="str">
        <f aca="false">"(r276/(256d+268)+r*p/(4(p+d)))/2="&amp; SUMPRODUCT($A2:$A65,W2:W65)/100-SUMPRODUCT($A2:$A65,$B2:$B65)/100</f>
        <v>(r276/(256d+268)+r*p/(4(p+d)))/2=0,0058409013559082</v>
      </c>
      <c r="X1" s="1" t="str">
        <f aca="false">"p85/(256(p+d))="&amp; SUMPRODUCT($A2:$A65,X2:X65)/100-SUMPRODUCT($A2:$A65,$B2:$B65)/100</f>
        <v>p85/(256(p+d))=-0,0805086889907289</v>
      </c>
      <c r="Y1" s="1" t="str">
        <f aca="false">"67p/(256rd)="&amp; SUMPRODUCT($A2:$A65,Y2:Y65)/100-SUMPRODUCT($A2:$A65,$B2:$B65)/100</f>
        <v>67p/(256rd)=-0,0445638809812898</v>
      </c>
      <c r="AA1" s="1" t="str">
        <f aca="false">C1</f>
        <v>w+p=-0,0375693279095839</v>
      </c>
      <c r="AB1" s="1" t="str">
        <f aca="false">D1</f>
        <v>w+256p/rd=0,0435564283593521</v>
      </c>
      <c r="AC1" s="1" t="str">
        <f aca="false">E1</f>
        <v>w+28m=-0,0560743079518766</v>
      </c>
      <c r="AD1" s="1" t="str">
        <f aca="false">F1</f>
        <v>w+2p=0,0454816923068804</v>
      </c>
      <c r="AE1" s="1" t="str">
        <f aca="false">G1</f>
        <v>r+653=-0,0281370151157647</v>
      </c>
      <c r="AF1" s="1" t="str">
        <f aca="false">H1</f>
        <v>no_scale=0,00128746583786032</v>
      </c>
      <c r="AG1" s="1" t="str">
        <f aca="false">I1</f>
        <v>w2=-0,0177378419111993</v>
      </c>
      <c r="AH1" s="1" t="str">
        <f aca="false">J1</f>
        <v>w+p-14=-0,0430313246934433</v>
      </c>
      <c r="AI1" s="1" t="str">
        <f aca="false">K1</f>
        <v>w-d+7=0,0283973412917904</v>
      </c>
      <c r="AJ1" s="1" t="str">
        <f aca="false">L1</f>
        <v>w+(ss+1)-&gt;cuttoffCnt=-0,029311443031192</v>
      </c>
      <c r="AK1" s="1" t="str">
        <f aca="false">M1</f>
        <v>w+5=-0,0111585008185968</v>
      </c>
      <c r="AL1" s="1" t="str">
        <f aca="false">N1</f>
        <v>w+128cap=-0,00902303334261978</v>
      </c>
      <c r="AM1" s="1" t="str">
        <f aca="false">O1</f>
        <v>w+d=-0,0635742758553097</v>
      </c>
      <c r="AN1" s="1" t="str">
        <f aca="false">P1</f>
        <v>w+2d=-0,0570698649328039</v>
      </c>
      <c r="AO1" s="1" t="str">
        <f aca="false">Q1</f>
        <v>w+128ncap=0,0318852054650982</v>
      </c>
      <c r="AP1" s="1" t="str">
        <f aca="false">R1</f>
        <v>p/(2rd)=-0,15537010137645</v>
      </c>
      <c r="AQ1" s="1" t="str">
        <f aca="false">S1</f>
        <v>p/(2(p+d))=0,0100551939490807</v>
      </c>
      <c r="AR1" s="1" t="str">
        <f aca="false">T1</f>
        <v>45p/(256rd)=-0,0594907069424506</v>
      </c>
      <c r="AS1" s="1" t="str">
        <f aca="false">U1</f>
        <v>p/(4(p+d))=-0,0471293046087551</v>
      </c>
      <c r="AT1" s="1" t="str">
        <f aca="false">V1</f>
        <v>(184+21p)/(256d+85p+179)=-0,0368152463710656</v>
      </c>
      <c r="AU1" s="1" t="str">
        <f aca="false">W1</f>
        <v>(r276/(256d+268)+r*p/(4(p+d)))/2=0,0058409013559082</v>
      </c>
      <c r="AV1" s="1" t="str">
        <f aca="false">X1</f>
        <v>p85/(256(p+d))=-0,0805086889907289</v>
      </c>
      <c r="AW1" s="1" t="str">
        <f aca="false">Y1</f>
        <v>67p/(256rd)=-0,0445638809812898</v>
      </c>
    </row>
    <row r="2" customFormat="false" ht="13.8" hidden="false" customHeight="false" outlineLevel="0" collapsed="false">
      <c r="A2" s="1" t="n">
        <v>0</v>
      </c>
      <c r="B2" s="0" t="n">
        <v>25.8147</v>
      </c>
      <c r="C2" s="1" t="n">
        <v>26.0036</v>
      </c>
      <c r="D2" s="1" t="n">
        <v>25.5235</v>
      </c>
      <c r="E2" s="1" t="n">
        <v>25.8271</v>
      </c>
      <c r="F2" s="1" t="n">
        <v>25.863</v>
      </c>
      <c r="G2" s="1" t="n">
        <v>25.8841</v>
      </c>
      <c r="H2" s="1" t="n">
        <v>25.9221</v>
      </c>
      <c r="I2" s="1" t="n">
        <v>25.7175</v>
      </c>
      <c r="J2" s="1" t="n">
        <v>25.8759</v>
      </c>
      <c r="K2" s="1" t="n">
        <v>25.7649</v>
      </c>
      <c r="L2" s="1" t="n">
        <v>25.9186</v>
      </c>
      <c r="M2" s="1" t="n">
        <v>25.8494</v>
      </c>
      <c r="N2" s="1" t="n">
        <v>25.8154</v>
      </c>
      <c r="O2" s="1" t="n">
        <v>26.0912</v>
      </c>
      <c r="P2" s="1" t="n">
        <v>25.9916</v>
      </c>
      <c r="Q2" s="1" t="n">
        <v>25.6929</v>
      </c>
      <c r="R2" s="1" t="n">
        <v>25.8885</v>
      </c>
      <c r="S2" s="1" t="n">
        <v>25.622</v>
      </c>
      <c r="T2" s="1" t="n">
        <v>25.8267</v>
      </c>
      <c r="U2" s="1" t="n">
        <v>25.7624</v>
      </c>
      <c r="V2" s="1" t="n">
        <v>25.8119</v>
      </c>
      <c r="W2" s="1" t="n">
        <v>25.7605</v>
      </c>
      <c r="X2" s="1" t="n">
        <v>26.0221</v>
      </c>
      <c r="Y2" s="1" t="n">
        <v>25.658</v>
      </c>
      <c r="Z2" s="2"/>
      <c r="AA2" s="2" t="n">
        <f aca="false">(C2-$B2)*$A2</f>
        <v>0</v>
      </c>
      <c r="AB2" s="2" t="n">
        <f aca="false">(D2-$B2)*$A2</f>
        <v>-0</v>
      </c>
      <c r="AC2" s="2" t="n">
        <f aca="false">(E2-$B2)*$A2</f>
        <v>0</v>
      </c>
      <c r="AD2" s="2" t="n">
        <f aca="false">(F2-$B2)*$A2</f>
        <v>0</v>
      </c>
      <c r="AE2" s="2" t="n">
        <f aca="false">(G2-$B2)*$A2</f>
        <v>0</v>
      </c>
      <c r="AF2" s="2" t="n">
        <f aca="false">(H2-$B2)*$A2</f>
        <v>0</v>
      </c>
      <c r="AG2" s="2" t="n">
        <f aca="false">(I2-$B2)*$A2</f>
        <v>-0</v>
      </c>
      <c r="AH2" s="2" t="n">
        <f aca="false">(J2-$B2)*$A2</f>
        <v>0</v>
      </c>
      <c r="AI2" s="2" t="n">
        <f aca="false">(K2-$B2)*$A2</f>
        <v>-0</v>
      </c>
      <c r="AJ2" s="2" t="n">
        <f aca="false">(L2-$B2)*$A2</f>
        <v>0</v>
      </c>
      <c r="AK2" s="2" t="n">
        <f aca="false">(M2-$B2)*$A2</f>
        <v>0</v>
      </c>
      <c r="AL2" s="2" t="n">
        <f aca="false">(N2-$B2)*$A2</f>
        <v>0</v>
      </c>
      <c r="AM2" s="2" t="n">
        <f aca="false">(O2-$B2)*$A2</f>
        <v>0</v>
      </c>
      <c r="AN2" s="2" t="n">
        <f aca="false">(P2-$B2)*$A2</f>
        <v>0</v>
      </c>
      <c r="AO2" s="2" t="n">
        <f aca="false">(Q2-$B2)*$A2</f>
        <v>-0</v>
      </c>
      <c r="AP2" s="2" t="n">
        <f aca="false">(R2-$B2)*$A2</f>
        <v>0</v>
      </c>
      <c r="AQ2" s="2" t="n">
        <f aca="false">(S2-$B2)*$A2</f>
        <v>-0</v>
      </c>
      <c r="AR2" s="2" t="n">
        <f aca="false">(T2-$B2)*$A2</f>
        <v>0</v>
      </c>
      <c r="AS2" s="2" t="n">
        <f aca="false">(U2-$B2)*$A2</f>
        <v>-0</v>
      </c>
      <c r="AT2" s="2" t="n">
        <f aca="false">(V2-$B2)*$A2</f>
        <v>-0</v>
      </c>
      <c r="AU2" s="2" t="n">
        <f aca="false">(W2-$B2)*$A2</f>
        <v>-0</v>
      </c>
      <c r="AV2" s="2" t="n">
        <f aca="false">(X2-$B2)*$A2</f>
        <v>0</v>
      </c>
      <c r="AW2" s="2" t="n">
        <f aca="false">(Y2-$B2)*$A2</f>
        <v>-0</v>
      </c>
    </row>
    <row r="3" customFormat="false" ht="13.8" hidden="false" customHeight="false" outlineLevel="0" collapsed="false">
      <c r="A3" s="1" t="n">
        <f aca="false">1+A2</f>
        <v>1</v>
      </c>
      <c r="B3" s="0" t="n">
        <v>27.905</v>
      </c>
      <c r="C3" s="1" t="n">
        <v>28.2255</v>
      </c>
      <c r="D3" s="1" t="n">
        <v>28.4751</v>
      </c>
      <c r="E3" s="1" t="n">
        <v>29.0364</v>
      </c>
      <c r="F3" s="1" t="n">
        <v>27.5069</v>
      </c>
      <c r="G3" s="1" t="n">
        <v>28.3514</v>
      </c>
      <c r="H3" s="1" t="n">
        <v>27.0164</v>
      </c>
      <c r="I3" s="1" t="n">
        <v>29.0374</v>
      </c>
      <c r="J3" s="1" t="n">
        <v>28.3431</v>
      </c>
      <c r="K3" s="1" t="n">
        <v>27.7634</v>
      </c>
      <c r="L3" s="1" t="n">
        <v>28.1872</v>
      </c>
      <c r="M3" s="1" t="n">
        <v>28.1093</v>
      </c>
      <c r="N3" s="1" t="n">
        <v>28.0078</v>
      </c>
      <c r="O3" s="1" t="n">
        <v>28.306</v>
      </c>
      <c r="P3" s="1" t="n">
        <v>28.4161</v>
      </c>
      <c r="Q3" s="1" t="n">
        <v>28.2568</v>
      </c>
      <c r="R3" s="1" t="n">
        <v>30.7579</v>
      </c>
      <c r="S3" s="1" t="n">
        <v>29.1248</v>
      </c>
      <c r="T3" s="1" t="n">
        <v>28.477</v>
      </c>
      <c r="U3" s="1" t="n">
        <v>28.4988</v>
      </c>
      <c r="V3" s="1" t="n">
        <v>28.3355</v>
      </c>
      <c r="W3" s="1" t="n">
        <v>28.0418</v>
      </c>
      <c r="X3" s="1" t="n">
        <v>28.8955</v>
      </c>
      <c r="Y3" s="1" t="n">
        <v>28.924</v>
      </c>
      <c r="Z3" s="2"/>
      <c r="AA3" s="2" t="n">
        <f aca="false">(C3-$B3)*$A3</f>
        <v>0.320499999999999</v>
      </c>
      <c r="AB3" s="2" t="n">
        <f aca="false">(D3-$B3)*$A3</f>
        <v>0.5701</v>
      </c>
      <c r="AC3" s="2" t="n">
        <f aca="false">(E3-$B3)*$A3</f>
        <v>1.1314</v>
      </c>
      <c r="AD3" s="2" t="n">
        <f aca="false">(F3-$B3)*$A3</f>
        <v>-0.398099999999999</v>
      </c>
      <c r="AE3" s="2" t="n">
        <f aca="false">(G3-$B3)*$A3</f>
        <v>0.446400000000001</v>
      </c>
      <c r="AF3" s="2" t="n">
        <f aca="false">(H3-$B3)*$A3</f>
        <v>-0.8886</v>
      </c>
      <c r="AG3" s="2" t="n">
        <f aca="false">(I3-$B3)*$A3</f>
        <v>1.1324</v>
      </c>
      <c r="AH3" s="2" t="n">
        <f aca="false">(J3-$B3)*$A3</f>
        <v>0.438099999999999</v>
      </c>
      <c r="AI3" s="2" t="n">
        <f aca="false">(K3-$B3)*$A3</f>
        <v>-0.1416</v>
      </c>
      <c r="AJ3" s="2" t="n">
        <f aca="false">(L3-$B3)*$A3</f>
        <v>0.2822</v>
      </c>
      <c r="AK3" s="2" t="n">
        <f aca="false">(M3-$B3)*$A3</f>
        <v>0.2043</v>
      </c>
      <c r="AL3" s="2" t="n">
        <f aca="false">(N3-$B3)*$A3</f>
        <v>0.102799999999998</v>
      </c>
      <c r="AM3" s="2" t="n">
        <f aca="false">(O3-$B3)*$A3</f>
        <v>0.401</v>
      </c>
      <c r="AN3" s="2" t="n">
        <f aca="false">(P3-$B3)*$A3</f>
        <v>0.511099999999999</v>
      </c>
      <c r="AO3" s="2" t="n">
        <f aca="false">(Q3-$B3)*$A3</f>
        <v>0.351799999999997</v>
      </c>
      <c r="AP3" s="2" t="n">
        <f aca="false">(R3-$B3)*$A3</f>
        <v>2.8529</v>
      </c>
      <c r="AQ3" s="2" t="n">
        <f aca="false">(S3-$B3)*$A3</f>
        <v>1.2198</v>
      </c>
      <c r="AR3" s="2" t="n">
        <f aca="false">(T3-$B3)*$A3</f>
        <v>0.571999999999999</v>
      </c>
      <c r="AS3" s="2" t="n">
        <f aca="false">(U3-$B3)*$A3</f>
        <v>0.593799999999998</v>
      </c>
      <c r="AT3" s="2" t="n">
        <f aca="false">(V3-$B3)*$A3</f>
        <v>0.430499999999999</v>
      </c>
      <c r="AU3" s="2" t="n">
        <f aca="false">(W3-$B3)*$A3</f>
        <v>0.136799999999997</v>
      </c>
      <c r="AV3" s="2" t="n">
        <f aca="false">(X3-$B3)*$A3</f>
        <v>0.990499999999997</v>
      </c>
      <c r="AW3" s="2" t="n">
        <f aca="false">(Y3-$B3)*$A3</f>
        <v>1.019</v>
      </c>
    </row>
    <row r="4" customFormat="false" ht="13.8" hidden="false" customHeight="false" outlineLevel="0" collapsed="false">
      <c r="A4" s="1" t="n">
        <f aca="false">1+A3</f>
        <v>2</v>
      </c>
      <c r="B4" s="0" t="n">
        <v>8.38944</v>
      </c>
      <c r="C4" s="1" t="n">
        <v>8.36283</v>
      </c>
      <c r="D4" s="1" t="n">
        <v>8.07153</v>
      </c>
      <c r="E4" s="1" t="n">
        <v>8.18974</v>
      </c>
      <c r="F4" s="1" t="n">
        <v>8.21191</v>
      </c>
      <c r="G4" s="1" t="n">
        <v>8.32556</v>
      </c>
      <c r="H4" s="1" t="n">
        <v>8.79457</v>
      </c>
      <c r="I4" s="1" t="n">
        <v>8.02946</v>
      </c>
      <c r="J4" s="1" t="n">
        <v>8.38894</v>
      </c>
      <c r="K4" s="1" t="n">
        <v>8.36454</v>
      </c>
      <c r="L4" s="1" t="n">
        <v>8.38834</v>
      </c>
      <c r="M4" s="1" t="n">
        <v>8.36584</v>
      </c>
      <c r="N4" s="1" t="n">
        <v>8.41094</v>
      </c>
      <c r="O4" s="1" t="n">
        <v>8.39863</v>
      </c>
      <c r="P4" s="1" t="n">
        <v>8.37505</v>
      </c>
      <c r="Q4" s="1" t="n">
        <v>8.19105</v>
      </c>
      <c r="R4" s="1" t="n">
        <v>8.06757</v>
      </c>
      <c r="S4" s="1" t="n">
        <v>8.07755</v>
      </c>
      <c r="T4" s="1" t="n">
        <v>8.53919</v>
      </c>
      <c r="U4" s="1" t="n">
        <v>8.49661</v>
      </c>
      <c r="V4" s="1" t="n">
        <v>8.44132</v>
      </c>
      <c r="W4" s="1" t="n">
        <v>8.42251</v>
      </c>
      <c r="X4" s="1" t="n">
        <v>8.38006</v>
      </c>
      <c r="Y4" s="1" t="n">
        <v>8.41568</v>
      </c>
      <c r="Z4" s="2"/>
      <c r="AA4" s="2" t="n">
        <f aca="false">(C4-$B4)*$A4</f>
        <v>-0.0532199999999996</v>
      </c>
      <c r="AB4" s="2" t="n">
        <f aca="false">(D4-$B4)*$A4</f>
        <v>-0.635820000000003</v>
      </c>
      <c r="AC4" s="2" t="n">
        <f aca="false">(E4-$B4)*$A4</f>
        <v>-0.3994</v>
      </c>
      <c r="AD4" s="2" t="n">
        <f aca="false">(F4-$B4)*$A4</f>
        <v>-0.355060000000002</v>
      </c>
      <c r="AE4" s="2" t="n">
        <f aca="false">(G4-$B4)*$A4</f>
        <v>-0.127760000000002</v>
      </c>
      <c r="AF4" s="2" t="n">
        <f aca="false">(H4-$B4)*$A4</f>
        <v>0.81026</v>
      </c>
      <c r="AG4" s="2" t="n">
        <f aca="false">(I4-$B4)*$A4</f>
        <v>-0.71996</v>
      </c>
      <c r="AH4" s="2" t="n">
        <f aca="false">(J4-$B4)*$A4</f>
        <v>-0.00100000000000122</v>
      </c>
      <c r="AI4" s="2" t="n">
        <f aca="false">(K4-$B4)*$A4</f>
        <v>-0.0498000000000012</v>
      </c>
      <c r="AJ4" s="2" t="n">
        <f aca="false">(L4-$B4)*$A4</f>
        <v>-0.00220000000000198</v>
      </c>
      <c r="AK4" s="2" t="n">
        <f aca="false">(M4-$B4)*$A4</f>
        <v>-0.0472000000000001</v>
      </c>
      <c r="AL4" s="2" t="n">
        <f aca="false">(N4-$B4)*$A4</f>
        <v>0.0429999999999993</v>
      </c>
      <c r="AM4" s="2" t="n">
        <f aca="false">(O4-$B4)*$A4</f>
        <v>0.0183800000000005</v>
      </c>
      <c r="AN4" s="2" t="n">
        <f aca="false">(P4-$B4)*$A4</f>
        <v>-0.0287800000000011</v>
      </c>
      <c r="AO4" s="2" t="n">
        <f aca="false">(Q4-$B4)*$A4</f>
        <v>-0.39678</v>
      </c>
      <c r="AP4" s="2" t="n">
        <f aca="false">(R4-$B4)*$A4</f>
        <v>-0.643740000000001</v>
      </c>
      <c r="AQ4" s="2" t="n">
        <f aca="false">(S4-$B4)*$A4</f>
        <v>-0.62378</v>
      </c>
      <c r="AR4" s="2" t="n">
        <f aca="false">(T4-$B4)*$A4</f>
        <v>0.299499999999998</v>
      </c>
      <c r="AS4" s="2" t="n">
        <f aca="false">(U4-$B4)*$A4</f>
        <v>0.21434</v>
      </c>
      <c r="AT4" s="2" t="n">
        <f aca="false">(V4-$B4)*$A4</f>
        <v>0.103759999999998</v>
      </c>
      <c r="AU4" s="2" t="n">
        <f aca="false">(W4-$B4)*$A4</f>
        <v>0.0661400000000008</v>
      </c>
      <c r="AV4" s="2" t="n">
        <f aca="false">(X4-$B4)*$A4</f>
        <v>-0.0187600000000003</v>
      </c>
      <c r="AW4" s="2" t="n">
        <f aca="false">(Y4-$B4)*$A4</f>
        <v>0.0524799999999992</v>
      </c>
    </row>
    <row r="5" customFormat="false" ht="13.8" hidden="false" customHeight="false" outlineLevel="0" collapsed="false">
      <c r="A5" s="1" t="n">
        <f aca="false">1+A4</f>
        <v>3</v>
      </c>
      <c r="B5" s="0" t="n">
        <v>7.67879</v>
      </c>
      <c r="C5" s="1" t="n">
        <v>7.64757</v>
      </c>
      <c r="D5" s="1" t="n">
        <v>7.54793</v>
      </c>
      <c r="E5" s="1" t="n">
        <v>7.52733</v>
      </c>
      <c r="F5" s="1" t="n">
        <v>7.59797</v>
      </c>
      <c r="G5" s="1" t="n">
        <v>7.62848</v>
      </c>
      <c r="H5" s="1" t="n">
        <v>7.90271</v>
      </c>
      <c r="I5" s="1" t="n">
        <v>7.44618</v>
      </c>
      <c r="J5" s="1" t="n">
        <v>7.66078</v>
      </c>
      <c r="K5" s="1" t="n">
        <v>7.68571</v>
      </c>
      <c r="L5" s="1" t="n">
        <v>7.67531</v>
      </c>
      <c r="M5" s="1" t="n">
        <v>7.66389</v>
      </c>
      <c r="N5" s="1" t="n">
        <v>7.71113</v>
      </c>
      <c r="O5" s="1" t="n">
        <v>7.67294</v>
      </c>
      <c r="P5" s="1" t="n">
        <v>7.64713</v>
      </c>
      <c r="Q5" s="1" t="n">
        <v>7.55706</v>
      </c>
      <c r="R5" s="1" t="n">
        <v>7.30737</v>
      </c>
      <c r="S5" s="1" t="n">
        <v>7.40668</v>
      </c>
      <c r="T5" s="1" t="n">
        <v>7.6952</v>
      </c>
      <c r="U5" s="1" t="n">
        <v>7.68409</v>
      </c>
      <c r="V5" s="1" t="n">
        <v>7.68905</v>
      </c>
      <c r="W5" s="1" t="n">
        <v>7.68438</v>
      </c>
      <c r="X5" s="1" t="n">
        <v>7.59802</v>
      </c>
      <c r="Y5" s="1" t="n">
        <v>7.60709</v>
      </c>
      <c r="Z5" s="2"/>
      <c r="AA5" s="2" t="n">
        <f aca="false">(C5-$B5)*$A5</f>
        <v>-0.0936600000000007</v>
      </c>
      <c r="AB5" s="2" t="n">
        <f aca="false">(D5-$B5)*$A5</f>
        <v>-0.392580000000001</v>
      </c>
      <c r="AC5" s="2" t="n">
        <f aca="false">(E5-$B5)*$A5</f>
        <v>-0.45438</v>
      </c>
      <c r="AD5" s="2" t="n">
        <f aca="false">(F5-$B5)*$A5</f>
        <v>-0.24246</v>
      </c>
      <c r="AE5" s="2" t="n">
        <f aca="false">(G5-$B5)*$A5</f>
        <v>-0.150930000000002</v>
      </c>
      <c r="AF5" s="2" t="n">
        <f aca="false">(H5-$B5)*$A5</f>
        <v>0.671759999999999</v>
      </c>
      <c r="AG5" s="2" t="n">
        <f aca="false">(I5-$B5)*$A5</f>
        <v>-0.697830000000001</v>
      </c>
      <c r="AH5" s="2" t="n">
        <f aca="false">(J5-$B5)*$A5</f>
        <v>-0.0540300000000009</v>
      </c>
      <c r="AI5" s="2" t="n">
        <f aca="false">(K5-$B5)*$A5</f>
        <v>0.0207600000000001</v>
      </c>
      <c r="AJ5" s="2" t="n">
        <f aca="false">(L5-$B5)*$A5</f>
        <v>-0.0104400000000018</v>
      </c>
      <c r="AK5" s="2" t="n">
        <f aca="false">(M5-$B5)*$A5</f>
        <v>-0.0446999999999997</v>
      </c>
      <c r="AL5" s="2" t="n">
        <f aca="false">(N5-$B5)*$A5</f>
        <v>0.0970199999999988</v>
      </c>
      <c r="AM5" s="2" t="n">
        <f aca="false">(O5-$B5)*$A5</f>
        <v>-0.0175500000000017</v>
      </c>
      <c r="AN5" s="2" t="n">
        <f aca="false">(P5-$B5)*$A5</f>
        <v>-0.0949800000000014</v>
      </c>
      <c r="AO5" s="2" t="n">
        <f aca="false">(Q5-$B5)*$A5</f>
        <v>-0.365190000000001</v>
      </c>
      <c r="AP5" s="2" t="n">
        <f aca="false">(R5-$B5)*$A5</f>
        <v>-1.11426</v>
      </c>
      <c r="AQ5" s="2" t="n">
        <f aca="false">(S5-$B5)*$A5</f>
        <v>-0.816330000000002</v>
      </c>
      <c r="AR5" s="2" t="n">
        <f aca="false">(T5-$B5)*$A5</f>
        <v>0.0492299999999988</v>
      </c>
      <c r="AS5" s="2" t="n">
        <f aca="false">(U5-$B5)*$A5</f>
        <v>0.0159000000000002</v>
      </c>
      <c r="AT5" s="2" t="n">
        <f aca="false">(V5-$B5)*$A5</f>
        <v>0.0307799999999991</v>
      </c>
      <c r="AU5" s="2" t="n">
        <f aca="false">(W5-$B5)*$A5</f>
        <v>0.0167699999999993</v>
      </c>
      <c r="AV5" s="2" t="n">
        <f aca="false">(X5-$B5)*$A5</f>
        <v>-0.242310000000001</v>
      </c>
      <c r="AW5" s="2" t="n">
        <f aca="false">(Y5-$B5)*$A5</f>
        <v>-0.2151</v>
      </c>
    </row>
    <row r="6" customFormat="false" ht="13.8" hidden="false" customHeight="false" outlineLevel="0" collapsed="false">
      <c r="A6" s="1" t="n">
        <f aca="false">1+A5</f>
        <v>4</v>
      </c>
      <c r="B6" s="0" t="n">
        <v>6.2924</v>
      </c>
      <c r="C6" s="1" t="n">
        <v>6.25746</v>
      </c>
      <c r="D6" s="1" t="n">
        <v>6.24193</v>
      </c>
      <c r="E6" s="1" t="n">
        <v>6.17236</v>
      </c>
      <c r="F6" s="1" t="n">
        <v>6.30255</v>
      </c>
      <c r="G6" s="1" t="n">
        <v>6.24913</v>
      </c>
      <c r="H6" s="1" t="n">
        <v>6.41411</v>
      </c>
      <c r="I6" s="1" t="n">
        <v>6.151</v>
      </c>
      <c r="J6" s="1" t="n">
        <v>6.276</v>
      </c>
      <c r="K6" s="1" t="n">
        <v>6.31193</v>
      </c>
      <c r="L6" s="1" t="n">
        <v>6.28091</v>
      </c>
      <c r="M6" s="1" t="n">
        <v>6.2815</v>
      </c>
      <c r="N6" s="1" t="n">
        <v>6.29171</v>
      </c>
      <c r="O6" s="1" t="n">
        <v>6.27311</v>
      </c>
      <c r="P6" s="1" t="n">
        <v>6.25663</v>
      </c>
      <c r="Q6" s="1" t="n">
        <v>6.21323</v>
      </c>
      <c r="R6" s="1" t="n">
        <v>5.93936</v>
      </c>
      <c r="S6" s="1" t="n">
        <v>6.09534</v>
      </c>
      <c r="T6" s="1" t="n">
        <v>6.25972</v>
      </c>
      <c r="U6" s="1" t="n">
        <v>6.25507</v>
      </c>
      <c r="V6" s="1" t="n">
        <v>6.28261</v>
      </c>
      <c r="W6" s="1" t="n">
        <v>6.27868</v>
      </c>
      <c r="X6" s="1" t="n">
        <v>6.1675</v>
      </c>
      <c r="Y6" s="1" t="n">
        <v>6.18775</v>
      </c>
      <c r="Z6" s="2"/>
      <c r="AA6" s="2" t="n">
        <f aca="false">(C6-$B6)*$A6</f>
        <v>-0.139759999999999</v>
      </c>
      <c r="AB6" s="2" t="n">
        <f aca="false">(D6-$B6)*$A6</f>
        <v>-0.201879999999999</v>
      </c>
      <c r="AC6" s="2" t="n">
        <f aca="false">(E6-$B6)*$A6</f>
        <v>-0.480159999999998</v>
      </c>
      <c r="AD6" s="2" t="n">
        <f aca="false">(F6-$B6)*$A6</f>
        <v>0.0406000000000013</v>
      </c>
      <c r="AE6" s="2" t="n">
        <f aca="false">(G6-$B6)*$A6</f>
        <v>-0.173079999999999</v>
      </c>
      <c r="AF6" s="2" t="n">
        <f aca="false">(H6-$B6)*$A6</f>
        <v>0.486840000000001</v>
      </c>
      <c r="AG6" s="2" t="n">
        <f aca="false">(I6-$B6)*$A6</f>
        <v>-0.5656</v>
      </c>
      <c r="AH6" s="2" t="n">
        <f aca="false">(J6-$B6)*$A6</f>
        <v>-0.0655999999999999</v>
      </c>
      <c r="AI6" s="2" t="n">
        <f aca="false">(K6-$B6)*$A6</f>
        <v>0.078120000000002</v>
      </c>
      <c r="AJ6" s="2" t="n">
        <f aca="false">(L6-$B6)*$A6</f>
        <v>-0.0459599999999973</v>
      </c>
      <c r="AK6" s="2" t="n">
        <f aca="false">(M6-$B6)*$A6</f>
        <v>-0.0435999999999979</v>
      </c>
      <c r="AL6" s="2" t="n">
        <f aca="false">(N6-$B6)*$A6</f>
        <v>-0.00275999999999854</v>
      </c>
      <c r="AM6" s="2" t="n">
        <f aca="false">(O6-$B6)*$A6</f>
        <v>-0.0771599999999992</v>
      </c>
      <c r="AN6" s="2" t="n">
        <f aca="false">(P6-$B6)*$A6</f>
        <v>-0.143079999999998</v>
      </c>
      <c r="AO6" s="2" t="n">
        <f aca="false">(Q6-$B6)*$A6</f>
        <v>-0.316679999999998</v>
      </c>
      <c r="AP6" s="2" t="n">
        <f aca="false">(R6-$B6)*$A6</f>
        <v>-1.41216</v>
      </c>
      <c r="AQ6" s="2" t="n">
        <f aca="false">(S6-$B6)*$A6</f>
        <v>-0.788239999999998</v>
      </c>
      <c r="AR6" s="2" t="n">
        <f aca="false">(T6-$B6)*$A6</f>
        <v>-0.13072</v>
      </c>
      <c r="AS6" s="2" t="n">
        <f aca="false">(U6-$B6)*$A6</f>
        <v>-0.149319999999999</v>
      </c>
      <c r="AT6" s="2" t="n">
        <f aca="false">(V6-$B6)*$A6</f>
        <v>-0.039159999999999</v>
      </c>
      <c r="AU6" s="2" t="n">
        <f aca="false">(W6-$B6)*$A6</f>
        <v>-0.0548800000000007</v>
      </c>
      <c r="AV6" s="2" t="n">
        <f aca="false">(X6-$B6)*$A6</f>
        <v>-0.499599999999997</v>
      </c>
      <c r="AW6" s="2" t="n">
        <f aca="false">(Y6-$B6)*$A6</f>
        <v>-0.418599999999998</v>
      </c>
    </row>
    <row r="7" customFormat="false" ht="13.8" hidden="false" customHeight="false" outlineLevel="0" collapsed="false">
      <c r="A7" s="1" t="n">
        <f aca="false">1+A6</f>
        <v>5</v>
      </c>
      <c r="B7" s="0" t="n">
        <v>4.84108</v>
      </c>
      <c r="C7" s="1" t="n">
        <v>4.80445</v>
      </c>
      <c r="D7" s="1" t="n">
        <v>4.81264</v>
      </c>
      <c r="E7" s="1" t="n">
        <v>4.74188</v>
      </c>
      <c r="F7" s="1" t="n">
        <v>4.92175</v>
      </c>
      <c r="G7" s="1" t="n">
        <v>4.7995</v>
      </c>
      <c r="H7" s="1" t="n">
        <v>4.92464</v>
      </c>
      <c r="I7" s="1" t="n">
        <v>4.75314</v>
      </c>
      <c r="J7" s="1" t="n">
        <v>4.82588</v>
      </c>
      <c r="K7" s="1" t="n">
        <v>4.86214</v>
      </c>
      <c r="L7" s="1" t="n">
        <v>4.82236</v>
      </c>
      <c r="M7" s="1" t="n">
        <v>4.83276</v>
      </c>
      <c r="N7" s="1" t="n">
        <v>4.81103</v>
      </c>
      <c r="O7" s="1" t="n">
        <v>4.80604</v>
      </c>
      <c r="P7" s="1" t="n">
        <v>4.80248</v>
      </c>
      <c r="Q7" s="1" t="n">
        <v>4.78327</v>
      </c>
      <c r="R7" s="1" t="n">
        <v>4.51806</v>
      </c>
      <c r="S7" s="1" t="n">
        <v>4.71432</v>
      </c>
      <c r="T7" s="1" t="n">
        <v>4.78846</v>
      </c>
      <c r="U7" s="1" t="n">
        <v>4.78552</v>
      </c>
      <c r="V7" s="1" t="n">
        <v>4.8144</v>
      </c>
      <c r="W7" s="1" t="n">
        <v>4.82394</v>
      </c>
      <c r="X7" s="1" t="n">
        <v>4.70334</v>
      </c>
      <c r="Y7" s="1" t="n">
        <v>4.73125</v>
      </c>
      <c r="Z7" s="2"/>
      <c r="AA7" s="2" t="n">
        <f aca="false">(C7-$B7)*$A7</f>
        <v>-0.183149999999999</v>
      </c>
      <c r="AB7" s="2" t="n">
        <f aca="false">(D7-$B7)*$A7</f>
        <v>-0.142199999999999</v>
      </c>
      <c r="AC7" s="2" t="n">
        <f aca="false">(E7-$B7)*$A7</f>
        <v>-0.495999999999999</v>
      </c>
      <c r="AD7" s="2" t="n">
        <f aca="false">(F7-$B7)*$A7</f>
        <v>0.403350000000002</v>
      </c>
      <c r="AE7" s="2" t="n">
        <f aca="false">(G7-$B7)*$A7</f>
        <v>-0.207899999999999</v>
      </c>
      <c r="AF7" s="2" t="n">
        <f aca="false">(H7-$B7)*$A7</f>
        <v>0.417800000000002</v>
      </c>
      <c r="AG7" s="2" t="n">
        <f aca="false">(I7-$B7)*$A7</f>
        <v>-0.439699999999998</v>
      </c>
      <c r="AH7" s="2" t="n">
        <f aca="false">(J7-$B7)*$A7</f>
        <v>-0.0760000000000005</v>
      </c>
      <c r="AI7" s="2" t="n">
        <f aca="false">(K7-$B7)*$A7</f>
        <v>0.105300000000002</v>
      </c>
      <c r="AJ7" s="2" t="n">
        <f aca="false">(L7-$B7)*$A7</f>
        <v>-0.0936000000000004</v>
      </c>
      <c r="AK7" s="2" t="n">
        <f aca="false">(M7-$B7)*$A7</f>
        <v>-0.0415999999999972</v>
      </c>
      <c r="AL7" s="2" t="n">
        <f aca="false">(N7-$B7)*$A7</f>
        <v>-0.150250000000001</v>
      </c>
      <c r="AM7" s="2" t="n">
        <f aca="false">(O7-$B7)*$A7</f>
        <v>-0.175199999999998</v>
      </c>
      <c r="AN7" s="2" t="n">
        <f aca="false">(P7-$B7)*$A7</f>
        <v>-0.192999999999999</v>
      </c>
      <c r="AO7" s="2" t="n">
        <f aca="false">(Q7-$B7)*$A7</f>
        <v>-0.28905</v>
      </c>
      <c r="AP7" s="2" t="n">
        <f aca="false">(R7-$B7)*$A7</f>
        <v>-1.6151</v>
      </c>
      <c r="AQ7" s="2" t="n">
        <f aca="false">(S7-$B7)*$A7</f>
        <v>-0.6338</v>
      </c>
      <c r="AR7" s="2" t="n">
        <f aca="false">(T7-$B7)*$A7</f>
        <v>-0.263100000000001</v>
      </c>
      <c r="AS7" s="2" t="n">
        <f aca="false">(U7-$B7)*$A7</f>
        <v>-0.277799999999999</v>
      </c>
      <c r="AT7" s="2" t="n">
        <f aca="false">(V7-$B7)*$A7</f>
        <v>-0.133399999999999</v>
      </c>
      <c r="AU7" s="2" t="n">
        <f aca="false">(W7-$B7)*$A7</f>
        <v>-0.0856999999999974</v>
      </c>
      <c r="AV7" s="2" t="n">
        <f aca="false">(X7-$B7)*$A7</f>
        <v>-0.6887</v>
      </c>
      <c r="AW7" s="2" t="n">
        <f aca="false">(Y7-$B7)*$A7</f>
        <v>-0.549149999999998</v>
      </c>
    </row>
    <row r="8" customFormat="false" ht="13.8" hidden="false" customHeight="false" outlineLevel="0" collapsed="false">
      <c r="A8" s="1" t="n">
        <f aca="false">1+A7</f>
        <v>6</v>
      </c>
      <c r="B8" s="0" t="n">
        <v>3.76911</v>
      </c>
      <c r="C8" s="1" t="n">
        <v>3.73108</v>
      </c>
      <c r="D8" s="1" t="n">
        <v>3.75456</v>
      </c>
      <c r="E8" s="1" t="n">
        <v>3.68775</v>
      </c>
      <c r="F8" s="1" t="n">
        <v>3.90169</v>
      </c>
      <c r="G8" s="1" t="n">
        <v>3.73019</v>
      </c>
      <c r="H8" s="1" t="n">
        <v>3.83269</v>
      </c>
      <c r="I8" s="1" t="n">
        <v>3.70341</v>
      </c>
      <c r="J8" s="1" t="n">
        <v>3.748</v>
      </c>
      <c r="K8" s="1" t="n">
        <v>3.79315</v>
      </c>
      <c r="L8" s="1" t="n">
        <v>3.74256</v>
      </c>
      <c r="M8" s="1" t="n">
        <v>3.75796</v>
      </c>
      <c r="N8" s="1" t="n">
        <v>3.72689</v>
      </c>
      <c r="O8" s="1" t="n">
        <v>3.72634</v>
      </c>
      <c r="P8" s="1" t="n">
        <v>3.72862</v>
      </c>
      <c r="Q8" s="1" t="n">
        <v>3.72907</v>
      </c>
      <c r="R8" s="1" t="n">
        <v>3.47352</v>
      </c>
      <c r="S8" s="1" t="n">
        <v>3.68371</v>
      </c>
      <c r="T8" s="1" t="n">
        <v>3.70237</v>
      </c>
      <c r="U8" s="1" t="n">
        <v>3.70529</v>
      </c>
      <c r="V8" s="1" t="n">
        <v>3.728</v>
      </c>
      <c r="W8" s="1" t="n">
        <v>3.75286</v>
      </c>
      <c r="X8" s="1" t="n">
        <v>3.63683</v>
      </c>
      <c r="Y8" s="1" t="n">
        <v>3.66094</v>
      </c>
      <c r="Z8" s="2"/>
      <c r="AA8" s="2" t="n">
        <f aca="false">(C8-$B8)*$A8</f>
        <v>-0.22818</v>
      </c>
      <c r="AB8" s="2" t="n">
        <f aca="false">(D8-$B8)*$A8</f>
        <v>-0.0872999999999991</v>
      </c>
      <c r="AC8" s="2" t="n">
        <f aca="false">(E8-$B8)*$A8</f>
        <v>-0.488160000000001</v>
      </c>
      <c r="AD8" s="2" t="n">
        <f aca="false">(F8-$B8)*$A8</f>
        <v>0.79548</v>
      </c>
      <c r="AE8" s="2" t="n">
        <f aca="false">(G8-$B8)*$A8</f>
        <v>-0.23352</v>
      </c>
      <c r="AF8" s="2" t="n">
        <f aca="false">(H8-$B8)*$A8</f>
        <v>0.38148</v>
      </c>
      <c r="AG8" s="2" t="n">
        <f aca="false">(I8-$B8)*$A8</f>
        <v>-0.394200000000001</v>
      </c>
      <c r="AH8" s="2" t="n">
        <f aca="false">(J8-$B8)*$A8</f>
        <v>-0.126659999999998</v>
      </c>
      <c r="AI8" s="2" t="n">
        <f aca="false">(K8-$B8)*$A8</f>
        <v>0.144239999999999</v>
      </c>
      <c r="AJ8" s="2" t="n">
        <f aca="false">(L8-$B8)*$A8</f>
        <v>-0.159299999999999</v>
      </c>
      <c r="AK8" s="2" t="n">
        <f aca="false">(M8-$B8)*$A8</f>
        <v>-0.0668999999999986</v>
      </c>
      <c r="AL8" s="2" t="n">
        <f aca="false">(N8-$B8)*$A8</f>
        <v>-0.25332</v>
      </c>
      <c r="AM8" s="2" t="n">
        <f aca="false">(O8-$B8)*$A8</f>
        <v>-0.25662</v>
      </c>
      <c r="AN8" s="2" t="n">
        <f aca="false">(P8-$B8)*$A8</f>
        <v>-0.242940000000001</v>
      </c>
      <c r="AO8" s="2" t="n">
        <f aca="false">(Q8-$B8)*$A8</f>
        <v>-0.240239999999999</v>
      </c>
      <c r="AP8" s="2" t="n">
        <f aca="false">(R8-$B8)*$A8</f>
        <v>-1.77354</v>
      </c>
      <c r="AQ8" s="2" t="n">
        <f aca="false">(S8-$B8)*$A8</f>
        <v>-0.5124</v>
      </c>
      <c r="AR8" s="2" t="n">
        <f aca="false">(T8-$B8)*$A8</f>
        <v>-0.400439999999999</v>
      </c>
      <c r="AS8" s="2" t="n">
        <f aca="false">(U8-$B8)*$A8</f>
        <v>-0.382919999999999</v>
      </c>
      <c r="AT8" s="2" t="n">
        <f aca="false">(V8-$B8)*$A8</f>
        <v>-0.246659999999999</v>
      </c>
      <c r="AU8" s="2" t="n">
        <f aca="false">(W8-$B8)*$A8</f>
        <v>-0.0974999999999993</v>
      </c>
      <c r="AV8" s="2" t="n">
        <f aca="false">(X8-$B8)*$A8</f>
        <v>-0.793680000000001</v>
      </c>
      <c r="AW8" s="2" t="n">
        <f aca="false">(Y8-$B8)*$A8</f>
        <v>-0.649019999999999</v>
      </c>
    </row>
    <row r="9" customFormat="false" ht="13.8" hidden="false" customHeight="false" outlineLevel="0" collapsed="false">
      <c r="A9" s="1" t="n">
        <f aca="false">1+A8</f>
        <v>7</v>
      </c>
      <c r="B9" s="0" t="n">
        <v>3.14442</v>
      </c>
      <c r="C9" s="1" t="n">
        <v>3.10012</v>
      </c>
      <c r="D9" s="1" t="n">
        <v>3.13434</v>
      </c>
      <c r="E9" s="1" t="n">
        <v>3.0618</v>
      </c>
      <c r="F9" s="1" t="n">
        <v>3.28261</v>
      </c>
      <c r="G9" s="1" t="n">
        <v>3.10266</v>
      </c>
      <c r="H9" s="1" t="n">
        <v>3.18524</v>
      </c>
      <c r="I9" s="1" t="n">
        <v>3.08497</v>
      </c>
      <c r="J9" s="1" t="n">
        <v>3.1103</v>
      </c>
      <c r="K9" s="1" t="n">
        <v>3.16466</v>
      </c>
      <c r="L9" s="1" t="n">
        <v>3.10546</v>
      </c>
      <c r="M9" s="1" t="n">
        <v>3.12367</v>
      </c>
      <c r="N9" s="1" t="n">
        <v>3.10294</v>
      </c>
      <c r="O9" s="1" t="n">
        <v>3.08725</v>
      </c>
      <c r="P9" s="1" t="n">
        <v>3.09317</v>
      </c>
      <c r="Q9" s="1" t="n">
        <v>3.1183</v>
      </c>
      <c r="R9" s="1" t="n">
        <v>2.86833</v>
      </c>
      <c r="S9" s="1" t="n">
        <v>3.06986</v>
      </c>
      <c r="T9" s="1" t="n">
        <v>3.065</v>
      </c>
      <c r="U9" s="1" t="n">
        <v>3.07131</v>
      </c>
      <c r="V9" s="1" t="n">
        <v>3.09309</v>
      </c>
      <c r="W9" s="1" t="n">
        <v>3.12492</v>
      </c>
      <c r="X9" s="1" t="n">
        <v>3.01257</v>
      </c>
      <c r="Y9" s="1" t="n">
        <v>3.03202</v>
      </c>
      <c r="Z9" s="2"/>
      <c r="AA9" s="2" t="n">
        <f aca="false">(C9-$B9)*$A9</f>
        <v>-0.310100000000002</v>
      </c>
      <c r="AB9" s="2" t="n">
        <f aca="false">(D9-$B9)*$A9</f>
        <v>-0.0705600000000022</v>
      </c>
      <c r="AC9" s="2" t="n">
        <f aca="false">(E9-$B9)*$A9</f>
        <v>-0.578340000000003</v>
      </c>
      <c r="AD9" s="2" t="n">
        <f aca="false">(F9-$B9)*$A9</f>
        <v>0.967329999999999</v>
      </c>
      <c r="AE9" s="2" t="n">
        <f aca="false">(G9-$B9)*$A9</f>
        <v>-0.29232</v>
      </c>
      <c r="AF9" s="2" t="n">
        <f aca="false">(H9-$B9)*$A9</f>
        <v>0.285739999999997</v>
      </c>
      <c r="AG9" s="2" t="n">
        <f aca="false">(I9-$B9)*$A9</f>
        <v>-0.41615</v>
      </c>
      <c r="AH9" s="2" t="n">
        <f aca="false">(J9-$B9)*$A9</f>
        <v>-0.238840000000001</v>
      </c>
      <c r="AI9" s="2" t="n">
        <f aca="false">(K9-$B9)*$A9</f>
        <v>0.141679999999999</v>
      </c>
      <c r="AJ9" s="2" t="n">
        <f aca="false">(L9-$B9)*$A9</f>
        <v>-0.272720000000002</v>
      </c>
      <c r="AK9" s="2" t="n">
        <f aca="false">(M9-$B9)*$A9</f>
        <v>-0.14525</v>
      </c>
      <c r="AL9" s="2" t="n">
        <f aca="false">(N9-$B9)*$A9</f>
        <v>-0.290360000000003</v>
      </c>
      <c r="AM9" s="2" t="n">
        <f aca="false">(O9-$B9)*$A9</f>
        <v>-0.400190000000001</v>
      </c>
      <c r="AN9" s="2" t="n">
        <f aca="false">(P9-$B9)*$A9</f>
        <v>-0.35875</v>
      </c>
      <c r="AO9" s="2" t="n">
        <f aca="false">(Q9-$B9)*$A9</f>
        <v>-0.182840000000001</v>
      </c>
      <c r="AP9" s="2" t="n">
        <f aca="false">(R9-$B9)*$A9</f>
        <v>-1.93263</v>
      </c>
      <c r="AQ9" s="2" t="n">
        <f aca="false">(S9-$B9)*$A9</f>
        <v>-0.521920000000003</v>
      </c>
      <c r="AR9" s="2" t="n">
        <f aca="false">(T9-$B9)*$A9</f>
        <v>-0.555940000000002</v>
      </c>
      <c r="AS9" s="2" t="n">
        <f aca="false">(U9-$B9)*$A9</f>
        <v>-0.511770000000002</v>
      </c>
      <c r="AT9" s="2" t="n">
        <f aca="false">(V9-$B9)*$A9</f>
        <v>-0.359310000000001</v>
      </c>
      <c r="AU9" s="2" t="n">
        <f aca="false">(W9-$B9)*$A9</f>
        <v>-0.136500000000002</v>
      </c>
      <c r="AV9" s="2" t="n">
        <f aca="false">(X9-$B9)*$A9</f>
        <v>-0.92295</v>
      </c>
      <c r="AW9" s="2" t="n">
        <f aca="false">(Y9-$B9)*$A9</f>
        <v>-0.7868</v>
      </c>
    </row>
    <row r="10" customFormat="false" ht="13.8" hidden="false" customHeight="false" outlineLevel="0" collapsed="false">
      <c r="A10" s="1" t="n">
        <f aca="false">1+A9</f>
        <v>8</v>
      </c>
      <c r="B10" s="0" t="n">
        <v>2.63369</v>
      </c>
      <c r="C10" s="1" t="n">
        <v>2.58229</v>
      </c>
      <c r="D10" s="1" t="n">
        <v>2.63653</v>
      </c>
      <c r="E10" s="1" t="n">
        <v>2.54666</v>
      </c>
      <c r="F10" s="1" t="n">
        <v>2.7542</v>
      </c>
      <c r="G10" s="1" t="n">
        <v>2.58502</v>
      </c>
      <c r="H10" s="1" t="n">
        <v>2.64813</v>
      </c>
      <c r="I10" s="1" t="n">
        <v>2.57702</v>
      </c>
      <c r="J10" s="1" t="n">
        <v>2.57904</v>
      </c>
      <c r="K10" s="1" t="n">
        <v>2.64602</v>
      </c>
      <c r="L10" s="1" t="n">
        <v>2.58277</v>
      </c>
      <c r="M10" s="1" t="n">
        <v>2.60128</v>
      </c>
      <c r="N10" s="1" t="n">
        <v>2.60312</v>
      </c>
      <c r="O10" s="1" t="n">
        <v>2.55948</v>
      </c>
      <c r="P10" s="1" t="n">
        <v>2.56504</v>
      </c>
      <c r="Q10" s="1" t="n">
        <v>2.6253</v>
      </c>
      <c r="R10" s="1" t="n">
        <v>2.38767</v>
      </c>
      <c r="S10" s="1" t="n">
        <v>2.56654</v>
      </c>
      <c r="T10" s="1" t="n">
        <v>2.54244</v>
      </c>
      <c r="U10" s="1" t="n">
        <v>2.55225</v>
      </c>
      <c r="V10" s="1" t="n">
        <v>2.57117</v>
      </c>
      <c r="W10" s="1" t="n">
        <v>2.6049</v>
      </c>
      <c r="X10" s="1" t="n">
        <v>2.50615</v>
      </c>
      <c r="Y10" s="1" t="n">
        <v>2.52592</v>
      </c>
      <c r="Z10" s="2"/>
      <c r="AA10" s="2" t="n">
        <f aca="false">(C10-$B10)*$A10</f>
        <v>-0.411200000000001</v>
      </c>
      <c r="AB10" s="2" t="n">
        <f aca="false">(D10-$B10)*$A10</f>
        <v>0.0227199999999996</v>
      </c>
      <c r="AC10" s="2" t="n">
        <f aca="false">(E10-$B10)*$A10</f>
        <v>-0.69624</v>
      </c>
      <c r="AD10" s="2" t="n">
        <f aca="false">(F10-$B10)*$A10</f>
        <v>0.964079999999999</v>
      </c>
      <c r="AE10" s="2" t="n">
        <f aca="false">(G10-$B10)*$A10</f>
        <v>-0.38936</v>
      </c>
      <c r="AF10" s="2" t="n">
        <f aca="false">(H10-$B10)*$A10</f>
        <v>0.11552</v>
      </c>
      <c r="AG10" s="2" t="n">
        <f aca="false">(I10-$B10)*$A10</f>
        <v>-0.45336</v>
      </c>
      <c r="AH10" s="2" t="n">
        <f aca="false">(J10-$B10)*$A10</f>
        <v>-0.437200000000001</v>
      </c>
      <c r="AI10" s="2" t="n">
        <f aca="false">(K10-$B10)*$A10</f>
        <v>0.0986399999999996</v>
      </c>
      <c r="AJ10" s="2" t="n">
        <f aca="false">(L10-$B10)*$A10</f>
        <v>-0.407360000000001</v>
      </c>
      <c r="AK10" s="2" t="n">
        <f aca="false">(M10-$B10)*$A10</f>
        <v>-0.25928</v>
      </c>
      <c r="AL10" s="2" t="n">
        <f aca="false">(N10-$B10)*$A10</f>
        <v>-0.24456</v>
      </c>
      <c r="AM10" s="2" t="n">
        <f aca="false">(O10-$B10)*$A10</f>
        <v>-0.593679999999999</v>
      </c>
      <c r="AN10" s="2" t="n">
        <f aca="false">(P10-$B10)*$A10</f>
        <v>-0.549199999999999</v>
      </c>
      <c r="AO10" s="2" t="n">
        <f aca="false">(Q10-$B10)*$A10</f>
        <v>-0.0671199999999992</v>
      </c>
      <c r="AP10" s="2" t="n">
        <f aca="false">(R10-$B10)*$A10</f>
        <v>-1.96816</v>
      </c>
      <c r="AQ10" s="2" t="n">
        <f aca="false">(S10-$B10)*$A10</f>
        <v>-0.537200000000002</v>
      </c>
      <c r="AR10" s="2" t="n">
        <f aca="false">(T10-$B10)*$A10</f>
        <v>-0.73</v>
      </c>
      <c r="AS10" s="2" t="n">
        <f aca="false">(U10-$B10)*$A10</f>
        <v>-0.651520000000001</v>
      </c>
      <c r="AT10" s="2" t="n">
        <f aca="false">(V10-$B10)*$A10</f>
        <v>-0.500160000000001</v>
      </c>
      <c r="AU10" s="2" t="n">
        <f aca="false">(W10-$B10)*$A10</f>
        <v>-0.230319999999999</v>
      </c>
      <c r="AV10" s="2" t="n">
        <f aca="false">(X10-$B10)*$A10</f>
        <v>-1.02032</v>
      </c>
      <c r="AW10" s="2" t="n">
        <f aca="false">(Y10-$B10)*$A10</f>
        <v>-0.862159999999999</v>
      </c>
    </row>
    <row r="11" customFormat="false" ht="13.8" hidden="false" customHeight="false" outlineLevel="0" collapsed="false">
      <c r="A11" s="1" t="n">
        <f aca="false">1+A10</f>
        <v>9</v>
      </c>
      <c r="B11" s="0" t="n">
        <v>2.17571</v>
      </c>
      <c r="C11" s="1" t="n">
        <v>2.10979</v>
      </c>
      <c r="D11" s="1" t="n">
        <v>2.17903</v>
      </c>
      <c r="E11" s="1" t="n">
        <v>2.07811</v>
      </c>
      <c r="F11" s="1" t="n">
        <v>2.25127</v>
      </c>
      <c r="G11" s="1" t="n">
        <v>2.11522</v>
      </c>
      <c r="H11" s="1" t="n">
        <v>2.15591</v>
      </c>
      <c r="I11" s="1" t="n">
        <v>2.11674</v>
      </c>
      <c r="J11" s="1" t="n">
        <v>2.09683</v>
      </c>
      <c r="K11" s="1" t="n">
        <v>2.17337</v>
      </c>
      <c r="L11" s="1" t="n">
        <v>2.1057</v>
      </c>
      <c r="M11" s="1" t="n">
        <v>2.125</v>
      </c>
      <c r="N11" s="1" t="n">
        <v>2.15919</v>
      </c>
      <c r="O11" s="1" t="n">
        <v>2.07916</v>
      </c>
      <c r="P11" s="1" t="n">
        <v>2.0863</v>
      </c>
      <c r="Q11" s="1" t="n">
        <v>2.1846</v>
      </c>
      <c r="R11" s="1" t="n">
        <v>1.95293</v>
      </c>
      <c r="S11" s="1" t="n">
        <v>2.11326</v>
      </c>
      <c r="T11" s="1" t="n">
        <v>2.0695</v>
      </c>
      <c r="U11" s="1" t="n">
        <v>2.08105</v>
      </c>
      <c r="V11" s="1" t="n">
        <v>2.09993</v>
      </c>
      <c r="W11" s="1" t="n">
        <v>2.13236</v>
      </c>
      <c r="X11" s="1" t="n">
        <v>2.04703</v>
      </c>
      <c r="Y11" s="1" t="n">
        <v>2.06465</v>
      </c>
      <c r="Z11" s="2"/>
      <c r="AA11" s="2" t="n">
        <f aca="false">(C11-$B11)*$A11</f>
        <v>-0.593280000000002</v>
      </c>
      <c r="AB11" s="2" t="n">
        <f aca="false">(D11-$B11)*$A11</f>
        <v>0.0298799999999999</v>
      </c>
      <c r="AC11" s="2" t="n">
        <f aca="false">(E11-$B11)*$A11</f>
        <v>-0.878399999999999</v>
      </c>
      <c r="AD11" s="2" t="n">
        <f aca="false">(F11-$B11)*$A11</f>
        <v>0.680039999999999</v>
      </c>
      <c r="AE11" s="2" t="n">
        <f aca="false">(G11-$B11)*$A11</f>
        <v>-0.544410000000001</v>
      </c>
      <c r="AF11" s="2" t="n">
        <f aca="false">(H11-$B11)*$A11</f>
        <v>-0.1782</v>
      </c>
      <c r="AG11" s="2" t="n">
        <f aca="false">(I11-$B11)*$A11</f>
        <v>-0.53073</v>
      </c>
      <c r="AH11" s="2" t="n">
        <f aca="false">(J11-$B11)*$A11</f>
        <v>-0.709919999999999</v>
      </c>
      <c r="AI11" s="2" t="n">
        <f aca="false">(K11-$B11)*$A11</f>
        <v>-0.0210600000000021</v>
      </c>
      <c r="AJ11" s="2" t="n">
        <f aca="false">(L11-$B11)*$A11</f>
        <v>-0.630089999999999</v>
      </c>
      <c r="AK11" s="2" t="n">
        <f aca="false">(M11-$B11)*$A11</f>
        <v>-0.45639</v>
      </c>
      <c r="AL11" s="2" t="n">
        <f aca="false">(N11-$B11)*$A11</f>
        <v>-0.148679999999999</v>
      </c>
      <c r="AM11" s="2" t="n">
        <f aca="false">(O11-$B11)*$A11</f>
        <v>-0.868950000000001</v>
      </c>
      <c r="AN11" s="2" t="n">
        <f aca="false">(P11-$B11)*$A11</f>
        <v>-0.80469</v>
      </c>
      <c r="AO11" s="2" t="n">
        <f aca="false">(Q11-$B11)*$A11</f>
        <v>0.0800100000000006</v>
      </c>
      <c r="AP11" s="2" t="n">
        <f aca="false">(R11-$B11)*$A11</f>
        <v>-2.00502</v>
      </c>
      <c r="AQ11" s="2" t="n">
        <f aca="false">(S11-$B11)*$A11</f>
        <v>-0.562050000000001</v>
      </c>
      <c r="AR11" s="2" t="n">
        <f aca="false">(T11-$B11)*$A11</f>
        <v>-0.955889999999999</v>
      </c>
      <c r="AS11" s="2" t="n">
        <f aca="false">(U11-$B11)*$A11</f>
        <v>-0.851940000000002</v>
      </c>
      <c r="AT11" s="2" t="n">
        <f aca="false">(V11-$B11)*$A11</f>
        <v>-0.68202</v>
      </c>
      <c r="AU11" s="2" t="n">
        <f aca="false">(W11-$B11)*$A11</f>
        <v>-0.390150000000002</v>
      </c>
      <c r="AV11" s="2" t="n">
        <f aca="false">(X11-$B11)*$A11</f>
        <v>-1.15812</v>
      </c>
      <c r="AW11" s="2" t="n">
        <f aca="false">(Y11-$B11)*$A11</f>
        <v>-0.999540000000001</v>
      </c>
    </row>
    <row r="12" customFormat="false" ht="13.8" hidden="false" customHeight="false" outlineLevel="0" collapsed="false">
      <c r="A12" s="1" t="n">
        <f aca="false">1+A11</f>
        <v>10</v>
      </c>
      <c r="B12" s="0" t="n">
        <v>1.74844</v>
      </c>
      <c r="C12" s="1" t="n">
        <v>1.6909</v>
      </c>
      <c r="D12" s="1" t="n">
        <v>1.75362</v>
      </c>
      <c r="E12" s="1" t="n">
        <v>1.66206</v>
      </c>
      <c r="F12" s="1" t="n">
        <v>1.78299</v>
      </c>
      <c r="G12" s="1" t="n">
        <v>1.69417</v>
      </c>
      <c r="H12" s="1" t="n">
        <v>1.71911</v>
      </c>
      <c r="I12" s="1" t="n">
        <v>1.70368</v>
      </c>
      <c r="J12" s="1" t="n">
        <v>1.67321</v>
      </c>
      <c r="K12" s="1" t="n">
        <v>1.74301</v>
      </c>
      <c r="L12" s="1" t="n">
        <v>1.68387</v>
      </c>
      <c r="M12" s="1" t="n">
        <v>1.70264</v>
      </c>
      <c r="N12" s="1" t="n">
        <v>1.74496</v>
      </c>
      <c r="O12" s="1" t="n">
        <v>1.6585</v>
      </c>
      <c r="P12" s="1" t="n">
        <v>1.66365</v>
      </c>
      <c r="Q12" s="1" t="n">
        <v>1.76917</v>
      </c>
      <c r="R12" s="1" t="n">
        <v>1.57381</v>
      </c>
      <c r="S12" s="1" t="n">
        <v>1.69997</v>
      </c>
      <c r="T12" s="1" t="n">
        <v>1.65469</v>
      </c>
      <c r="U12" s="1" t="n">
        <v>1.66414</v>
      </c>
      <c r="V12" s="1" t="n">
        <v>1.67803</v>
      </c>
      <c r="W12" s="1" t="n">
        <v>1.70933</v>
      </c>
      <c r="X12" s="1" t="n">
        <v>1.63992</v>
      </c>
      <c r="Y12" s="1" t="n">
        <v>1.65819</v>
      </c>
      <c r="Z12" s="2"/>
      <c r="AA12" s="2" t="n">
        <f aca="false">(C12-$B12)*$A12</f>
        <v>-0.575399999999999</v>
      </c>
      <c r="AB12" s="2" t="n">
        <f aca="false">(D12-$B12)*$A12</f>
        <v>0.0517999999999996</v>
      </c>
      <c r="AC12" s="2" t="n">
        <f aca="false">(E12-$B12)*$A12</f>
        <v>-0.863799999999999</v>
      </c>
      <c r="AD12" s="2" t="n">
        <f aca="false">(F12-$B12)*$A12</f>
        <v>0.345500000000001</v>
      </c>
      <c r="AE12" s="2" t="n">
        <f aca="false">(G12-$B12)*$A12</f>
        <v>-0.5427</v>
      </c>
      <c r="AF12" s="2" t="n">
        <f aca="false">(H12-$B12)*$A12</f>
        <v>-0.293300000000001</v>
      </c>
      <c r="AG12" s="2" t="n">
        <f aca="false">(I12-$B12)*$A12</f>
        <v>-0.447599999999999</v>
      </c>
      <c r="AH12" s="2" t="n">
        <f aca="false">(J12-$B12)*$A12</f>
        <v>-0.752299999999999</v>
      </c>
      <c r="AI12" s="2" t="n">
        <f aca="false">(K12-$B12)*$A12</f>
        <v>-0.0543000000000005</v>
      </c>
      <c r="AJ12" s="2" t="n">
        <f aca="false">(L12-$B12)*$A12</f>
        <v>-0.6457</v>
      </c>
      <c r="AK12" s="2" t="n">
        <f aca="false">(M12-$B12)*$A12</f>
        <v>-0.458000000000001</v>
      </c>
      <c r="AL12" s="2" t="n">
        <f aca="false">(N12-$B12)*$A12</f>
        <v>-0.0347999999999993</v>
      </c>
      <c r="AM12" s="2" t="n">
        <f aca="false">(O12-$B12)*$A12</f>
        <v>-0.899399999999999</v>
      </c>
      <c r="AN12" s="2" t="n">
        <f aca="false">(P12-$B12)*$A12</f>
        <v>-0.847899999999999</v>
      </c>
      <c r="AO12" s="2" t="n">
        <f aca="false">(Q12-$B12)*$A12</f>
        <v>0.207299999999999</v>
      </c>
      <c r="AP12" s="2" t="n">
        <f aca="false">(R12-$B12)*$A12</f>
        <v>-1.7463</v>
      </c>
      <c r="AQ12" s="2" t="n">
        <f aca="false">(S12-$B12)*$A12</f>
        <v>-0.4847</v>
      </c>
      <c r="AR12" s="2" t="n">
        <f aca="false">(T12-$B12)*$A12</f>
        <v>-0.9375</v>
      </c>
      <c r="AS12" s="2" t="n">
        <f aca="false">(U12-$B12)*$A12</f>
        <v>-0.843</v>
      </c>
      <c r="AT12" s="2" t="n">
        <f aca="false">(V12-$B12)*$A12</f>
        <v>-0.704100000000001</v>
      </c>
      <c r="AU12" s="2" t="n">
        <f aca="false">(W12-$B12)*$A12</f>
        <v>-0.3911</v>
      </c>
      <c r="AV12" s="2" t="n">
        <f aca="false">(X12-$B12)*$A12</f>
        <v>-1.0852</v>
      </c>
      <c r="AW12" s="2" t="n">
        <f aca="false">(Y12-$B12)*$A12</f>
        <v>-0.902499999999999</v>
      </c>
    </row>
    <row r="13" customFormat="false" ht="13.8" hidden="false" customHeight="false" outlineLevel="0" collapsed="false">
      <c r="A13" s="1" t="n">
        <f aca="false">1+A12</f>
        <v>11</v>
      </c>
      <c r="B13" s="0" t="n">
        <v>1.39043</v>
      </c>
      <c r="C13" s="1" t="n">
        <v>1.3411</v>
      </c>
      <c r="D13" s="1" t="n">
        <v>1.39622</v>
      </c>
      <c r="E13" s="1" t="n">
        <v>1.31937</v>
      </c>
      <c r="F13" s="1" t="n">
        <v>1.39058</v>
      </c>
      <c r="G13" s="1" t="n">
        <v>1.34606</v>
      </c>
      <c r="H13" s="1" t="n">
        <v>1.35858</v>
      </c>
      <c r="I13" s="1" t="n">
        <v>1.35922</v>
      </c>
      <c r="J13" s="1" t="n">
        <v>1.32343</v>
      </c>
      <c r="K13" s="1" t="n">
        <v>1.38393</v>
      </c>
      <c r="L13" s="1" t="n">
        <v>1.33513</v>
      </c>
      <c r="M13" s="1" t="n">
        <v>1.35205</v>
      </c>
      <c r="N13" s="1" t="n">
        <v>1.3989</v>
      </c>
      <c r="O13" s="1" t="n">
        <v>1.31043</v>
      </c>
      <c r="P13" s="1" t="n">
        <v>1.31512</v>
      </c>
      <c r="Q13" s="1" t="n">
        <v>1.42139</v>
      </c>
      <c r="R13" s="1" t="n">
        <v>1.25624</v>
      </c>
      <c r="S13" s="1" t="n">
        <v>1.36009</v>
      </c>
      <c r="T13" s="1" t="n">
        <v>1.3124</v>
      </c>
      <c r="U13" s="1" t="n">
        <v>1.32046</v>
      </c>
      <c r="V13" s="1" t="n">
        <v>1.33031</v>
      </c>
      <c r="W13" s="1" t="n">
        <v>1.35834</v>
      </c>
      <c r="X13" s="1" t="n">
        <v>1.30363</v>
      </c>
      <c r="Y13" s="1" t="n">
        <v>1.32073</v>
      </c>
      <c r="Z13" s="2"/>
      <c r="AA13" s="2" t="n">
        <f aca="false">(C13-$B13)*$A13</f>
        <v>-0.542630000000001</v>
      </c>
      <c r="AB13" s="2" t="n">
        <f aca="false">(D13-$B13)*$A13</f>
        <v>0.0636899999999996</v>
      </c>
      <c r="AC13" s="2" t="n">
        <f aca="false">(E13-$B13)*$A13</f>
        <v>-0.781660000000001</v>
      </c>
      <c r="AD13" s="2" t="n">
        <f aca="false">(F13-$B13)*$A13</f>
        <v>0.0016499999999986</v>
      </c>
      <c r="AE13" s="2" t="n">
        <f aca="false">(G13-$B13)*$A13</f>
        <v>-0.48807</v>
      </c>
      <c r="AF13" s="2" t="n">
        <f aca="false">(H13-$B13)*$A13</f>
        <v>-0.350350000000002</v>
      </c>
      <c r="AG13" s="2" t="n">
        <f aca="false">(I13-$B13)*$A13</f>
        <v>-0.34331</v>
      </c>
      <c r="AH13" s="2" t="n">
        <f aca="false">(J13-$B13)*$A13</f>
        <v>-0.736999999999999</v>
      </c>
      <c r="AI13" s="2" t="n">
        <f aca="false">(K13-$B13)*$A13</f>
        <v>-0.0714999999999995</v>
      </c>
      <c r="AJ13" s="2" t="n">
        <f aca="false">(L13-$B13)*$A13</f>
        <v>-0.608300000000001</v>
      </c>
      <c r="AK13" s="2" t="n">
        <f aca="false">(M13-$B13)*$A13</f>
        <v>-0.422180000000001</v>
      </c>
      <c r="AL13" s="2" t="n">
        <f aca="false">(N13-$B13)*$A13</f>
        <v>0.0931699999999998</v>
      </c>
      <c r="AM13" s="2" t="n">
        <f aca="false">(O13-$B13)*$A13</f>
        <v>-0.880000000000001</v>
      </c>
      <c r="AN13" s="2" t="n">
        <f aca="false">(P13-$B13)*$A13</f>
        <v>-0.82841</v>
      </c>
      <c r="AO13" s="2" t="n">
        <f aca="false">(Q13-$B13)*$A13</f>
        <v>0.340559999999999</v>
      </c>
      <c r="AP13" s="2" t="n">
        <f aca="false">(R13-$B13)*$A13</f>
        <v>-1.47609</v>
      </c>
      <c r="AQ13" s="2" t="n">
        <f aca="false">(S13-$B13)*$A13</f>
        <v>-0.33374</v>
      </c>
      <c r="AR13" s="2" t="n">
        <f aca="false">(T13-$B13)*$A13</f>
        <v>-0.858330000000001</v>
      </c>
      <c r="AS13" s="2" t="n">
        <f aca="false">(U13-$B13)*$A13</f>
        <v>-0.769670000000001</v>
      </c>
      <c r="AT13" s="2" t="n">
        <f aca="false">(V13-$B13)*$A13</f>
        <v>-0.66132</v>
      </c>
      <c r="AU13" s="2" t="n">
        <f aca="false">(W13-$B13)*$A13</f>
        <v>-0.352989999999999</v>
      </c>
      <c r="AV13" s="2" t="n">
        <f aca="false">(X13-$B13)*$A13</f>
        <v>-0.9548</v>
      </c>
      <c r="AW13" s="2" t="n">
        <f aca="false">(Y13-$B13)*$A13</f>
        <v>-0.766700000000001</v>
      </c>
    </row>
    <row r="14" customFormat="false" ht="13.8" hidden="false" customHeight="false" outlineLevel="0" collapsed="false">
      <c r="A14" s="1" t="n">
        <f aca="false">1+A13</f>
        <v>12</v>
      </c>
      <c r="B14" s="0" t="n">
        <v>1.09116</v>
      </c>
      <c r="C14" s="1" t="n">
        <v>1.05721</v>
      </c>
      <c r="D14" s="1" t="n">
        <v>1.10116</v>
      </c>
      <c r="E14" s="1" t="n">
        <v>1.0423</v>
      </c>
      <c r="F14" s="1" t="n">
        <v>1.07469</v>
      </c>
      <c r="G14" s="1" t="n">
        <v>1.06092</v>
      </c>
      <c r="H14" s="1" t="n">
        <v>1.06458</v>
      </c>
      <c r="I14" s="1" t="n">
        <v>1.07723</v>
      </c>
      <c r="J14" s="1" t="n">
        <v>1.04167</v>
      </c>
      <c r="K14" s="1" t="n">
        <v>1.08986</v>
      </c>
      <c r="L14" s="1" t="n">
        <v>1.05328</v>
      </c>
      <c r="M14" s="1" t="n">
        <v>1.067</v>
      </c>
      <c r="N14" s="1" t="n">
        <v>1.10067</v>
      </c>
      <c r="O14" s="1" t="n">
        <v>1.02986</v>
      </c>
      <c r="P14" s="1" t="n">
        <v>1.03392</v>
      </c>
      <c r="Q14" s="1" t="n">
        <v>1.12657</v>
      </c>
      <c r="R14" s="1" t="n">
        <v>0.999189</v>
      </c>
      <c r="S14" s="1" t="n">
        <v>1.07664</v>
      </c>
      <c r="T14" s="1" t="n">
        <v>1.03504</v>
      </c>
      <c r="U14" s="1" t="n">
        <v>1.04219</v>
      </c>
      <c r="V14" s="1" t="n">
        <v>1.04581</v>
      </c>
      <c r="W14" s="1" t="n">
        <v>1.07335</v>
      </c>
      <c r="X14" s="1" t="n">
        <v>1.03044</v>
      </c>
      <c r="Y14" s="1" t="n">
        <v>1.04729</v>
      </c>
      <c r="Z14" s="2"/>
      <c r="AA14" s="2" t="n">
        <f aca="false">(C14-$B14)*$A14</f>
        <v>-0.407399999999999</v>
      </c>
      <c r="AB14" s="2" t="n">
        <f aca="false">(D14-$B14)*$A14</f>
        <v>0.12</v>
      </c>
      <c r="AC14" s="2" t="n">
        <f aca="false">(E14-$B14)*$A14</f>
        <v>-0.586319999999999</v>
      </c>
      <c r="AD14" s="2" t="n">
        <f aca="false">(F14-$B14)*$A14</f>
        <v>-0.19764</v>
      </c>
      <c r="AE14" s="2" t="n">
        <f aca="false">(G14-$B14)*$A14</f>
        <v>-0.362879999999998</v>
      </c>
      <c r="AF14" s="2" t="n">
        <f aca="false">(H14-$B14)*$A14</f>
        <v>-0.318959999999998</v>
      </c>
      <c r="AG14" s="2" t="n">
        <f aca="false">(I14-$B14)*$A14</f>
        <v>-0.16716</v>
      </c>
      <c r="AH14" s="2" t="n">
        <f aca="false">(J14-$B14)*$A14</f>
        <v>-0.593879999999998</v>
      </c>
      <c r="AI14" s="2" t="n">
        <f aca="false">(K14-$B14)*$A14</f>
        <v>-0.0155999999999983</v>
      </c>
      <c r="AJ14" s="2" t="n">
        <f aca="false">(L14-$B14)*$A14</f>
        <v>-0.454559999999999</v>
      </c>
      <c r="AK14" s="2" t="n">
        <f aca="false">(M14-$B14)*$A14</f>
        <v>-0.28992</v>
      </c>
      <c r="AL14" s="2" t="n">
        <f aca="false">(N14-$B14)*$A14</f>
        <v>0.114120000000002</v>
      </c>
      <c r="AM14" s="2" t="n">
        <f aca="false">(O14-$B14)*$A14</f>
        <v>-0.735599999999999</v>
      </c>
      <c r="AN14" s="2" t="n">
        <f aca="false">(P14-$B14)*$A14</f>
        <v>-0.68688</v>
      </c>
      <c r="AO14" s="2" t="n">
        <f aca="false">(Q14-$B14)*$A14</f>
        <v>0.424920000000002</v>
      </c>
      <c r="AP14" s="2" t="n">
        <f aca="false">(R14-$B14)*$A14</f>
        <v>-1.103652</v>
      </c>
      <c r="AQ14" s="2" t="n">
        <f aca="false">(S14-$B14)*$A14</f>
        <v>-0.174239999999998</v>
      </c>
      <c r="AR14" s="2" t="n">
        <f aca="false">(T14-$B14)*$A14</f>
        <v>-0.673439999999999</v>
      </c>
      <c r="AS14" s="2" t="n">
        <f aca="false">(U14-$B14)*$A14</f>
        <v>-0.58764</v>
      </c>
      <c r="AT14" s="2" t="n">
        <f aca="false">(V14-$B14)*$A14</f>
        <v>-0.5442</v>
      </c>
      <c r="AU14" s="2" t="n">
        <f aca="false">(W14-$B14)*$A14</f>
        <v>-0.213719999999999</v>
      </c>
      <c r="AV14" s="2" t="n">
        <f aca="false">(X14-$B14)*$A14</f>
        <v>-0.728639999999999</v>
      </c>
      <c r="AW14" s="2" t="n">
        <f aca="false">(Y14-$B14)*$A14</f>
        <v>-0.526439999999998</v>
      </c>
    </row>
    <row r="15" customFormat="false" ht="13.8" hidden="false" customHeight="false" outlineLevel="0" collapsed="false">
      <c r="A15" s="1" t="n">
        <f aca="false">1+A14</f>
        <v>13</v>
      </c>
      <c r="B15" s="0" t="n">
        <v>0.835482</v>
      </c>
      <c r="C15" s="1" t="n">
        <v>0.816378</v>
      </c>
      <c r="D15" s="1" t="n">
        <v>0.850758</v>
      </c>
      <c r="E15" s="1" t="n">
        <v>0.807852</v>
      </c>
      <c r="F15" s="1" t="n">
        <v>0.816744</v>
      </c>
      <c r="G15" s="1" t="n">
        <v>0.819969</v>
      </c>
      <c r="H15" s="1" t="n">
        <v>0.818113</v>
      </c>
      <c r="I15" s="1" t="n">
        <v>0.836805</v>
      </c>
      <c r="J15" s="1" t="n">
        <v>0.804144</v>
      </c>
      <c r="K15" s="1" t="n">
        <v>0.841179</v>
      </c>
      <c r="L15" s="1" t="n">
        <v>0.814769</v>
      </c>
      <c r="M15" s="1" t="n">
        <v>0.825594</v>
      </c>
      <c r="N15" s="1" t="n">
        <v>0.840502</v>
      </c>
      <c r="O15" s="1" t="n">
        <v>0.794449</v>
      </c>
      <c r="P15" s="1" t="n">
        <v>0.797476</v>
      </c>
      <c r="Q15" s="1" t="n">
        <v>0.870783</v>
      </c>
      <c r="R15" s="1" t="n">
        <v>0.779066</v>
      </c>
      <c r="S15" s="1" t="n">
        <v>0.836694</v>
      </c>
      <c r="T15" s="1" t="n">
        <v>0.799616</v>
      </c>
      <c r="U15" s="1" t="n">
        <v>0.806496</v>
      </c>
      <c r="V15" s="1" t="n">
        <v>0.80481</v>
      </c>
      <c r="W15" s="1" t="n">
        <v>0.831775</v>
      </c>
      <c r="X15" s="1" t="n">
        <v>0.799083</v>
      </c>
      <c r="Y15" s="1" t="n">
        <v>0.813999</v>
      </c>
      <c r="Z15" s="2"/>
      <c r="AA15" s="2" t="n">
        <f aca="false">(C15-$B15)*$A15</f>
        <v>-0.248351999999999</v>
      </c>
      <c r="AB15" s="2" t="n">
        <f aca="false">(D15-$B15)*$A15</f>
        <v>0.198588000000001</v>
      </c>
      <c r="AC15" s="2" t="n">
        <f aca="false">(E15-$B15)*$A15</f>
        <v>-0.359189999999999</v>
      </c>
      <c r="AD15" s="2" t="n">
        <f aca="false">(F15-$B15)*$A15</f>
        <v>-0.243593999999999</v>
      </c>
      <c r="AE15" s="2" t="n">
        <f aca="false">(G15-$B15)*$A15</f>
        <v>-0.201669</v>
      </c>
      <c r="AF15" s="2" t="n">
        <f aca="false">(H15-$B15)*$A15</f>
        <v>-0.225797</v>
      </c>
      <c r="AG15" s="2" t="n">
        <f aca="false">(I15-$B15)*$A15</f>
        <v>0.017199000000001</v>
      </c>
      <c r="AH15" s="2" t="n">
        <f aca="false">(J15-$B15)*$A15</f>
        <v>-0.407394</v>
      </c>
      <c r="AI15" s="2" t="n">
        <f aca="false">(K15-$B15)*$A15</f>
        <v>0.0740610000000008</v>
      </c>
      <c r="AJ15" s="2" t="n">
        <f aca="false">(L15-$B15)*$A15</f>
        <v>-0.269269</v>
      </c>
      <c r="AK15" s="2" t="n">
        <f aca="false">(M15-$B15)*$A15</f>
        <v>-0.128543999999999</v>
      </c>
      <c r="AL15" s="2" t="n">
        <f aca="false">(N15-$B15)*$A15</f>
        <v>0.0652600000000003</v>
      </c>
      <c r="AM15" s="2" t="n">
        <f aca="false">(O15-$B15)*$A15</f>
        <v>-0.533429</v>
      </c>
      <c r="AN15" s="2" t="n">
        <f aca="false">(P15-$B15)*$A15</f>
        <v>-0.494078</v>
      </c>
      <c r="AO15" s="2" t="n">
        <f aca="false">(Q15-$B15)*$A15</f>
        <v>0.458913</v>
      </c>
      <c r="AP15" s="2" t="n">
        <f aca="false">(R15-$B15)*$A15</f>
        <v>-0.733407999999999</v>
      </c>
      <c r="AQ15" s="2" t="n">
        <f aca="false">(S15-$B15)*$A15</f>
        <v>0.0157560000000013</v>
      </c>
      <c r="AR15" s="2" t="n">
        <f aca="false">(T15-$B15)*$A15</f>
        <v>-0.466257999999999</v>
      </c>
      <c r="AS15" s="2" t="n">
        <f aca="false">(U15-$B15)*$A15</f>
        <v>-0.376817999999999</v>
      </c>
      <c r="AT15" s="2" t="n">
        <f aca="false">(V15-$B15)*$A15</f>
        <v>-0.398735999999999</v>
      </c>
      <c r="AU15" s="2" t="n">
        <f aca="false">(W15-$B15)*$A15</f>
        <v>-0.0481909999999988</v>
      </c>
      <c r="AV15" s="2" t="n">
        <f aca="false">(X15-$B15)*$A15</f>
        <v>-0.473186999999999</v>
      </c>
      <c r="AW15" s="2" t="n">
        <f aca="false">(Y15-$B15)*$A15</f>
        <v>-0.279278999999999</v>
      </c>
    </row>
    <row r="16" customFormat="false" ht="13.8" hidden="false" customHeight="false" outlineLevel="0" collapsed="false">
      <c r="A16" s="1" t="n">
        <f aca="false">1+A15</f>
        <v>14</v>
      </c>
      <c r="B16" s="0" t="n">
        <v>0.631397</v>
      </c>
      <c r="C16" s="1" t="n">
        <v>0.622347</v>
      </c>
      <c r="D16" s="1" t="n">
        <v>0.649604</v>
      </c>
      <c r="E16" s="1" t="n">
        <v>0.61956</v>
      </c>
      <c r="F16" s="1" t="n">
        <v>0.616708</v>
      </c>
      <c r="G16" s="1" t="n">
        <v>0.62558</v>
      </c>
      <c r="H16" s="1" t="n">
        <v>0.620535</v>
      </c>
      <c r="I16" s="1" t="n">
        <v>0.642692</v>
      </c>
      <c r="J16" s="1" t="n">
        <v>0.614044</v>
      </c>
      <c r="K16" s="1" t="n">
        <v>0.641412</v>
      </c>
      <c r="L16" s="1" t="n">
        <v>0.623307</v>
      </c>
      <c r="M16" s="1" t="n">
        <v>0.631184</v>
      </c>
      <c r="N16" s="1" t="n">
        <v>0.632931</v>
      </c>
      <c r="O16" s="1" t="n">
        <v>0.605116</v>
      </c>
      <c r="P16" s="1" t="n">
        <v>0.607798</v>
      </c>
      <c r="Q16" s="1" t="n">
        <v>0.662719</v>
      </c>
      <c r="R16" s="1" t="n">
        <v>0.601074</v>
      </c>
      <c r="S16" s="1" t="n">
        <v>0.644035</v>
      </c>
      <c r="T16" s="1" t="n">
        <v>0.611466</v>
      </c>
      <c r="U16" s="1" t="n">
        <v>0.617019</v>
      </c>
      <c r="V16" s="1" t="n">
        <v>0.613141</v>
      </c>
      <c r="W16" s="1" t="n">
        <v>0.63684</v>
      </c>
      <c r="X16" s="1" t="n">
        <v>0.612971</v>
      </c>
      <c r="Y16" s="1" t="n">
        <v>0.625698</v>
      </c>
      <c r="Z16" s="2"/>
      <c r="AA16" s="2" t="n">
        <f aca="false">(C16-$B16)*$A16</f>
        <v>-0.1267</v>
      </c>
      <c r="AB16" s="2" t="n">
        <f aca="false">(D16-$B16)*$A16</f>
        <v>0.254898</v>
      </c>
      <c r="AC16" s="2" t="n">
        <f aca="false">(E16-$B16)*$A16</f>
        <v>-0.165718</v>
      </c>
      <c r="AD16" s="2" t="n">
        <f aca="false">(F16-$B16)*$A16</f>
        <v>-0.205645999999999</v>
      </c>
      <c r="AE16" s="2" t="n">
        <f aca="false">(G16-$B16)*$A16</f>
        <v>-0.0814379999999995</v>
      </c>
      <c r="AF16" s="2" t="n">
        <f aca="false">(H16-$B16)*$A16</f>
        <v>-0.152068000000001</v>
      </c>
      <c r="AG16" s="2" t="n">
        <f aca="false">(I16-$B16)*$A16</f>
        <v>0.158130000000001</v>
      </c>
      <c r="AH16" s="2" t="n">
        <f aca="false">(J16-$B16)*$A16</f>
        <v>-0.242941999999999</v>
      </c>
      <c r="AI16" s="2" t="n">
        <f aca="false">(K16-$B16)*$A16</f>
        <v>0.14021</v>
      </c>
      <c r="AJ16" s="2" t="n">
        <f aca="false">(L16-$B16)*$A16</f>
        <v>-0.113259999999999</v>
      </c>
      <c r="AK16" s="2" t="n">
        <f aca="false">(M16-$B16)*$A16</f>
        <v>-0.00298200000000026</v>
      </c>
      <c r="AL16" s="2" t="n">
        <f aca="false">(N16-$B16)*$A16</f>
        <v>0.0214760000000005</v>
      </c>
      <c r="AM16" s="2" t="n">
        <f aca="false">(O16-$B16)*$A16</f>
        <v>-0.367934</v>
      </c>
      <c r="AN16" s="2" t="n">
        <f aca="false">(P16-$B16)*$A16</f>
        <v>-0.330386000000001</v>
      </c>
      <c r="AO16" s="2" t="n">
        <f aca="false">(Q16-$B16)*$A16</f>
        <v>0.438507999999999</v>
      </c>
      <c r="AP16" s="2" t="n">
        <f aca="false">(R16-$B16)*$A16</f>
        <v>-0.424522</v>
      </c>
      <c r="AQ16" s="2" t="n">
        <f aca="false">(S16-$B16)*$A16</f>
        <v>0.176932000000001</v>
      </c>
      <c r="AR16" s="2" t="n">
        <f aca="false">(T16-$B16)*$A16</f>
        <v>-0.279034</v>
      </c>
      <c r="AS16" s="2" t="n">
        <f aca="false">(U16-$B16)*$A16</f>
        <v>-0.201292</v>
      </c>
      <c r="AT16" s="2" t="n">
        <f aca="false">(V16-$B16)*$A16</f>
        <v>-0.255583999999999</v>
      </c>
      <c r="AU16" s="2" t="n">
        <f aca="false">(W16-$B16)*$A16</f>
        <v>0.0762019999999997</v>
      </c>
      <c r="AV16" s="2" t="n">
        <f aca="false">(X16-$B16)*$A16</f>
        <v>-0.257963999999999</v>
      </c>
      <c r="AW16" s="2" t="n">
        <f aca="false">(Y16-$B16)*$A16</f>
        <v>-0.0797860000000001</v>
      </c>
    </row>
    <row r="17" customFormat="false" ht="13.8" hidden="false" customHeight="false" outlineLevel="0" collapsed="false">
      <c r="A17" s="1" t="n">
        <f aca="false">1+A16</f>
        <v>15</v>
      </c>
      <c r="B17" s="0" t="n">
        <v>0.470362</v>
      </c>
      <c r="C17" s="1" t="n">
        <v>0.466071</v>
      </c>
      <c r="D17" s="1" t="n">
        <v>0.488629</v>
      </c>
      <c r="E17" s="1" t="n">
        <v>0.4667</v>
      </c>
      <c r="F17" s="1" t="n">
        <v>0.459611</v>
      </c>
      <c r="G17" s="1" t="n">
        <v>0.469185</v>
      </c>
      <c r="H17" s="1" t="n">
        <v>0.462797</v>
      </c>
      <c r="I17" s="1" t="n">
        <v>0.4839</v>
      </c>
      <c r="J17" s="1" t="n">
        <v>0.460554</v>
      </c>
      <c r="K17" s="1" t="n">
        <v>0.48112</v>
      </c>
      <c r="L17" s="1" t="n">
        <v>0.468241</v>
      </c>
      <c r="M17" s="1" t="n">
        <v>0.474519</v>
      </c>
      <c r="N17" s="1" t="n">
        <v>0.468611</v>
      </c>
      <c r="O17" s="1" t="n">
        <v>0.452809</v>
      </c>
      <c r="P17" s="1" t="n">
        <v>0.455546</v>
      </c>
      <c r="Q17" s="1" t="n">
        <v>0.494953</v>
      </c>
      <c r="R17" s="1" t="n">
        <v>0.454897</v>
      </c>
      <c r="S17" s="1" t="n">
        <v>0.487844</v>
      </c>
      <c r="T17" s="1" t="n">
        <v>0.458522</v>
      </c>
      <c r="U17" s="1" t="n">
        <v>0.463837</v>
      </c>
      <c r="V17" s="1" t="n">
        <v>0.459334</v>
      </c>
      <c r="W17" s="1" t="n">
        <v>0.479367</v>
      </c>
      <c r="X17" s="1" t="n">
        <v>0.462085</v>
      </c>
      <c r="Y17" s="1" t="n">
        <v>0.471943</v>
      </c>
      <c r="Z17" s="2"/>
      <c r="AA17" s="2" t="n">
        <f aca="false">(C17-$B17)*$A17</f>
        <v>-0.0643649999999998</v>
      </c>
      <c r="AB17" s="2" t="n">
        <f aca="false">(D17-$B17)*$A17</f>
        <v>0.274005</v>
      </c>
      <c r="AC17" s="2" t="n">
        <f aca="false">(E17-$B17)*$A17</f>
        <v>-0.05493</v>
      </c>
      <c r="AD17" s="2" t="n">
        <f aca="false">(F17-$B17)*$A17</f>
        <v>-0.161265</v>
      </c>
      <c r="AE17" s="2" t="n">
        <f aca="false">(G17-$B17)*$A17</f>
        <v>-0.0176549999999998</v>
      </c>
      <c r="AF17" s="2" t="n">
        <f aca="false">(H17-$B17)*$A17</f>
        <v>-0.113475</v>
      </c>
      <c r="AG17" s="2" t="n">
        <f aca="false">(I17-$B17)*$A17</f>
        <v>0.20307</v>
      </c>
      <c r="AH17" s="2" t="n">
        <f aca="false">(J17-$B17)*$A17</f>
        <v>-0.14712</v>
      </c>
      <c r="AI17" s="2" t="n">
        <f aca="false">(K17-$B17)*$A17</f>
        <v>0.16137</v>
      </c>
      <c r="AJ17" s="2" t="n">
        <f aca="false">(L17-$B17)*$A17</f>
        <v>-0.0318149999999998</v>
      </c>
      <c r="AK17" s="2" t="n">
        <f aca="false">(M17-$B17)*$A17</f>
        <v>0.0623550000000003</v>
      </c>
      <c r="AL17" s="2" t="n">
        <f aca="false">(N17-$B17)*$A17</f>
        <v>-0.026265</v>
      </c>
      <c r="AM17" s="2" t="n">
        <f aca="false">(O17-$B17)*$A17</f>
        <v>-0.263295</v>
      </c>
      <c r="AN17" s="2" t="n">
        <f aca="false">(P17-$B17)*$A17</f>
        <v>-0.22224</v>
      </c>
      <c r="AO17" s="2" t="n">
        <f aca="false">(Q17-$B17)*$A17</f>
        <v>0.368865</v>
      </c>
      <c r="AP17" s="2" t="n">
        <f aca="false">(R17-$B17)*$A17</f>
        <v>-0.231975</v>
      </c>
      <c r="AQ17" s="2" t="n">
        <f aca="false">(S17-$B17)*$A17</f>
        <v>0.26223</v>
      </c>
      <c r="AR17" s="2" t="n">
        <f aca="false">(T17-$B17)*$A17</f>
        <v>-0.1776</v>
      </c>
      <c r="AS17" s="2" t="n">
        <f aca="false">(U17-$B17)*$A17</f>
        <v>-0.0978750000000001</v>
      </c>
      <c r="AT17" s="2" t="n">
        <f aca="false">(V17-$B17)*$A17</f>
        <v>-0.16542</v>
      </c>
      <c r="AU17" s="2" t="n">
        <f aca="false">(W17-$B17)*$A17</f>
        <v>0.135075</v>
      </c>
      <c r="AV17" s="2" t="n">
        <f aca="false">(X17-$B17)*$A17</f>
        <v>-0.124155</v>
      </c>
      <c r="AW17" s="2" t="n">
        <f aca="false">(Y17-$B17)*$A17</f>
        <v>0.023715</v>
      </c>
    </row>
    <row r="18" customFormat="false" ht="13.8" hidden="false" customHeight="false" outlineLevel="0" collapsed="false">
      <c r="A18" s="1" t="n">
        <f aca="false">1+A17</f>
        <v>16</v>
      </c>
      <c r="B18" s="0" t="n">
        <v>0.346642</v>
      </c>
      <c r="C18" s="1" t="n">
        <v>0.344258</v>
      </c>
      <c r="D18" s="1" t="n">
        <v>0.364403</v>
      </c>
      <c r="E18" s="1" t="n">
        <v>0.347084</v>
      </c>
      <c r="F18" s="1" t="n">
        <v>0.340045</v>
      </c>
      <c r="G18" s="1" t="n">
        <v>0.347379</v>
      </c>
      <c r="H18" s="1" t="n">
        <v>0.340435</v>
      </c>
      <c r="I18" s="1" t="n">
        <v>0.359969</v>
      </c>
      <c r="J18" s="1" t="n">
        <v>0.341046</v>
      </c>
      <c r="K18" s="1" t="n">
        <v>0.356751</v>
      </c>
      <c r="L18" s="1" t="n">
        <v>0.347657</v>
      </c>
      <c r="M18" s="1" t="n">
        <v>0.352011</v>
      </c>
      <c r="N18" s="1" t="n">
        <v>0.343743</v>
      </c>
      <c r="O18" s="1" t="n">
        <v>0.334798</v>
      </c>
      <c r="P18" s="1" t="n">
        <v>0.336965</v>
      </c>
      <c r="Q18" s="1" t="n">
        <v>0.365725</v>
      </c>
      <c r="R18" s="1" t="n">
        <v>0.339289</v>
      </c>
      <c r="S18" s="1" t="n">
        <v>0.365879</v>
      </c>
      <c r="T18" s="1" t="n">
        <v>0.339127</v>
      </c>
      <c r="U18" s="1" t="n">
        <v>0.343971</v>
      </c>
      <c r="V18" s="1" t="n">
        <v>0.340282</v>
      </c>
      <c r="W18" s="1" t="n">
        <v>0.355912</v>
      </c>
      <c r="X18" s="1" t="n">
        <v>0.342785</v>
      </c>
      <c r="Y18" s="1" t="n">
        <v>0.351874</v>
      </c>
      <c r="Z18" s="2"/>
      <c r="AA18" s="2" t="n">
        <f aca="false">(C18-$B18)*$A18</f>
        <v>-0.038144</v>
      </c>
      <c r="AB18" s="2" t="n">
        <f aca="false">(D18-$B18)*$A18</f>
        <v>0.284176</v>
      </c>
      <c r="AC18" s="2" t="n">
        <f aca="false">(E18-$B18)*$A18</f>
        <v>0.00707199999999997</v>
      </c>
      <c r="AD18" s="2" t="n">
        <f aca="false">(F18-$B18)*$A18</f>
        <v>-0.105552</v>
      </c>
      <c r="AE18" s="2" t="n">
        <f aca="false">(G18-$B18)*$A18</f>
        <v>0.0117919999999998</v>
      </c>
      <c r="AF18" s="2" t="n">
        <f aca="false">(H18-$B18)*$A18</f>
        <v>-0.0993120000000003</v>
      </c>
      <c r="AG18" s="2" t="n">
        <f aca="false">(I18-$B18)*$A18</f>
        <v>0.213232</v>
      </c>
      <c r="AH18" s="2" t="n">
        <f aca="false">(J18-$B18)*$A18</f>
        <v>-0.0895359999999998</v>
      </c>
      <c r="AI18" s="2" t="n">
        <f aca="false">(K18-$B18)*$A18</f>
        <v>0.161744</v>
      </c>
      <c r="AJ18" s="2" t="n">
        <f aca="false">(L18-$B18)*$A18</f>
        <v>0.0162399999999998</v>
      </c>
      <c r="AK18" s="2" t="n">
        <f aca="false">(M18-$B18)*$A18</f>
        <v>0.0859040000000002</v>
      </c>
      <c r="AL18" s="2" t="n">
        <f aca="false">(N18-$B18)*$A18</f>
        <v>-0.0463839999999998</v>
      </c>
      <c r="AM18" s="2" t="n">
        <f aca="false">(O18-$B18)*$A18</f>
        <v>-0.189504</v>
      </c>
      <c r="AN18" s="2" t="n">
        <f aca="false">(P18-$B18)*$A18</f>
        <v>-0.154832</v>
      </c>
      <c r="AO18" s="2" t="n">
        <f aca="false">(Q18-$B18)*$A18</f>
        <v>0.305328</v>
      </c>
      <c r="AP18" s="2" t="n">
        <f aca="false">(R18-$B18)*$A18</f>
        <v>-0.117648</v>
      </c>
      <c r="AQ18" s="2" t="n">
        <f aca="false">(S18-$B18)*$A18</f>
        <v>0.307792</v>
      </c>
      <c r="AR18" s="2" t="n">
        <f aca="false">(T18-$B18)*$A18</f>
        <v>-0.12024</v>
      </c>
      <c r="AS18" s="2" t="n">
        <f aca="false">(U18-$B18)*$A18</f>
        <v>-0.0427359999999997</v>
      </c>
      <c r="AT18" s="2" t="n">
        <f aca="false">(V18-$B18)*$A18</f>
        <v>-0.101760000000001</v>
      </c>
      <c r="AU18" s="2" t="n">
        <f aca="false">(W18-$B18)*$A18</f>
        <v>0.14832</v>
      </c>
      <c r="AV18" s="2" t="n">
        <f aca="false">(X18-$B18)*$A18</f>
        <v>-0.061712</v>
      </c>
      <c r="AW18" s="2" t="n">
        <f aca="false">(Y18-$B18)*$A18</f>
        <v>0.0837120000000002</v>
      </c>
    </row>
    <row r="19" customFormat="false" ht="13.8" hidden="false" customHeight="false" outlineLevel="0" collapsed="false">
      <c r="A19" s="1" t="n">
        <f aca="false">1+A18</f>
        <v>17</v>
      </c>
      <c r="B19" s="0" t="n">
        <v>0.253177</v>
      </c>
      <c r="C19" s="1" t="n">
        <v>0.250676</v>
      </c>
      <c r="D19" s="1" t="n">
        <v>0.270071</v>
      </c>
      <c r="E19" s="1" t="n">
        <v>0.254938</v>
      </c>
      <c r="F19" s="1" t="n">
        <v>0.249647</v>
      </c>
      <c r="G19" s="1" t="n">
        <v>0.25443</v>
      </c>
      <c r="H19" s="1" t="n">
        <v>0.247432</v>
      </c>
      <c r="I19" s="1" t="n">
        <v>0.264937</v>
      </c>
      <c r="J19" s="1" t="n">
        <v>0.249565</v>
      </c>
      <c r="K19" s="1" t="n">
        <v>0.262465</v>
      </c>
      <c r="L19" s="1" t="n">
        <v>0.254877</v>
      </c>
      <c r="M19" s="1" t="n">
        <v>0.258325</v>
      </c>
      <c r="N19" s="1" t="n">
        <v>0.250265</v>
      </c>
      <c r="O19" s="1" t="n">
        <v>0.244216</v>
      </c>
      <c r="P19" s="1" t="n">
        <v>0.246457</v>
      </c>
      <c r="Q19" s="1" t="n">
        <v>0.267805</v>
      </c>
      <c r="R19" s="1" t="n">
        <v>0.249018</v>
      </c>
      <c r="S19" s="1" t="n">
        <v>0.271818</v>
      </c>
      <c r="T19" s="1" t="n">
        <v>0.24728</v>
      </c>
      <c r="U19" s="1" t="n">
        <v>0.251887</v>
      </c>
      <c r="V19" s="1" t="n">
        <v>0.24946</v>
      </c>
      <c r="W19" s="1" t="n">
        <v>0.261432</v>
      </c>
      <c r="X19" s="1" t="n">
        <v>0.251057</v>
      </c>
      <c r="Y19" s="1" t="n">
        <v>0.258798</v>
      </c>
      <c r="Z19" s="2"/>
      <c r="AA19" s="2" t="n">
        <f aca="false">(C19-$B19)*$A19</f>
        <v>-0.0425169999999996</v>
      </c>
      <c r="AB19" s="2" t="n">
        <f aca="false">(D19-$B19)*$A19</f>
        <v>0.287198</v>
      </c>
      <c r="AC19" s="2" t="n">
        <f aca="false">(E19-$B19)*$A19</f>
        <v>0.0299370000000002</v>
      </c>
      <c r="AD19" s="2" t="n">
        <f aca="false">(F19-$B19)*$A19</f>
        <v>-0.0600099999999996</v>
      </c>
      <c r="AE19" s="2" t="n">
        <f aca="false">(G19-$B19)*$A19</f>
        <v>0.0213010000000001</v>
      </c>
      <c r="AF19" s="2" t="n">
        <f aca="false">(H19-$B19)*$A19</f>
        <v>-0.0976649999999995</v>
      </c>
      <c r="AG19" s="2" t="n">
        <f aca="false">(I19-$B19)*$A19</f>
        <v>0.19992</v>
      </c>
      <c r="AH19" s="2" t="n">
        <f aca="false">(J19-$B19)*$A19</f>
        <v>-0.0614039999999996</v>
      </c>
      <c r="AI19" s="2" t="n">
        <f aca="false">(K19-$B19)*$A19</f>
        <v>0.157896</v>
      </c>
      <c r="AJ19" s="2" t="n">
        <f aca="false">(L19-$B19)*$A19</f>
        <v>0.0289000000000006</v>
      </c>
      <c r="AK19" s="2" t="n">
        <f aca="false">(M19-$B19)*$A19</f>
        <v>0.0875160000000007</v>
      </c>
      <c r="AL19" s="2" t="n">
        <f aca="false">(N19-$B19)*$A19</f>
        <v>-0.0495039999999995</v>
      </c>
      <c r="AM19" s="2" t="n">
        <f aca="false">(O19-$B19)*$A19</f>
        <v>-0.152337</v>
      </c>
      <c r="AN19" s="2" t="n">
        <f aca="false">(P19-$B19)*$A19</f>
        <v>-0.11424</v>
      </c>
      <c r="AO19" s="2" t="n">
        <f aca="false">(Q19-$B19)*$A19</f>
        <v>0.248676000000001</v>
      </c>
      <c r="AP19" s="2" t="n">
        <f aca="false">(R19-$B19)*$A19</f>
        <v>-0.0707029999999999</v>
      </c>
      <c r="AQ19" s="2" t="n">
        <f aca="false">(S19-$B19)*$A19</f>
        <v>0.316897</v>
      </c>
      <c r="AR19" s="2" t="n">
        <f aca="false">(T19-$B19)*$A19</f>
        <v>-0.100249</v>
      </c>
      <c r="AS19" s="2" t="n">
        <f aca="false">(U19-$B19)*$A19</f>
        <v>-0.0219299999999993</v>
      </c>
      <c r="AT19" s="2" t="n">
        <f aca="false">(V19-$B19)*$A19</f>
        <v>-0.063189</v>
      </c>
      <c r="AU19" s="2" t="n">
        <f aca="false">(W19-$B19)*$A19</f>
        <v>0.140335</v>
      </c>
      <c r="AV19" s="2" t="n">
        <f aca="false">(X19-$B19)*$A19</f>
        <v>-0.0360400000000002</v>
      </c>
      <c r="AW19" s="2" t="n">
        <f aca="false">(Y19-$B19)*$A19</f>
        <v>0.0955569999999998</v>
      </c>
    </row>
    <row r="20" customFormat="false" ht="13.8" hidden="false" customHeight="false" outlineLevel="0" collapsed="false">
      <c r="A20" s="1" t="n">
        <f aca="false">1+A19</f>
        <v>18</v>
      </c>
      <c r="B20" s="0" t="n">
        <v>0.181816</v>
      </c>
      <c r="C20" s="1" t="n">
        <v>0.180003</v>
      </c>
      <c r="D20" s="1" t="n">
        <v>0.198445</v>
      </c>
      <c r="E20" s="1" t="n">
        <v>0.184109</v>
      </c>
      <c r="F20" s="1" t="n">
        <v>0.181053</v>
      </c>
      <c r="G20" s="1" t="n">
        <v>0.183381</v>
      </c>
      <c r="H20" s="1" t="n">
        <v>0.177023</v>
      </c>
      <c r="I20" s="1" t="n">
        <v>0.191644</v>
      </c>
      <c r="J20" s="1" t="n">
        <v>0.179489</v>
      </c>
      <c r="K20" s="1" t="n">
        <v>0.190533</v>
      </c>
      <c r="L20" s="1" t="n">
        <v>0.183935</v>
      </c>
      <c r="M20" s="1" t="n">
        <v>0.186671</v>
      </c>
      <c r="N20" s="1" t="n">
        <v>0.179172</v>
      </c>
      <c r="O20" s="1" t="n">
        <v>0.1751</v>
      </c>
      <c r="P20" s="1" t="n">
        <v>0.177155</v>
      </c>
      <c r="Q20" s="1" t="n">
        <v>0.193591</v>
      </c>
      <c r="R20" s="1" t="n">
        <v>0.179457</v>
      </c>
      <c r="S20" s="1" t="n">
        <v>0.199653</v>
      </c>
      <c r="T20" s="1" t="n">
        <v>0.177197</v>
      </c>
      <c r="U20" s="1" t="n">
        <v>0.181267</v>
      </c>
      <c r="V20" s="1" t="n">
        <v>0.180162</v>
      </c>
      <c r="W20" s="1" t="n">
        <v>0.189309</v>
      </c>
      <c r="X20" s="1" t="n">
        <v>0.180545</v>
      </c>
      <c r="Y20" s="1" t="n">
        <v>0.187307</v>
      </c>
      <c r="Z20" s="2"/>
      <c r="AA20" s="2" t="n">
        <f aca="false">(C20-$B20)*$A20</f>
        <v>-0.0326340000000002</v>
      </c>
      <c r="AB20" s="2" t="n">
        <f aca="false">(D20-$B20)*$A20</f>
        <v>0.299322</v>
      </c>
      <c r="AC20" s="2" t="n">
        <f aca="false">(E20-$B20)*$A20</f>
        <v>0.0412739999999998</v>
      </c>
      <c r="AD20" s="2" t="n">
        <f aca="false">(F20-$B20)*$A20</f>
        <v>-0.0137340000000002</v>
      </c>
      <c r="AE20" s="2" t="n">
        <f aca="false">(G20-$B20)*$A20</f>
        <v>0.0281699999999997</v>
      </c>
      <c r="AF20" s="2" t="n">
        <f aca="false">(H20-$B20)*$A20</f>
        <v>-0.0862739999999999</v>
      </c>
      <c r="AG20" s="2" t="n">
        <f aca="false">(I20-$B20)*$A20</f>
        <v>0.176904</v>
      </c>
      <c r="AH20" s="2" t="n">
        <f aca="false">(J20-$B20)*$A20</f>
        <v>-0.0418859999999999</v>
      </c>
      <c r="AI20" s="2" t="n">
        <f aca="false">(K20-$B20)*$A20</f>
        <v>0.156906</v>
      </c>
      <c r="AJ20" s="2" t="n">
        <f aca="false">(L20-$B20)*$A20</f>
        <v>0.0381419999999997</v>
      </c>
      <c r="AK20" s="2" t="n">
        <f aca="false">(M20-$B20)*$A20</f>
        <v>0.08739</v>
      </c>
      <c r="AL20" s="2" t="n">
        <f aca="false">(N20-$B20)*$A20</f>
        <v>-0.0475920000000001</v>
      </c>
      <c r="AM20" s="2" t="n">
        <f aca="false">(O20-$B20)*$A20</f>
        <v>-0.120888</v>
      </c>
      <c r="AN20" s="2" t="n">
        <f aca="false">(P20-$B20)*$A20</f>
        <v>-0.083898</v>
      </c>
      <c r="AO20" s="2" t="n">
        <f aca="false">(Q20-$B20)*$A20</f>
        <v>0.21195</v>
      </c>
      <c r="AP20" s="2" t="n">
        <f aca="false">(R20-$B20)*$A20</f>
        <v>-0.042462</v>
      </c>
      <c r="AQ20" s="2" t="n">
        <f aca="false">(S20-$B20)*$A20</f>
        <v>0.321066</v>
      </c>
      <c r="AR20" s="2" t="n">
        <f aca="false">(T20-$B20)*$A20</f>
        <v>-0.0831420000000002</v>
      </c>
      <c r="AS20" s="2" t="n">
        <f aca="false">(U20-$B20)*$A20</f>
        <v>-0.00988199999999989</v>
      </c>
      <c r="AT20" s="2" t="n">
        <f aca="false">(V20-$B20)*$A20</f>
        <v>-0.0297720000000003</v>
      </c>
      <c r="AU20" s="2" t="n">
        <f aca="false">(W20-$B20)*$A20</f>
        <v>0.134874</v>
      </c>
      <c r="AV20" s="2" t="n">
        <f aca="false">(X20-$B20)*$A20</f>
        <v>-0.0228779999999999</v>
      </c>
      <c r="AW20" s="2" t="n">
        <f aca="false">(Y20-$B20)*$A20</f>
        <v>0.0988379999999999</v>
      </c>
    </row>
    <row r="21" customFormat="false" ht="13.8" hidden="false" customHeight="false" outlineLevel="0" collapsed="false">
      <c r="A21" s="1" t="n">
        <f aca="false">1+A20</f>
        <v>19</v>
      </c>
      <c r="B21" s="0" t="n">
        <v>0.128713</v>
      </c>
      <c r="C21" s="1" t="n">
        <v>0.127326</v>
      </c>
      <c r="D21" s="1" t="n">
        <v>0.144957</v>
      </c>
      <c r="E21" s="1" t="n">
        <v>0.131388</v>
      </c>
      <c r="F21" s="1" t="n">
        <v>0.130186</v>
      </c>
      <c r="G21" s="1" t="n">
        <v>0.13066</v>
      </c>
      <c r="H21" s="1" t="n">
        <v>0.124974</v>
      </c>
      <c r="I21" s="1" t="n">
        <v>0.137317</v>
      </c>
      <c r="J21" s="1" t="n">
        <v>0.127656</v>
      </c>
      <c r="K21" s="1" t="n">
        <v>0.137259</v>
      </c>
      <c r="L21" s="1" t="n">
        <v>0.131008</v>
      </c>
      <c r="M21" s="1" t="n">
        <v>0.133256</v>
      </c>
      <c r="N21" s="1" t="n">
        <v>0.126896</v>
      </c>
      <c r="O21" s="1" t="n">
        <v>0.12409</v>
      </c>
      <c r="P21" s="1" t="n">
        <v>0.125867</v>
      </c>
      <c r="Q21" s="1" t="n">
        <v>0.138773</v>
      </c>
      <c r="R21" s="1" t="n">
        <v>0.127515</v>
      </c>
      <c r="S21" s="1" t="n">
        <v>0.146103</v>
      </c>
      <c r="T21" s="1" t="n">
        <v>0.125243</v>
      </c>
      <c r="U21" s="1" t="n">
        <v>0.128827</v>
      </c>
      <c r="V21" s="1" t="n">
        <v>0.128792</v>
      </c>
      <c r="W21" s="1" t="n">
        <v>0.135866</v>
      </c>
      <c r="X21" s="1" t="n">
        <v>0.128051</v>
      </c>
      <c r="Y21" s="1" t="n">
        <v>0.134089</v>
      </c>
      <c r="Z21" s="2"/>
      <c r="AA21" s="2" t="n">
        <f aca="false">(C21-$B21)*$A21</f>
        <v>-0.026353</v>
      </c>
      <c r="AB21" s="2" t="n">
        <f aca="false">(D21-$B21)*$A21</f>
        <v>0.308636</v>
      </c>
      <c r="AC21" s="2" t="n">
        <f aca="false">(E21-$B21)*$A21</f>
        <v>0.0508250000000002</v>
      </c>
      <c r="AD21" s="2" t="n">
        <f aca="false">(F21-$B21)*$A21</f>
        <v>0.027987</v>
      </c>
      <c r="AE21" s="2" t="n">
        <f aca="false">(G21-$B21)*$A21</f>
        <v>0.0369930000000001</v>
      </c>
      <c r="AF21" s="2" t="n">
        <f aca="false">(H21-$B21)*$A21</f>
        <v>-0.0710409999999999</v>
      </c>
      <c r="AG21" s="2" t="n">
        <f aca="false">(I21-$B21)*$A21</f>
        <v>0.163476</v>
      </c>
      <c r="AH21" s="2" t="n">
        <f aca="false">(J21-$B21)*$A21</f>
        <v>-0.020083</v>
      </c>
      <c r="AI21" s="2" t="n">
        <f aca="false">(K21-$B21)*$A21</f>
        <v>0.162374</v>
      </c>
      <c r="AJ21" s="2" t="n">
        <f aca="false">(L21-$B21)*$A21</f>
        <v>0.0436050000000004</v>
      </c>
      <c r="AK21" s="2" t="n">
        <f aca="false">(M21-$B21)*$A21</f>
        <v>0.0863170000000004</v>
      </c>
      <c r="AL21" s="2" t="n">
        <f aca="false">(N21-$B21)*$A21</f>
        <v>-0.0345229999999997</v>
      </c>
      <c r="AM21" s="2" t="n">
        <f aca="false">(O21-$B21)*$A21</f>
        <v>-0.0878369999999998</v>
      </c>
      <c r="AN21" s="2" t="n">
        <f aca="false">(P21-$B21)*$A21</f>
        <v>-0.0540739999999998</v>
      </c>
      <c r="AO21" s="2" t="n">
        <f aca="false">(Q21-$B21)*$A21</f>
        <v>0.19114</v>
      </c>
      <c r="AP21" s="2" t="n">
        <f aca="false">(R21-$B21)*$A21</f>
        <v>-0.0227620000000001</v>
      </c>
      <c r="AQ21" s="2" t="n">
        <f aca="false">(S21-$B21)*$A21</f>
        <v>0.33041</v>
      </c>
      <c r="AR21" s="2" t="n">
        <f aca="false">(T21-$B21)*$A21</f>
        <v>-0.06593</v>
      </c>
      <c r="AS21" s="2" t="n">
        <f aca="false">(U21-$B21)*$A21</f>
        <v>0.00216600000000006</v>
      </c>
      <c r="AT21" s="2" t="n">
        <f aca="false">(V21-$B21)*$A21</f>
        <v>0.00150099999999992</v>
      </c>
      <c r="AU21" s="2" t="n">
        <f aca="false">(W21-$B21)*$A21</f>
        <v>0.135907</v>
      </c>
      <c r="AV21" s="2" t="n">
        <f aca="false">(X21-$B21)*$A21</f>
        <v>-0.0125779999999999</v>
      </c>
      <c r="AW21" s="2" t="n">
        <f aca="false">(Y21-$B21)*$A21</f>
        <v>0.102144</v>
      </c>
    </row>
    <row r="22" customFormat="false" ht="13.8" hidden="false" customHeight="false" outlineLevel="0" collapsed="false">
      <c r="A22" s="1" t="n">
        <f aca="false">1+A21</f>
        <v>20</v>
      </c>
      <c r="B22" s="0" t="n">
        <v>0.089955</v>
      </c>
      <c r="C22" s="1" t="n">
        <v>0.089053</v>
      </c>
      <c r="D22" s="1" t="n">
        <v>0.105712</v>
      </c>
      <c r="E22" s="1" t="n">
        <v>0.0927432</v>
      </c>
      <c r="F22" s="1" t="n">
        <v>0.0934005</v>
      </c>
      <c r="G22" s="1" t="n">
        <v>0.0922575</v>
      </c>
      <c r="H22" s="1" t="n">
        <v>0.087155</v>
      </c>
      <c r="I22" s="1" t="n">
        <v>0.0976351</v>
      </c>
      <c r="J22" s="1" t="n">
        <v>0.0895971</v>
      </c>
      <c r="K22" s="1" t="n">
        <v>0.0980328</v>
      </c>
      <c r="L22" s="1" t="n">
        <v>0.0922596</v>
      </c>
      <c r="M22" s="1" t="n">
        <v>0.0942308</v>
      </c>
      <c r="N22" s="1" t="n">
        <v>0.0886716</v>
      </c>
      <c r="O22" s="1" t="n">
        <v>0.0867686</v>
      </c>
      <c r="P22" s="1" t="n">
        <v>0.0884507</v>
      </c>
      <c r="Q22" s="1" t="n">
        <v>0.0988942</v>
      </c>
      <c r="R22" s="1" t="n">
        <v>0.0893977</v>
      </c>
      <c r="S22" s="1" t="n">
        <v>0.106888</v>
      </c>
      <c r="T22" s="1" t="n">
        <v>0.0874008</v>
      </c>
      <c r="U22" s="1" t="n">
        <v>0.0905982</v>
      </c>
      <c r="V22" s="1" t="n">
        <v>0.0911316</v>
      </c>
      <c r="W22" s="1" t="n">
        <v>0.0968922</v>
      </c>
      <c r="X22" s="1" t="n">
        <v>0.0899486</v>
      </c>
      <c r="Y22" s="1" t="n">
        <v>0.0952563</v>
      </c>
      <c r="Z22" s="2"/>
      <c r="AA22" s="2" t="n">
        <f aca="false">(C22-$B22)*$A22</f>
        <v>-0.01804</v>
      </c>
      <c r="AB22" s="2" t="n">
        <f aca="false">(D22-$B22)*$A22</f>
        <v>0.31514</v>
      </c>
      <c r="AC22" s="2" t="n">
        <f aca="false">(E22-$B22)*$A22</f>
        <v>0.0557640000000001</v>
      </c>
      <c r="AD22" s="2" t="n">
        <f aca="false">(F22-$B22)*$A22</f>
        <v>0.0689100000000001</v>
      </c>
      <c r="AE22" s="2" t="n">
        <f aca="false">(G22-$B22)*$A22</f>
        <v>0.0460500000000003</v>
      </c>
      <c r="AF22" s="2" t="n">
        <f aca="false">(H22-$B22)*$A22</f>
        <v>-0.0559999999999999</v>
      </c>
      <c r="AG22" s="2" t="n">
        <f aca="false">(I22-$B22)*$A22</f>
        <v>0.153602</v>
      </c>
      <c r="AH22" s="2" t="n">
        <f aca="false">(J22-$B22)*$A22</f>
        <v>-0.00715799999999989</v>
      </c>
      <c r="AI22" s="2" t="n">
        <f aca="false">(K22-$B22)*$A22</f>
        <v>0.161556</v>
      </c>
      <c r="AJ22" s="2" t="n">
        <f aca="false">(L22-$B22)*$A22</f>
        <v>0.0460920000000001</v>
      </c>
      <c r="AK22" s="2" t="n">
        <f aca="false">(M22-$B22)*$A22</f>
        <v>0.0855160000000002</v>
      </c>
      <c r="AL22" s="2" t="n">
        <f aca="false">(N22-$B22)*$A22</f>
        <v>-0.0256679999999998</v>
      </c>
      <c r="AM22" s="2" t="n">
        <f aca="false">(O22-$B22)*$A22</f>
        <v>-0.0637279999999998</v>
      </c>
      <c r="AN22" s="2" t="n">
        <f aca="false">(P22-$B22)*$A22</f>
        <v>-0.030086</v>
      </c>
      <c r="AO22" s="2" t="n">
        <f aca="false">(Q22-$B22)*$A22</f>
        <v>0.178784</v>
      </c>
      <c r="AP22" s="2" t="n">
        <f aca="false">(R22-$B22)*$A22</f>
        <v>-0.0111459999999999</v>
      </c>
      <c r="AQ22" s="2" t="n">
        <f aca="false">(S22-$B22)*$A22</f>
        <v>0.33866</v>
      </c>
      <c r="AR22" s="2" t="n">
        <f aca="false">(T22-$B22)*$A22</f>
        <v>-0.0510839999999999</v>
      </c>
      <c r="AS22" s="2" t="n">
        <f aca="false">(U22-$B22)*$A22</f>
        <v>0.0128640000000002</v>
      </c>
      <c r="AT22" s="2" t="n">
        <f aca="false">(V22-$B22)*$A22</f>
        <v>0.023532</v>
      </c>
      <c r="AU22" s="2" t="n">
        <f aca="false">(W22-$B22)*$A22</f>
        <v>0.138744</v>
      </c>
      <c r="AV22" s="2" t="n">
        <f aca="false">(X22-$B22)*$A22</f>
        <v>-0.000127999999999795</v>
      </c>
      <c r="AW22" s="2" t="n">
        <f aca="false">(Y22-$B22)*$A22</f>
        <v>0.106026</v>
      </c>
    </row>
    <row r="23" customFormat="false" ht="13.8" hidden="false" customHeight="false" outlineLevel="0" collapsed="false">
      <c r="A23" s="1" t="n">
        <f aca="false">1+A22</f>
        <v>21</v>
      </c>
      <c r="B23" s="0" t="n">
        <v>0.0622887</v>
      </c>
      <c r="C23" s="1" t="n">
        <v>0.0616367</v>
      </c>
      <c r="D23" s="1" t="n">
        <v>0.0776494</v>
      </c>
      <c r="E23" s="1" t="n">
        <v>0.064941</v>
      </c>
      <c r="F23" s="1" t="n">
        <v>0.0673947</v>
      </c>
      <c r="G23" s="1" t="n">
        <v>0.0647634</v>
      </c>
      <c r="H23" s="1" t="n">
        <v>0.0600063</v>
      </c>
      <c r="I23" s="1" t="n">
        <v>0.0690933</v>
      </c>
      <c r="J23" s="1" t="n">
        <v>0.0623336</v>
      </c>
      <c r="K23" s="1" t="n">
        <v>0.0699681</v>
      </c>
      <c r="L23" s="1" t="n">
        <v>0.0643956</v>
      </c>
      <c r="M23" s="1" t="n">
        <v>0.0662378</v>
      </c>
      <c r="N23" s="1" t="n">
        <v>0.0612395</v>
      </c>
      <c r="O23" s="1" t="n">
        <v>0.0601464</v>
      </c>
      <c r="P23" s="1" t="n">
        <v>0.0615781</v>
      </c>
      <c r="Q23" s="1" t="n">
        <v>0.0703326</v>
      </c>
      <c r="R23" s="1" t="n">
        <v>0.0619155</v>
      </c>
      <c r="S23" s="1" t="n">
        <v>0.0785079</v>
      </c>
      <c r="T23" s="1" t="n">
        <v>0.0604824</v>
      </c>
      <c r="U23" s="1" t="n">
        <v>0.0630795</v>
      </c>
      <c r="V23" s="1" t="n">
        <v>0.0642161</v>
      </c>
      <c r="W23" s="1" t="n">
        <v>0.0691031</v>
      </c>
      <c r="X23" s="1" t="n">
        <v>0.0622725</v>
      </c>
      <c r="Y23" s="1" t="n">
        <v>0.0674219</v>
      </c>
      <c r="Z23" s="2"/>
      <c r="AA23" s="2" t="n">
        <f aca="false">(C23-$B23)*$A23</f>
        <v>-0.013692</v>
      </c>
      <c r="AB23" s="2" t="n">
        <f aca="false">(D23-$B23)*$A23</f>
        <v>0.3225747</v>
      </c>
      <c r="AC23" s="2" t="n">
        <f aca="false">(E23-$B23)*$A23</f>
        <v>0.0556982999999999</v>
      </c>
      <c r="AD23" s="2" t="n">
        <f aca="false">(F23-$B23)*$A23</f>
        <v>0.107226</v>
      </c>
      <c r="AE23" s="2" t="n">
        <f aca="false">(G23-$B23)*$A23</f>
        <v>0.0519686999999999</v>
      </c>
      <c r="AF23" s="2" t="n">
        <f aca="false">(H23-$B23)*$A23</f>
        <v>-0.0479304000000001</v>
      </c>
      <c r="AG23" s="2" t="n">
        <f aca="false">(I23-$B23)*$A23</f>
        <v>0.1428966</v>
      </c>
      <c r="AH23" s="2" t="n">
        <f aca="false">(J23-$B23)*$A23</f>
        <v>0.00094290000000001</v>
      </c>
      <c r="AI23" s="2" t="n">
        <f aca="false">(K23-$B23)*$A23</f>
        <v>0.1612674</v>
      </c>
      <c r="AJ23" s="2" t="n">
        <f aca="false">(L23-$B23)*$A23</f>
        <v>0.0442448999999999</v>
      </c>
      <c r="AK23" s="2" t="n">
        <f aca="false">(M23-$B23)*$A23</f>
        <v>0.0829310999999999</v>
      </c>
      <c r="AL23" s="2" t="n">
        <f aca="false">(N23-$B23)*$A23</f>
        <v>-0.0220332</v>
      </c>
      <c r="AM23" s="2" t="n">
        <f aca="false">(O23-$B23)*$A23</f>
        <v>-0.0449883</v>
      </c>
      <c r="AN23" s="2" t="n">
        <f aca="false">(P23-$B23)*$A23</f>
        <v>-0.0149226000000001</v>
      </c>
      <c r="AO23" s="2" t="n">
        <f aca="false">(Q23-$B23)*$A23</f>
        <v>0.1689219</v>
      </c>
      <c r="AP23" s="2" t="n">
        <f aca="false">(R23-$B23)*$A23</f>
        <v>-0.00783720000000009</v>
      </c>
      <c r="AQ23" s="2" t="n">
        <f aca="false">(S23-$B23)*$A23</f>
        <v>0.3406032</v>
      </c>
      <c r="AR23" s="2" t="n">
        <f aca="false">(T23-$B23)*$A23</f>
        <v>-0.0379323000000001</v>
      </c>
      <c r="AS23" s="2" t="n">
        <f aca="false">(U23-$B23)*$A23</f>
        <v>0.0166067999999999</v>
      </c>
      <c r="AT23" s="2" t="n">
        <f aca="false">(V23-$B23)*$A23</f>
        <v>0.0404753999999999</v>
      </c>
      <c r="AU23" s="2" t="n">
        <f aca="false">(W23-$B23)*$A23</f>
        <v>0.1431024</v>
      </c>
      <c r="AV23" s="2" t="n">
        <f aca="false">(X23-$B23)*$A23</f>
        <v>-0.00034020000000002</v>
      </c>
      <c r="AW23" s="2" t="n">
        <f aca="false">(Y23-$B23)*$A23</f>
        <v>0.1077972</v>
      </c>
    </row>
    <row r="24" customFormat="false" ht="13.8" hidden="false" customHeight="false" outlineLevel="0" collapsed="false">
      <c r="A24" s="1" t="n">
        <f aca="false">1+A23</f>
        <v>22</v>
      </c>
      <c r="B24" s="0" t="n">
        <v>0.0425687</v>
      </c>
      <c r="C24" s="1" t="n">
        <v>0.042328</v>
      </c>
      <c r="D24" s="1" t="n">
        <v>0.057155</v>
      </c>
      <c r="E24" s="1" t="n">
        <v>0.0449242</v>
      </c>
      <c r="F24" s="1" t="n">
        <v>0.0489766</v>
      </c>
      <c r="G24" s="1" t="n">
        <v>0.0450455</v>
      </c>
      <c r="H24" s="1" t="n">
        <v>0.0409894</v>
      </c>
      <c r="I24" s="1" t="n">
        <v>0.0486279</v>
      </c>
      <c r="J24" s="1" t="n">
        <v>0.0429213</v>
      </c>
      <c r="K24" s="1" t="n">
        <v>0.0497967</v>
      </c>
      <c r="L24" s="1" t="n">
        <v>0.0446541</v>
      </c>
      <c r="M24" s="1" t="n">
        <v>0.0460935</v>
      </c>
      <c r="N24" s="1" t="n">
        <v>0.0417869</v>
      </c>
      <c r="O24" s="1" t="n">
        <v>0.0412553</v>
      </c>
      <c r="P24" s="1" t="n">
        <v>0.04239</v>
      </c>
      <c r="Q24" s="1" t="n">
        <v>0.0497248</v>
      </c>
      <c r="R24" s="1" t="n">
        <v>0.0423927</v>
      </c>
      <c r="S24" s="1" t="n">
        <v>0.05821</v>
      </c>
      <c r="T24" s="1" t="n">
        <v>0.0414262</v>
      </c>
      <c r="U24" s="1" t="n">
        <v>0.0435917</v>
      </c>
      <c r="V24" s="1" t="n">
        <v>0.0450072</v>
      </c>
      <c r="W24" s="1" t="n">
        <v>0.0491604</v>
      </c>
      <c r="X24" s="1" t="n">
        <v>0.0427854</v>
      </c>
      <c r="Y24" s="1" t="n">
        <v>0.0475937</v>
      </c>
      <c r="Z24" s="2"/>
      <c r="AA24" s="2" t="n">
        <f aca="false">(C24-$B24)*$A24</f>
        <v>-0.00529540000000008</v>
      </c>
      <c r="AB24" s="2" t="n">
        <f aca="false">(D24-$B24)*$A24</f>
        <v>0.3208986</v>
      </c>
      <c r="AC24" s="2" t="n">
        <f aca="false">(E24-$B24)*$A24</f>
        <v>0.0518209999999999</v>
      </c>
      <c r="AD24" s="2" t="n">
        <f aca="false">(F24-$B24)*$A24</f>
        <v>0.1409738</v>
      </c>
      <c r="AE24" s="2" t="n">
        <f aca="false">(G24-$B24)*$A24</f>
        <v>0.0544896</v>
      </c>
      <c r="AF24" s="2" t="n">
        <f aca="false">(H24-$B24)*$A24</f>
        <v>-0.0347446</v>
      </c>
      <c r="AG24" s="2" t="n">
        <f aca="false">(I24-$B24)*$A24</f>
        <v>0.1333024</v>
      </c>
      <c r="AH24" s="2" t="n">
        <f aca="false">(J24-$B24)*$A24</f>
        <v>0.00775720000000003</v>
      </c>
      <c r="AI24" s="2" t="n">
        <f aca="false">(K24-$B24)*$A24</f>
        <v>0.159016</v>
      </c>
      <c r="AJ24" s="2" t="n">
        <f aca="false">(L24-$B24)*$A24</f>
        <v>0.0458788</v>
      </c>
      <c r="AK24" s="2" t="n">
        <f aca="false">(M24-$B24)*$A24</f>
        <v>0.0775456</v>
      </c>
      <c r="AL24" s="2" t="n">
        <f aca="false">(N24-$B24)*$A24</f>
        <v>-0.0171996</v>
      </c>
      <c r="AM24" s="2" t="n">
        <f aca="false">(O24-$B24)*$A24</f>
        <v>-0.0288948</v>
      </c>
      <c r="AN24" s="2" t="n">
        <f aca="false">(P24-$B24)*$A24</f>
        <v>-0.00393140000000009</v>
      </c>
      <c r="AO24" s="2" t="n">
        <f aca="false">(Q24-$B24)*$A24</f>
        <v>0.1574342</v>
      </c>
      <c r="AP24" s="2" t="n">
        <f aca="false">(R24-$B24)*$A24</f>
        <v>-0.00387200000000006</v>
      </c>
      <c r="AQ24" s="2" t="n">
        <f aca="false">(S24-$B24)*$A24</f>
        <v>0.3441086</v>
      </c>
      <c r="AR24" s="2" t="n">
        <f aca="false">(T24-$B24)*$A24</f>
        <v>-0.025135</v>
      </c>
      <c r="AS24" s="2" t="n">
        <f aca="false">(U24-$B24)*$A24</f>
        <v>0.0225059999999999</v>
      </c>
      <c r="AT24" s="2" t="n">
        <f aca="false">(V24-$B24)*$A24</f>
        <v>0.0536469999999999</v>
      </c>
      <c r="AU24" s="2" t="n">
        <f aca="false">(W24-$B24)*$A24</f>
        <v>0.1450174</v>
      </c>
      <c r="AV24" s="2" t="n">
        <f aca="false">(X24-$B24)*$A24</f>
        <v>0.00476740000000001</v>
      </c>
      <c r="AW24" s="2" t="n">
        <f aca="false">(Y24-$B24)*$A24</f>
        <v>0.11055</v>
      </c>
    </row>
    <row r="25" customFormat="false" ht="13.8" hidden="false" customHeight="false" outlineLevel="0" collapsed="false">
      <c r="A25" s="1" t="n">
        <f aca="false">1+A24</f>
        <v>23</v>
      </c>
      <c r="B25" s="0" t="n">
        <v>0.0286458</v>
      </c>
      <c r="C25" s="1" t="n">
        <v>0.0287082</v>
      </c>
      <c r="D25" s="1" t="n">
        <v>0.042345</v>
      </c>
      <c r="E25" s="1" t="n">
        <v>0.0307362</v>
      </c>
      <c r="F25" s="1" t="n">
        <v>0.0358206</v>
      </c>
      <c r="G25" s="1" t="n">
        <v>0.0310691</v>
      </c>
      <c r="H25" s="1" t="n">
        <v>0.0275657</v>
      </c>
      <c r="I25" s="1" t="n">
        <v>0.0341202</v>
      </c>
      <c r="J25" s="1" t="n">
        <v>0.0291569</v>
      </c>
      <c r="K25" s="1" t="n">
        <v>0.0354518</v>
      </c>
      <c r="L25" s="1" t="n">
        <v>0.0305468</v>
      </c>
      <c r="M25" s="1" t="n">
        <v>0.0318659</v>
      </c>
      <c r="N25" s="1" t="n">
        <v>0.0281839</v>
      </c>
      <c r="O25" s="1" t="n">
        <v>0.0280484</v>
      </c>
      <c r="P25" s="1" t="n">
        <v>0.028796</v>
      </c>
      <c r="Q25" s="1" t="n">
        <v>0.0351701</v>
      </c>
      <c r="R25" s="1" t="n">
        <v>0.028675</v>
      </c>
      <c r="S25" s="1" t="n">
        <v>0.0438142</v>
      </c>
      <c r="T25" s="1" t="n">
        <v>0.028152</v>
      </c>
      <c r="U25" s="1" t="n">
        <v>0.0297646</v>
      </c>
      <c r="V25" s="1" t="n">
        <v>0.0314043</v>
      </c>
      <c r="W25" s="1" t="n">
        <v>0.035026</v>
      </c>
      <c r="X25" s="1" t="n">
        <v>0.0289069</v>
      </c>
      <c r="Y25" s="1" t="n">
        <v>0.0335142</v>
      </c>
      <c r="Z25" s="2"/>
      <c r="AA25" s="2" t="n">
        <f aca="false">(C25-$B25)*$A25</f>
        <v>0.00143520000000002</v>
      </c>
      <c r="AB25" s="2" t="n">
        <f aca="false">(D25-$B25)*$A25</f>
        <v>0.3150816</v>
      </c>
      <c r="AC25" s="2" t="n">
        <f aca="false">(E25-$B25)*$A25</f>
        <v>0.0480792000000001</v>
      </c>
      <c r="AD25" s="2" t="n">
        <f aca="false">(F25-$B25)*$A25</f>
        <v>0.1650204</v>
      </c>
      <c r="AE25" s="2" t="n">
        <f aca="false">(G25-$B25)*$A25</f>
        <v>0.0557359</v>
      </c>
      <c r="AF25" s="2" t="n">
        <f aca="false">(H25-$B25)*$A25</f>
        <v>-0.0248423</v>
      </c>
      <c r="AG25" s="2" t="n">
        <f aca="false">(I25-$B25)*$A25</f>
        <v>0.1259112</v>
      </c>
      <c r="AH25" s="2" t="n">
        <f aca="false">(J25-$B25)*$A25</f>
        <v>0.0117553</v>
      </c>
      <c r="AI25" s="2" t="n">
        <f aca="false">(K25-$B25)*$A25</f>
        <v>0.156538</v>
      </c>
      <c r="AJ25" s="2" t="n">
        <f aca="false">(L25-$B25)*$A25</f>
        <v>0.043723</v>
      </c>
      <c r="AK25" s="2" t="n">
        <f aca="false">(M25-$B25)*$A25</f>
        <v>0.0740623000000001</v>
      </c>
      <c r="AL25" s="2" t="n">
        <f aca="false">(N25-$B25)*$A25</f>
        <v>-0.0106236999999999</v>
      </c>
      <c r="AM25" s="2" t="n">
        <f aca="false">(O25-$B25)*$A25</f>
        <v>-0.0137402</v>
      </c>
      <c r="AN25" s="2" t="n">
        <f aca="false">(P25-$B25)*$A25</f>
        <v>0.00345459999999999</v>
      </c>
      <c r="AO25" s="2" t="n">
        <f aca="false">(Q25-$B25)*$A25</f>
        <v>0.1500589</v>
      </c>
      <c r="AP25" s="2" t="n">
        <f aca="false">(R25-$B25)*$A25</f>
        <v>0.000671600000000001</v>
      </c>
      <c r="AQ25" s="2" t="n">
        <f aca="false">(S25-$B25)*$A25</f>
        <v>0.3488732</v>
      </c>
      <c r="AR25" s="2" t="n">
        <f aca="false">(T25-$B25)*$A25</f>
        <v>-0.0113574</v>
      </c>
      <c r="AS25" s="2" t="n">
        <f aca="false">(U25-$B25)*$A25</f>
        <v>0.0257324</v>
      </c>
      <c r="AT25" s="2" t="n">
        <f aca="false">(V25-$B25)*$A25</f>
        <v>0.0634455000000001</v>
      </c>
      <c r="AU25" s="2" t="n">
        <f aca="false">(W25-$B25)*$A25</f>
        <v>0.1467446</v>
      </c>
      <c r="AV25" s="2" t="n">
        <f aca="false">(X25-$B25)*$A25</f>
        <v>0.00600530000000001</v>
      </c>
      <c r="AW25" s="2" t="n">
        <f aca="false">(Y25-$B25)*$A25</f>
        <v>0.1119732</v>
      </c>
    </row>
    <row r="26" customFormat="false" ht="13.8" hidden="false" customHeight="false" outlineLevel="0" collapsed="false">
      <c r="A26" s="1" t="n">
        <f aca="false">1+A25</f>
        <v>24</v>
      </c>
      <c r="B26" s="0" t="n">
        <v>0.019135</v>
      </c>
      <c r="C26" s="1" t="n">
        <v>0.0193835</v>
      </c>
      <c r="D26" s="1" t="n">
        <v>0.0316699</v>
      </c>
      <c r="E26" s="1" t="n">
        <v>0.0209494</v>
      </c>
      <c r="F26" s="1" t="n">
        <v>0.0267639</v>
      </c>
      <c r="G26" s="1" t="n">
        <v>0.0213552</v>
      </c>
      <c r="H26" s="1" t="n">
        <v>0.0185269</v>
      </c>
      <c r="I26" s="1" t="n">
        <v>0.0238759</v>
      </c>
      <c r="J26" s="1" t="n">
        <v>0.0197006</v>
      </c>
      <c r="K26" s="1" t="n">
        <v>0.0253795</v>
      </c>
      <c r="L26" s="1" t="n">
        <v>0.0208312</v>
      </c>
      <c r="M26" s="1" t="n">
        <v>0.0219236</v>
      </c>
      <c r="N26" s="1" t="n">
        <v>0.0188411</v>
      </c>
      <c r="O26" s="1" t="n">
        <v>0.0188662</v>
      </c>
      <c r="P26" s="1" t="n">
        <v>0.0195204</v>
      </c>
      <c r="Q26" s="1" t="n">
        <v>0.0249187</v>
      </c>
      <c r="R26" s="1" t="n">
        <v>0.0193041</v>
      </c>
      <c r="S26" s="1" t="n">
        <v>0.0334194</v>
      </c>
      <c r="T26" s="1" t="n">
        <v>0.0190665</v>
      </c>
      <c r="U26" s="1" t="n">
        <v>0.020299</v>
      </c>
      <c r="V26" s="1" t="n">
        <v>0.0219255</v>
      </c>
      <c r="W26" s="1" t="n">
        <v>0.0251307</v>
      </c>
      <c r="X26" s="1" t="n">
        <v>0.0194617</v>
      </c>
      <c r="Y26" s="1" t="n">
        <v>0.0236876</v>
      </c>
      <c r="Z26" s="2"/>
      <c r="AA26" s="2" t="n">
        <f aca="false">(C26-$B26)*$A26</f>
        <v>0.00596400000000005</v>
      </c>
      <c r="AB26" s="2" t="n">
        <f aca="false">(D26-$B26)*$A26</f>
        <v>0.3008376</v>
      </c>
      <c r="AC26" s="2" t="n">
        <f aca="false">(E26-$B26)*$A26</f>
        <v>0.0435456</v>
      </c>
      <c r="AD26" s="2" t="n">
        <f aca="false">(F26-$B26)*$A26</f>
        <v>0.1830936</v>
      </c>
      <c r="AE26" s="2" t="n">
        <f aca="false">(G26-$B26)*$A26</f>
        <v>0.0532848000000001</v>
      </c>
      <c r="AF26" s="2" t="n">
        <f aca="false">(H26-$B26)*$A26</f>
        <v>-0.0145944</v>
      </c>
      <c r="AG26" s="2" t="n">
        <f aca="false">(I26-$B26)*$A26</f>
        <v>0.1137816</v>
      </c>
      <c r="AH26" s="2" t="n">
        <f aca="false">(J26-$B26)*$A26</f>
        <v>0.0135744</v>
      </c>
      <c r="AI26" s="2" t="n">
        <f aca="false">(K26-$B26)*$A26</f>
        <v>0.149868</v>
      </c>
      <c r="AJ26" s="2" t="n">
        <f aca="false">(L26-$B26)*$A26</f>
        <v>0.0407088</v>
      </c>
      <c r="AK26" s="2" t="n">
        <f aca="false">(M26-$B26)*$A26</f>
        <v>0.0669264000000001</v>
      </c>
      <c r="AL26" s="2" t="n">
        <f aca="false">(N26-$B26)*$A26</f>
        <v>-0.00705359999999999</v>
      </c>
      <c r="AM26" s="2" t="n">
        <f aca="false">(O26-$B26)*$A26</f>
        <v>-0.00645119999999999</v>
      </c>
      <c r="AN26" s="2" t="n">
        <f aca="false">(P26-$B26)*$A26</f>
        <v>0.00924960000000002</v>
      </c>
      <c r="AO26" s="2" t="n">
        <f aca="false">(Q26-$B26)*$A26</f>
        <v>0.1388088</v>
      </c>
      <c r="AP26" s="2" t="n">
        <f aca="false">(R26-$B26)*$A26</f>
        <v>0.00405840000000005</v>
      </c>
      <c r="AQ26" s="2" t="n">
        <f aca="false">(S26-$B26)*$A26</f>
        <v>0.3428256</v>
      </c>
      <c r="AR26" s="2" t="n">
        <f aca="false">(T26-$B26)*$A26</f>
        <v>-0.00164399999999998</v>
      </c>
      <c r="AS26" s="2" t="n">
        <f aca="false">(U26-$B26)*$A26</f>
        <v>0.027936</v>
      </c>
      <c r="AT26" s="2" t="n">
        <f aca="false">(V26-$B26)*$A26</f>
        <v>0.066972</v>
      </c>
      <c r="AU26" s="2" t="n">
        <f aca="false">(W26-$B26)*$A26</f>
        <v>0.1438968</v>
      </c>
      <c r="AV26" s="2" t="n">
        <f aca="false">(X26-$B26)*$A26</f>
        <v>0.00784079999999998</v>
      </c>
      <c r="AW26" s="2" t="n">
        <f aca="false">(Y26-$B26)*$A26</f>
        <v>0.1092624</v>
      </c>
    </row>
    <row r="27" customFormat="false" ht="13.8" hidden="false" customHeight="false" outlineLevel="0" collapsed="false">
      <c r="A27" s="1" t="n">
        <f aca="false">1+A26</f>
        <v>25</v>
      </c>
      <c r="B27" s="0" t="n">
        <v>0.0126971</v>
      </c>
      <c r="C27" s="1" t="n">
        <v>0.0130245</v>
      </c>
      <c r="D27" s="1" t="n">
        <v>0.0237892</v>
      </c>
      <c r="E27" s="1" t="n">
        <v>0.0141444</v>
      </c>
      <c r="F27" s="1" t="n">
        <v>0.0203295</v>
      </c>
      <c r="G27" s="1" t="n">
        <v>0.0145282</v>
      </c>
      <c r="H27" s="1" t="n">
        <v>0.0122837</v>
      </c>
      <c r="I27" s="1" t="n">
        <v>0.0166846</v>
      </c>
      <c r="J27" s="1" t="n">
        <v>0.0131262</v>
      </c>
      <c r="K27" s="1" t="n">
        <v>0.0182912</v>
      </c>
      <c r="L27" s="1" t="n">
        <v>0.0141829</v>
      </c>
      <c r="M27" s="1" t="n">
        <v>0.0150003</v>
      </c>
      <c r="N27" s="1" t="n">
        <v>0.0123839</v>
      </c>
      <c r="O27" s="1" t="n">
        <v>0.0125762</v>
      </c>
      <c r="P27" s="1" t="n">
        <v>0.0130306</v>
      </c>
      <c r="Q27" s="1" t="n">
        <v>0.0177103</v>
      </c>
      <c r="R27" s="1" t="n">
        <v>0.0128932</v>
      </c>
      <c r="S27" s="1" t="n">
        <v>0.0258182</v>
      </c>
      <c r="T27" s="1" t="n">
        <v>0.0127877</v>
      </c>
      <c r="U27" s="1" t="n">
        <v>0.0137506</v>
      </c>
      <c r="V27" s="1" t="n">
        <v>0.0152616</v>
      </c>
      <c r="W27" s="1" t="n">
        <v>0.0182835</v>
      </c>
      <c r="X27" s="1" t="n">
        <v>0.0129595</v>
      </c>
      <c r="Y27" s="1" t="n">
        <v>0.0167202</v>
      </c>
      <c r="Z27" s="2"/>
      <c r="AA27" s="2" t="n">
        <f aca="false">(C27-$B27)*$A27</f>
        <v>0.00818500000000001</v>
      </c>
      <c r="AB27" s="2" t="n">
        <f aca="false">(D27-$B27)*$A27</f>
        <v>0.2773025</v>
      </c>
      <c r="AC27" s="2" t="n">
        <f aca="false">(E27-$B27)*$A27</f>
        <v>0.0361825</v>
      </c>
      <c r="AD27" s="2" t="n">
        <f aca="false">(F27-$B27)*$A27</f>
        <v>0.19081</v>
      </c>
      <c r="AE27" s="2" t="n">
        <f aca="false">(G27-$B27)*$A27</f>
        <v>0.0457775</v>
      </c>
      <c r="AF27" s="2" t="n">
        <f aca="false">(H27-$B27)*$A27</f>
        <v>-0.010335</v>
      </c>
      <c r="AG27" s="2" t="n">
        <f aca="false">(I27-$B27)*$A27</f>
        <v>0.0996875</v>
      </c>
      <c r="AH27" s="2" t="n">
        <f aca="false">(J27-$B27)*$A27</f>
        <v>0.0107275</v>
      </c>
      <c r="AI27" s="2" t="n">
        <f aca="false">(K27-$B27)*$A27</f>
        <v>0.1398525</v>
      </c>
      <c r="AJ27" s="2" t="n">
        <f aca="false">(L27-$B27)*$A27</f>
        <v>0.037145</v>
      </c>
      <c r="AK27" s="2" t="n">
        <f aca="false">(M27-$B27)*$A27</f>
        <v>0.05758</v>
      </c>
      <c r="AL27" s="2" t="n">
        <f aca="false">(N27-$B27)*$A27</f>
        <v>-0.00782999999999999</v>
      </c>
      <c r="AM27" s="2" t="n">
        <f aca="false">(O27-$B27)*$A27</f>
        <v>-0.0030225</v>
      </c>
      <c r="AN27" s="2" t="n">
        <f aca="false">(P27-$B27)*$A27</f>
        <v>0.00833750000000001</v>
      </c>
      <c r="AO27" s="2" t="n">
        <f aca="false">(Q27-$B27)*$A27</f>
        <v>0.12533</v>
      </c>
      <c r="AP27" s="2" t="n">
        <f aca="false">(R27-$B27)*$A27</f>
        <v>0.00490250000000003</v>
      </c>
      <c r="AQ27" s="2" t="n">
        <f aca="false">(S27-$B27)*$A27</f>
        <v>0.3280275</v>
      </c>
      <c r="AR27" s="2" t="n">
        <f aca="false">(T27-$B27)*$A27</f>
        <v>0.00226500000000004</v>
      </c>
      <c r="AS27" s="2" t="n">
        <f aca="false">(U27-$B27)*$A27</f>
        <v>0.0263375</v>
      </c>
      <c r="AT27" s="2" t="n">
        <f aca="false">(V27-$B27)*$A27</f>
        <v>0.0641125</v>
      </c>
      <c r="AU27" s="2" t="n">
        <f aca="false">(W27-$B27)*$A27</f>
        <v>0.13966</v>
      </c>
      <c r="AV27" s="2" t="n">
        <f aca="false">(X27-$B27)*$A27</f>
        <v>0.00656000000000003</v>
      </c>
      <c r="AW27" s="2" t="n">
        <f aca="false">(Y27-$B27)*$A27</f>
        <v>0.1005775</v>
      </c>
    </row>
    <row r="28" customFormat="false" ht="13.8" hidden="false" customHeight="false" outlineLevel="0" collapsed="false">
      <c r="A28" s="1" t="n">
        <f aca="false">1+A27</f>
        <v>26</v>
      </c>
      <c r="B28" s="0" t="n">
        <v>0.00831261</v>
      </c>
      <c r="C28" s="1" t="n">
        <v>0.00872164</v>
      </c>
      <c r="D28" s="1" t="n">
        <v>0.017948</v>
      </c>
      <c r="E28" s="1" t="n">
        <v>0.00943322</v>
      </c>
      <c r="F28" s="1" t="n">
        <v>0.0157016</v>
      </c>
      <c r="G28" s="1" t="n">
        <v>0.00980082</v>
      </c>
      <c r="H28" s="1" t="n">
        <v>0.00808696</v>
      </c>
      <c r="I28" s="1" t="n">
        <v>0.0116304</v>
      </c>
      <c r="J28" s="1" t="n">
        <v>0.00865883</v>
      </c>
      <c r="K28" s="1" t="n">
        <v>0.0131883</v>
      </c>
      <c r="L28" s="1" t="n">
        <v>0.00957728</v>
      </c>
      <c r="M28" s="1" t="n">
        <v>0.0101804</v>
      </c>
      <c r="N28" s="1" t="n">
        <v>0.00809175</v>
      </c>
      <c r="O28" s="1" t="n">
        <v>0.00829497</v>
      </c>
      <c r="P28" s="1" t="n">
        <v>0.00865352</v>
      </c>
      <c r="Q28" s="1" t="n">
        <v>0.0125753</v>
      </c>
      <c r="R28" s="1" t="n">
        <v>0.00854446</v>
      </c>
      <c r="S28" s="1" t="n">
        <v>0.0202281</v>
      </c>
      <c r="T28" s="1" t="n">
        <v>0.00858129</v>
      </c>
      <c r="U28" s="1" t="n">
        <v>0.00924672</v>
      </c>
      <c r="V28" s="1" t="n">
        <v>0.0106304</v>
      </c>
      <c r="W28" s="1" t="n">
        <v>0.013328</v>
      </c>
      <c r="X28" s="1" t="n">
        <v>0.00858767</v>
      </c>
      <c r="Y28" s="1" t="n">
        <v>0.0117839</v>
      </c>
      <c r="Z28" s="2"/>
      <c r="AA28" s="2" t="n">
        <f aca="false">(C28-$B28)*$A28</f>
        <v>0.01063478</v>
      </c>
      <c r="AB28" s="2" t="n">
        <f aca="false">(D28-$B28)*$A28</f>
        <v>0.25052014</v>
      </c>
      <c r="AC28" s="2" t="n">
        <f aca="false">(E28-$B28)*$A28</f>
        <v>0.02913586</v>
      </c>
      <c r="AD28" s="2" t="n">
        <f aca="false">(F28-$B28)*$A28</f>
        <v>0.19211374</v>
      </c>
      <c r="AE28" s="2" t="n">
        <f aca="false">(G28-$B28)*$A28</f>
        <v>0.03869346</v>
      </c>
      <c r="AF28" s="2" t="n">
        <f aca="false">(H28-$B28)*$A28</f>
        <v>-0.00586689999999998</v>
      </c>
      <c r="AG28" s="2" t="n">
        <f aca="false">(I28-$B28)*$A28</f>
        <v>0.08626254</v>
      </c>
      <c r="AH28" s="2" t="n">
        <f aca="false">(J28-$B28)*$A28</f>
        <v>0.00900171999999999</v>
      </c>
      <c r="AI28" s="2" t="n">
        <f aca="false">(K28-$B28)*$A28</f>
        <v>0.12676794</v>
      </c>
      <c r="AJ28" s="2" t="n">
        <f aca="false">(L28-$B28)*$A28</f>
        <v>0.03288142</v>
      </c>
      <c r="AK28" s="2" t="n">
        <f aca="false">(M28-$B28)*$A28</f>
        <v>0.04856254</v>
      </c>
      <c r="AL28" s="2" t="n">
        <f aca="false">(N28-$B28)*$A28</f>
        <v>-0.00574236</v>
      </c>
      <c r="AM28" s="2" t="n">
        <f aca="false">(O28-$B28)*$A28</f>
        <v>-0.000458639999999982</v>
      </c>
      <c r="AN28" s="2" t="n">
        <f aca="false">(P28-$B28)*$A28</f>
        <v>0.00886366</v>
      </c>
      <c r="AO28" s="2" t="n">
        <f aca="false">(Q28-$B28)*$A28</f>
        <v>0.11082994</v>
      </c>
      <c r="AP28" s="2" t="n">
        <f aca="false">(R28-$B28)*$A28</f>
        <v>0.00602810000000001</v>
      </c>
      <c r="AQ28" s="2" t="n">
        <f aca="false">(S28-$B28)*$A28</f>
        <v>0.30980274</v>
      </c>
      <c r="AR28" s="2" t="n">
        <f aca="false">(T28-$B28)*$A28</f>
        <v>0.00698568000000001</v>
      </c>
      <c r="AS28" s="2" t="n">
        <f aca="false">(U28-$B28)*$A28</f>
        <v>0.02428686</v>
      </c>
      <c r="AT28" s="2" t="n">
        <f aca="false">(V28-$B28)*$A28</f>
        <v>0.06026254</v>
      </c>
      <c r="AU28" s="2" t="n">
        <f aca="false">(W28-$B28)*$A28</f>
        <v>0.13040014</v>
      </c>
      <c r="AV28" s="2" t="n">
        <f aca="false">(X28-$B28)*$A28</f>
        <v>0.00715156000000002</v>
      </c>
      <c r="AW28" s="2" t="n">
        <f aca="false">(Y28-$B28)*$A28</f>
        <v>0.09025354</v>
      </c>
    </row>
    <row r="29" customFormat="false" ht="13.8" hidden="false" customHeight="false" outlineLevel="0" collapsed="false">
      <c r="A29" s="1" t="n">
        <f aca="false">1+A28</f>
        <v>27</v>
      </c>
      <c r="B29" s="0" t="n">
        <v>0.00538315</v>
      </c>
      <c r="C29" s="1" t="n">
        <v>0.00581536</v>
      </c>
      <c r="D29" s="1" t="n">
        <v>0.0135367</v>
      </c>
      <c r="E29" s="1" t="n">
        <v>0.00623362</v>
      </c>
      <c r="F29" s="1" t="n">
        <v>0.0123414</v>
      </c>
      <c r="G29" s="1" t="n">
        <v>0.00657853</v>
      </c>
      <c r="H29" s="1" t="n">
        <v>0.00527448</v>
      </c>
      <c r="I29" s="1" t="n">
        <v>0.00801445</v>
      </c>
      <c r="J29" s="1" t="n">
        <v>0.00562292</v>
      </c>
      <c r="K29" s="1" t="n">
        <v>0.00958382</v>
      </c>
      <c r="L29" s="1" t="n">
        <v>0.00642397</v>
      </c>
      <c r="M29" s="1" t="n">
        <v>0.00689792</v>
      </c>
      <c r="N29" s="1" t="n">
        <v>0.00520239</v>
      </c>
      <c r="O29" s="1" t="n">
        <v>0.00540146</v>
      </c>
      <c r="P29" s="1" t="n">
        <v>0.00567797</v>
      </c>
      <c r="Q29" s="1" t="n">
        <v>0.00888389</v>
      </c>
      <c r="R29" s="1" t="n">
        <v>0.00564495</v>
      </c>
      <c r="S29" s="1" t="n">
        <v>0.0159903</v>
      </c>
      <c r="T29" s="1" t="n">
        <v>0.00570286</v>
      </c>
      <c r="U29" s="1" t="n">
        <v>0.00616721</v>
      </c>
      <c r="V29" s="1" t="n">
        <v>0.00735891</v>
      </c>
      <c r="W29" s="1" t="n">
        <v>0.00979062</v>
      </c>
      <c r="X29" s="1" t="n">
        <v>0.00559519</v>
      </c>
      <c r="Y29" s="1" t="n">
        <v>0.00831389</v>
      </c>
      <c r="Z29" s="2"/>
      <c r="AA29" s="2" t="n">
        <f aca="false">(C29-$B29)*$A29</f>
        <v>0.01166967</v>
      </c>
      <c r="AB29" s="2" t="n">
        <f aca="false">(D29-$B29)*$A29</f>
        <v>0.22014585</v>
      </c>
      <c r="AC29" s="2" t="n">
        <f aca="false">(E29-$B29)*$A29</f>
        <v>0.02296269</v>
      </c>
      <c r="AD29" s="2" t="n">
        <f aca="false">(F29-$B29)*$A29</f>
        <v>0.18787275</v>
      </c>
      <c r="AE29" s="2" t="n">
        <f aca="false">(G29-$B29)*$A29</f>
        <v>0.03227526</v>
      </c>
      <c r="AF29" s="2" t="n">
        <f aca="false">(H29-$B29)*$A29</f>
        <v>-0.00293409</v>
      </c>
      <c r="AG29" s="2" t="n">
        <f aca="false">(I29-$B29)*$A29</f>
        <v>0.0710451</v>
      </c>
      <c r="AH29" s="2" t="n">
        <f aca="false">(J29-$B29)*$A29</f>
        <v>0.00647379000000001</v>
      </c>
      <c r="AI29" s="2" t="n">
        <f aca="false">(K29-$B29)*$A29</f>
        <v>0.11341809</v>
      </c>
      <c r="AJ29" s="2" t="n">
        <f aca="false">(L29-$B29)*$A29</f>
        <v>0.02810214</v>
      </c>
      <c r="AK29" s="2" t="n">
        <f aca="false">(M29-$B29)*$A29</f>
        <v>0.04089879</v>
      </c>
      <c r="AL29" s="2" t="n">
        <f aca="false">(N29-$B29)*$A29</f>
        <v>-0.00488051999999998</v>
      </c>
      <c r="AM29" s="2" t="n">
        <f aca="false">(O29-$B29)*$A29</f>
        <v>0.000494370000000015</v>
      </c>
      <c r="AN29" s="2" t="n">
        <f aca="false">(P29-$B29)*$A29</f>
        <v>0.00796014000000001</v>
      </c>
      <c r="AO29" s="2" t="n">
        <f aca="false">(Q29-$B29)*$A29</f>
        <v>0.09451998</v>
      </c>
      <c r="AP29" s="2" t="n">
        <f aca="false">(R29-$B29)*$A29</f>
        <v>0.00706860000000001</v>
      </c>
      <c r="AQ29" s="2" t="n">
        <f aca="false">(S29-$B29)*$A29</f>
        <v>0.28639305</v>
      </c>
      <c r="AR29" s="2" t="n">
        <f aca="false">(T29-$B29)*$A29</f>
        <v>0.00863217</v>
      </c>
      <c r="AS29" s="2" t="n">
        <f aca="false">(U29-$B29)*$A29</f>
        <v>0.02116962</v>
      </c>
      <c r="AT29" s="2" t="n">
        <f aca="false">(V29-$B29)*$A29</f>
        <v>0.05334552</v>
      </c>
      <c r="AU29" s="2" t="n">
        <f aca="false">(W29-$B29)*$A29</f>
        <v>0.11900169</v>
      </c>
      <c r="AV29" s="2" t="n">
        <f aca="false">(X29-$B29)*$A29</f>
        <v>0.00572508</v>
      </c>
      <c r="AW29" s="2" t="n">
        <f aca="false">(Y29-$B29)*$A29</f>
        <v>0.07912998</v>
      </c>
    </row>
    <row r="30" customFormat="false" ht="13.8" hidden="false" customHeight="false" outlineLevel="0" collapsed="false">
      <c r="A30" s="1" t="n">
        <f aca="false">1+A29</f>
        <v>28</v>
      </c>
      <c r="B30" s="0" t="n">
        <v>0.0034394</v>
      </c>
      <c r="C30" s="1" t="n">
        <v>0.00380074</v>
      </c>
      <c r="D30" s="1" t="n">
        <v>0.0101592</v>
      </c>
      <c r="E30" s="1" t="n">
        <v>0.00410698</v>
      </c>
      <c r="F30" s="1" t="n">
        <v>0.00979112</v>
      </c>
      <c r="G30" s="1" t="n">
        <v>0.00430353</v>
      </c>
      <c r="H30" s="1" t="n">
        <v>0.00342989</v>
      </c>
      <c r="I30" s="1" t="n">
        <v>0.00549033</v>
      </c>
      <c r="J30" s="1" t="n">
        <v>0.00358524</v>
      </c>
      <c r="K30" s="1" t="n">
        <v>0.0069545</v>
      </c>
      <c r="L30" s="1" t="n">
        <v>0.00428085</v>
      </c>
      <c r="M30" s="1" t="n">
        <v>0.00464013</v>
      </c>
      <c r="N30" s="1" t="n">
        <v>0.00333886</v>
      </c>
      <c r="O30" s="1" t="n">
        <v>0.00346126</v>
      </c>
      <c r="P30" s="1" t="n">
        <v>0.00368731</v>
      </c>
      <c r="Q30" s="1" t="n">
        <v>0.00623814</v>
      </c>
      <c r="R30" s="1" t="n">
        <v>0.00371392</v>
      </c>
      <c r="S30" s="1" t="n">
        <v>0.0127589</v>
      </c>
      <c r="T30" s="1" t="n">
        <v>0.00374129</v>
      </c>
      <c r="U30" s="1" t="n">
        <v>0.00406587</v>
      </c>
      <c r="V30" s="1" t="n">
        <v>0.00510543</v>
      </c>
      <c r="W30" s="1" t="n">
        <v>0.00719596</v>
      </c>
      <c r="X30" s="1" t="n">
        <v>0.00362575</v>
      </c>
      <c r="Y30" s="1" t="n">
        <v>0.00585758</v>
      </c>
      <c r="Z30" s="2"/>
      <c r="AA30" s="2" t="n">
        <f aca="false">(C30-$B30)*$A30</f>
        <v>0.01011752</v>
      </c>
      <c r="AB30" s="2" t="n">
        <f aca="false">(D30-$B30)*$A30</f>
        <v>0.1881544</v>
      </c>
      <c r="AC30" s="2" t="n">
        <f aca="false">(E30-$B30)*$A30</f>
        <v>0.01869224</v>
      </c>
      <c r="AD30" s="2" t="n">
        <f aca="false">(F30-$B30)*$A30</f>
        <v>0.17784816</v>
      </c>
      <c r="AE30" s="2" t="n">
        <f aca="false">(G30-$B30)*$A30</f>
        <v>0.02419564</v>
      </c>
      <c r="AF30" s="2" t="n">
        <f aca="false">(H30-$B30)*$A30</f>
        <v>-0.000266279999999997</v>
      </c>
      <c r="AG30" s="2" t="n">
        <f aca="false">(I30-$B30)*$A30</f>
        <v>0.05742604</v>
      </c>
      <c r="AH30" s="2" t="n">
        <f aca="false">(J30-$B30)*$A30</f>
        <v>0.00408352</v>
      </c>
      <c r="AI30" s="2" t="n">
        <f aca="false">(K30-$B30)*$A30</f>
        <v>0.0984228</v>
      </c>
      <c r="AJ30" s="2" t="n">
        <f aca="false">(L30-$B30)*$A30</f>
        <v>0.0235606</v>
      </c>
      <c r="AK30" s="2" t="n">
        <f aca="false">(M30-$B30)*$A30</f>
        <v>0.03362044</v>
      </c>
      <c r="AL30" s="2" t="n">
        <f aca="false">(N30-$B30)*$A30</f>
        <v>-0.00281512</v>
      </c>
      <c r="AM30" s="2" t="n">
        <f aca="false">(O30-$B30)*$A30</f>
        <v>0.000612079999999996</v>
      </c>
      <c r="AN30" s="2" t="n">
        <f aca="false">(P30-$B30)*$A30</f>
        <v>0.00694148</v>
      </c>
      <c r="AO30" s="2" t="n">
        <f aca="false">(Q30-$B30)*$A30</f>
        <v>0.07836472</v>
      </c>
      <c r="AP30" s="2" t="n">
        <f aca="false">(R30-$B30)*$A30</f>
        <v>0.00768656</v>
      </c>
      <c r="AQ30" s="2" t="n">
        <f aca="false">(S30-$B30)*$A30</f>
        <v>0.260946</v>
      </c>
      <c r="AR30" s="2" t="n">
        <f aca="false">(T30-$B30)*$A30</f>
        <v>0.00845292</v>
      </c>
      <c r="AS30" s="2" t="n">
        <f aca="false">(U30-$B30)*$A30</f>
        <v>0.01754116</v>
      </c>
      <c r="AT30" s="2" t="n">
        <f aca="false">(V30-$B30)*$A30</f>
        <v>0.04664884</v>
      </c>
      <c r="AU30" s="2" t="n">
        <f aca="false">(W30-$B30)*$A30</f>
        <v>0.10518368</v>
      </c>
      <c r="AV30" s="2" t="n">
        <f aca="false">(X30-$B30)*$A30</f>
        <v>0.0052178</v>
      </c>
      <c r="AW30" s="2" t="n">
        <f aca="false">(Y30-$B30)*$A30</f>
        <v>0.06770904</v>
      </c>
    </row>
    <row r="31" customFormat="false" ht="13.8" hidden="false" customHeight="false" outlineLevel="0" collapsed="false">
      <c r="A31" s="1" t="n">
        <f aca="false">1+A30</f>
        <v>29</v>
      </c>
      <c r="B31" s="0" t="n">
        <v>0.00215872</v>
      </c>
      <c r="C31" s="1" t="n">
        <v>0.0024716</v>
      </c>
      <c r="D31" s="1" t="n">
        <v>0.00752256</v>
      </c>
      <c r="E31" s="1" t="n">
        <v>0.00267236</v>
      </c>
      <c r="F31" s="1" t="n">
        <v>0.00778129</v>
      </c>
      <c r="G31" s="1" t="n">
        <v>0.00277943</v>
      </c>
      <c r="H31" s="1" t="n">
        <v>0.0022229</v>
      </c>
      <c r="I31" s="1" t="n">
        <v>0.00371652</v>
      </c>
      <c r="J31" s="1" t="n">
        <v>0.00224893</v>
      </c>
      <c r="K31" s="1" t="n">
        <v>0.0050237</v>
      </c>
      <c r="L31" s="1" t="n">
        <v>0.00280518</v>
      </c>
      <c r="M31" s="1" t="n">
        <v>0.00313112</v>
      </c>
      <c r="N31" s="1" t="n">
        <v>0.00209449</v>
      </c>
      <c r="O31" s="1" t="n">
        <v>0.00219645</v>
      </c>
      <c r="P31" s="1" t="n">
        <v>0.00236649</v>
      </c>
      <c r="Q31" s="1" t="n">
        <v>0.00434523</v>
      </c>
      <c r="R31" s="1" t="n">
        <v>0.00241978</v>
      </c>
      <c r="S31" s="1" t="n">
        <v>0.0100752</v>
      </c>
      <c r="T31" s="1" t="n">
        <v>0.00244153</v>
      </c>
      <c r="U31" s="1" t="n">
        <v>0.00265361</v>
      </c>
      <c r="V31" s="1" t="n">
        <v>0.00351294</v>
      </c>
      <c r="W31" s="1" t="n">
        <v>0.00527864</v>
      </c>
      <c r="X31" s="1" t="n">
        <v>0.00233248</v>
      </c>
      <c r="Y31" s="1" t="n">
        <v>0.00409415</v>
      </c>
      <c r="Z31" s="2"/>
      <c r="AA31" s="2" t="n">
        <f aca="false">(C31-$B31)*$A31</f>
        <v>0.00907352000000001</v>
      </c>
      <c r="AB31" s="2" t="n">
        <f aca="false">(D31-$B31)*$A31</f>
        <v>0.15555136</v>
      </c>
      <c r="AC31" s="2" t="n">
        <f aca="false">(E31-$B31)*$A31</f>
        <v>0.01489556</v>
      </c>
      <c r="AD31" s="2" t="n">
        <f aca="false">(F31-$B31)*$A31</f>
        <v>0.16305453</v>
      </c>
      <c r="AE31" s="2" t="n">
        <f aca="false">(G31-$B31)*$A31</f>
        <v>0.01800059</v>
      </c>
      <c r="AF31" s="2" t="n">
        <f aca="false">(H31-$B31)*$A31</f>
        <v>0.00186122</v>
      </c>
      <c r="AG31" s="2" t="n">
        <f aca="false">(I31-$B31)*$A31</f>
        <v>0.0451762</v>
      </c>
      <c r="AH31" s="2" t="n">
        <f aca="false">(J31-$B31)*$A31</f>
        <v>0.00261609000000001</v>
      </c>
      <c r="AI31" s="2" t="n">
        <f aca="false">(K31-$B31)*$A31</f>
        <v>0.08308442</v>
      </c>
      <c r="AJ31" s="2" t="n">
        <f aca="false">(L31-$B31)*$A31</f>
        <v>0.01874734</v>
      </c>
      <c r="AK31" s="2" t="n">
        <f aca="false">(M31-$B31)*$A31</f>
        <v>0.0281996</v>
      </c>
      <c r="AL31" s="2" t="n">
        <f aca="false">(N31-$B31)*$A31</f>
        <v>-0.00186266999999999</v>
      </c>
      <c r="AM31" s="2" t="n">
        <f aca="false">(O31-$B31)*$A31</f>
        <v>0.00109417</v>
      </c>
      <c r="AN31" s="2" t="n">
        <f aca="false">(P31-$B31)*$A31</f>
        <v>0.00602533000000001</v>
      </c>
      <c r="AO31" s="2" t="n">
        <f aca="false">(Q31-$B31)*$A31</f>
        <v>0.06340879</v>
      </c>
      <c r="AP31" s="2" t="n">
        <f aca="false">(R31-$B31)*$A31</f>
        <v>0.00757074</v>
      </c>
      <c r="AQ31" s="2" t="n">
        <f aca="false">(S31-$B31)*$A31</f>
        <v>0.22957792</v>
      </c>
      <c r="AR31" s="2" t="n">
        <f aca="false">(T31-$B31)*$A31</f>
        <v>0.00820149</v>
      </c>
      <c r="AS31" s="2" t="n">
        <f aca="false">(U31-$B31)*$A31</f>
        <v>0.01435181</v>
      </c>
      <c r="AT31" s="2" t="n">
        <f aca="false">(V31-$B31)*$A31</f>
        <v>0.03927238</v>
      </c>
      <c r="AU31" s="2" t="n">
        <f aca="false">(W31-$B31)*$A31</f>
        <v>0.09047768</v>
      </c>
      <c r="AV31" s="2" t="n">
        <f aca="false">(X31-$B31)*$A31</f>
        <v>0.00503904000000001</v>
      </c>
      <c r="AW31" s="2" t="n">
        <f aca="false">(Y31-$B31)*$A31</f>
        <v>0.05612747</v>
      </c>
    </row>
    <row r="32" customFormat="false" ht="13.8" hidden="false" customHeight="false" outlineLevel="0" collapsed="false">
      <c r="A32" s="1" t="n">
        <f aca="false">1+A31</f>
        <v>30</v>
      </c>
      <c r="B32" s="0" t="n">
        <v>0.00133629</v>
      </c>
      <c r="C32" s="1" t="n">
        <v>0.00158196</v>
      </c>
      <c r="D32" s="1" t="n">
        <v>0.00550058</v>
      </c>
      <c r="E32" s="1" t="n">
        <v>0.00171312</v>
      </c>
      <c r="F32" s="1" t="n">
        <v>0.00619256</v>
      </c>
      <c r="G32" s="1" t="n">
        <v>0.00176071</v>
      </c>
      <c r="H32" s="1" t="n">
        <v>0.00145639</v>
      </c>
      <c r="I32" s="1" t="n">
        <v>0.00248032</v>
      </c>
      <c r="J32" s="1" t="n">
        <v>0.0013837</v>
      </c>
      <c r="K32" s="1" t="n">
        <v>0.00359002</v>
      </c>
      <c r="L32" s="1" t="n">
        <v>0.0018238</v>
      </c>
      <c r="M32" s="1" t="n">
        <v>0.00209361</v>
      </c>
      <c r="N32" s="1" t="n">
        <v>0.00131482</v>
      </c>
      <c r="O32" s="1" t="n">
        <v>0.00137614</v>
      </c>
      <c r="P32" s="1" t="n">
        <v>0.00148921</v>
      </c>
      <c r="Q32" s="1" t="n">
        <v>0.00294597</v>
      </c>
      <c r="R32" s="1" t="n">
        <v>0.00158702</v>
      </c>
      <c r="S32" s="1" t="n">
        <v>0.00797736</v>
      </c>
      <c r="T32" s="1" t="n">
        <v>0.00158024</v>
      </c>
      <c r="U32" s="1" t="n">
        <v>0.00170728</v>
      </c>
      <c r="V32" s="1" t="n">
        <v>0.00239713</v>
      </c>
      <c r="W32" s="1" t="n">
        <v>0.00383101</v>
      </c>
      <c r="X32" s="1" t="n">
        <v>0.00147636</v>
      </c>
      <c r="Y32" s="1" t="n">
        <v>0.00284446</v>
      </c>
      <c r="Z32" s="2"/>
      <c r="AA32" s="2" t="n">
        <f aca="false">(C32-$B32)*$A32</f>
        <v>0.0073701</v>
      </c>
      <c r="AB32" s="2" t="n">
        <f aca="false">(D32-$B32)*$A32</f>
        <v>0.1249287</v>
      </c>
      <c r="AC32" s="2" t="n">
        <f aca="false">(E32-$B32)*$A32</f>
        <v>0.0113049</v>
      </c>
      <c r="AD32" s="2" t="n">
        <f aca="false">(F32-$B32)*$A32</f>
        <v>0.1456881</v>
      </c>
      <c r="AE32" s="2" t="n">
        <f aca="false">(G32-$B32)*$A32</f>
        <v>0.0127326</v>
      </c>
      <c r="AF32" s="2" t="n">
        <f aca="false">(H32-$B32)*$A32</f>
        <v>0.003603</v>
      </c>
      <c r="AG32" s="2" t="n">
        <f aca="false">(I32-$B32)*$A32</f>
        <v>0.0343209</v>
      </c>
      <c r="AH32" s="2" t="n">
        <f aca="false">(J32-$B32)*$A32</f>
        <v>0.0014223</v>
      </c>
      <c r="AI32" s="2" t="n">
        <f aca="false">(K32-$B32)*$A32</f>
        <v>0.0676119</v>
      </c>
      <c r="AJ32" s="2" t="n">
        <f aca="false">(L32-$B32)*$A32</f>
        <v>0.0146253</v>
      </c>
      <c r="AK32" s="2" t="n">
        <f aca="false">(M32-$B32)*$A32</f>
        <v>0.0227196</v>
      </c>
      <c r="AL32" s="2" t="n">
        <f aca="false">(N32-$B32)*$A32</f>
        <v>-0.0006441</v>
      </c>
      <c r="AM32" s="2" t="n">
        <f aca="false">(O32-$B32)*$A32</f>
        <v>0.0011955</v>
      </c>
      <c r="AN32" s="2" t="n">
        <f aca="false">(P32-$B32)*$A32</f>
        <v>0.0045876</v>
      </c>
      <c r="AO32" s="2" t="n">
        <f aca="false">(Q32-$B32)*$A32</f>
        <v>0.0482904</v>
      </c>
      <c r="AP32" s="2" t="n">
        <f aca="false">(R32-$B32)*$A32</f>
        <v>0.0075219</v>
      </c>
      <c r="AQ32" s="2" t="n">
        <f aca="false">(S32-$B32)*$A32</f>
        <v>0.1992321</v>
      </c>
      <c r="AR32" s="2" t="n">
        <f aca="false">(T32-$B32)*$A32</f>
        <v>0.0073185</v>
      </c>
      <c r="AS32" s="2" t="n">
        <f aca="false">(U32-$B32)*$A32</f>
        <v>0.0111297</v>
      </c>
      <c r="AT32" s="2" t="n">
        <f aca="false">(V32-$B32)*$A32</f>
        <v>0.0318252</v>
      </c>
      <c r="AU32" s="2" t="n">
        <f aca="false">(W32-$B32)*$A32</f>
        <v>0.0748416</v>
      </c>
      <c r="AV32" s="2" t="n">
        <f aca="false">(X32-$B32)*$A32</f>
        <v>0.0042021</v>
      </c>
      <c r="AW32" s="2" t="n">
        <f aca="false">(Y32-$B32)*$A32</f>
        <v>0.0452451</v>
      </c>
    </row>
    <row r="33" customFormat="false" ht="13.8" hidden="false" customHeight="false" outlineLevel="0" collapsed="false">
      <c r="A33" s="1" t="n">
        <f aca="false">1+A32</f>
        <v>31</v>
      </c>
      <c r="B33" s="0" t="n">
        <v>0.000815885</v>
      </c>
      <c r="C33" s="1" t="n">
        <v>0.000991335</v>
      </c>
      <c r="D33" s="1" t="n">
        <v>0.00395387</v>
      </c>
      <c r="E33" s="1" t="n">
        <v>0.00108302</v>
      </c>
      <c r="F33" s="1" t="n">
        <v>0.00487124</v>
      </c>
      <c r="G33" s="1" t="n">
        <v>0.00110368</v>
      </c>
      <c r="H33" s="1" t="n">
        <v>0.000953615</v>
      </c>
      <c r="I33" s="1" t="n">
        <v>0.00163582</v>
      </c>
      <c r="J33" s="1" t="n">
        <v>0.000827672</v>
      </c>
      <c r="K33" s="1" t="n">
        <v>0.0025298</v>
      </c>
      <c r="L33" s="1" t="n">
        <v>0.00115626</v>
      </c>
      <c r="M33" s="1" t="n">
        <v>0.00140258</v>
      </c>
      <c r="N33" s="1" t="n">
        <v>0.000809887</v>
      </c>
      <c r="O33" s="1" t="n">
        <v>0.000856339</v>
      </c>
      <c r="P33" s="1" t="n">
        <v>0.000930654</v>
      </c>
      <c r="Q33" s="1" t="n">
        <v>0.00197667</v>
      </c>
      <c r="R33" s="1" t="n">
        <v>0.00102188</v>
      </c>
      <c r="S33" s="1" t="n">
        <v>0.00622221</v>
      </c>
      <c r="T33" s="1" t="n">
        <v>0.000996961</v>
      </c>
      <c r="U33" s="1" t="n">
        <v>0.00105601</v>
      </c>
      <c r="V33" s="1" t="n">
        <v>0.00161841</v>
      </c>
      <c r="W33" s="1" t="n">
        <v>0.00276097</v>
      </c>
      <c r="X33" s="1" t="n">
        <v>0.000923991</v>
      </c>
      <c r="Y33" s="1" t="n">
        <v>0.00196146</v>
      </c>
      <c r="Z33" s="2"/>
      <c r="AA33" s="2" t="n">
        <f aca="false">(C33-$B33)*$A33</f>
        <v>0.00543895</v>
      </c>
      <c r="AB33" s="2" t="n">
        <f aca="false">(D33-$B33)*$A33</f>
        <v>0.097277535</v>
      </c>
      <c r="AC33" s="2" t="n">
        <f aca="false">(E33-$B33)*$A33</f>
        <v>0.008281185</v>
      </c>
      <c r="AD33" s="2" t="n">
        <f aca="false">(F33-$B33)*$A33</f>
        <v>0.125716005</v>
      </c>
      <c r="AE33" s="2" t="n">
        <f aca="false">(G33-$B33)*$A33</f>
        <v>0.008921645</v>
      </c>
      <c r="AF33" s="2" t="n">
        <f aca="false">(H33-$B33)*$A33</f>
        <v>0.00426963</v>
      </c>
      <c r="AG33" s="2" t="n">
        <f aca="false">(I33-$B33)*$A33</f>
        <v>0.025417985</v>
      </c>
      <c r="AH33" s="2" t="n">
        <f aca="false">(J33-$B33)*$A33</f>
        <v>0.000365396999999999</v>
      </c>
      <c r="AI33" s="2" t="n">
        <f aca="false">(K33-$B33)*$A33</f>
        <v>0.053131365</v>
      </c>
      <c r="AJ33" s="2" t="n">
        <f aca="false">(L33-$B33)*$A33</f>
        <v>0.010551625</v>
      </c>
      <c r="AK33" s="2" t="n">
        <f aca="false">(M33-$B33)*$A33</f>
        <v>0.018187545</v>
      </c>
      <c r="AL33" s="2" t="n">
        <f aca="false">(N33-$B33)*$A33</f>
        <v>-0.000185938</v>
      </c>
      <c r="AM33" s="2" t="n">
        <f aca="false">(O33-$B33)*$A33</f>
        <v>0.001254074</v>
      </c>
      <c r="AN33" s="2" t="n">
        <f aca="false">(P33-$B33)*$A33</f>
        <v>0.003557839</v>
      </c>
      <c r="AO33" s="2" t="n">
        <f aca="false">(Q33-$B33)*$A33</f>
        <v>0.035984335</v>
      </c>
      <c r="AP33" s="2" t="n">
        <f aca="false">(R33-$B33)*$A33</f>
        <v>0.006385845</v>
      </c>
      <c r="AQ33" s="2" t="n">
        <f aca="false">(S33-$B33)*$A33</f>
        <v>0.167596075</v>
      </c>
      <c r="AR33" s="2" t="n">
        <f aca="false">(T33-$B33)*$A33</f>
        <v>0.005613356</v>
      </c>
      <c r="AS33" s="2" t="n">
        <f aca="false">(U33-$B33)*$A33</f>
        <v>0.007443875</v>
      </c>
      <c r="AT33" s="2" t="n">
        <f aca="false">(V33-$B33)*$A33</f>
        <v>0.024878275</v>
      </c>
      <c r="AU33" s="2" t="n">
        <f aca="false">(W33-$B33)*$A33</f>
        <v>0.060297635</v>
      </c>
      <c r="AV33" s="2" t="n">
        <f aca="false">(X33-$B33)*$A33</f>
        <v>0.003351286</v>
      </c>
      <c r="AW33" s="2" t="n">
        <f aca="false">(Y33-$B33)*$A33</f>
        <v>0.035512825</v>
      </c>
    </row>
    <row r="34" customFormat="false" ht="13.8" hidden="false" customHeight="false" outlineLevel="0" collapsed="false">
      <c r="A34" s="1" t="n">
        <f aca="false">1+A33</f>
        <v>32</v>
      </c>
      <c r="B34" s="0" t="n">
        <v>0.000504848</v>
      </c>
      <c r="C34" s="1" t="n">
        <v>0.000604326</v>
      </c>
      <c r="D34" s="1" t="n">
        <v>0.00277299</v>
      </c>
      <c r="E34" s="1" t="n">
        <v>0.000683077</v>
      </c>
      <c r="F34" s="1" t="n">
        <v>0.0038217</v>
      </c>
      <c r="G34" s="1" t="n">
        <v>0.000679507</v>
      </c>
      <c r="H34" s="1" t="n">
        <v>0.000631957</v>
      </c>
      <c r="I34" s="1" t="n">
        <v>0.00105123</v>
      </c>
      <c r="J34" s="1" t="n">
        <v>0.000504436</v>
      </c>
      <c r="K34" s="1" t="n">
        <v>0.001747</v>
      </c>
      <c r="L34" s="1" t="n">
        <v>0.000723608</v>
      </c>
      <c r="M34" s="1" t="n">
        <v>0.000913149</v>
      </c>
      <c r="N34" s="1" t="n">
        <v>0.000486695</v>
      </c>
      <c r="O34" s="1" t="n">
        <v>0.000511804</v>
      </c>
      <c r="P34" s="1" t="n">
        <v>0.000573529</v>
      </c>
      <c r="Q34" s="1" t="n">
        <v>0.00126479</v>
      </c>
      <c r="R34" s="1" t="n">
        <v>0.000655739</v>
      </c>
      <c r="S34" s="1" t="n">
        <v>0.00480575</v>
      </c>
      <c r="T34" s="1" t="n">
        <v>0.000628918</v>
      </c>
      <c r="U34" s="1" t="n">
        <v>0.000647981</v>
      </c>
      <c r="V34" s="1" t="n">
        <v>0.00109263</v>
      </c>
      <c r="W34" s="1" t="n">
        <v>0.00194515</v>
      </c>
      <c r="X34" s="1" t="n">
        <v>0.000572346</v>
      </c>
      <c r="Y34" s="1" t="n">
        <v>0.00132483</v>
      </c>
      <c r="Z34" s="2"/>
      <c r="AA34" s="2" t="n">
        <f aca="false">(C34-$B34)*$A34</f>
        <v>0.003183296</v>
      </c>
      <c r="AB34" s="2" t="n">
        <f aca="false">(D34-$B34)*$A34</f>
        <v>0.072580544</v>
      </c>
      <c r="AC34" s="2" t="n">
        <f aca="false">(E34-$B34)*$A34</f>
        <v>0.005703328</v>
      </c>
      <c r="AD34" s="2" t="n">
        <f aca="false">(F34-$B34)*$A34</f>
        <v>0.106139264</v>
      </c>
      <c r="AE34" s="2" t="n">
        <f aca="false">(G34-$B34)*$A34</f>
        <v>0.005589088</v>
      </c>
      <c r="AF34" s="2" t="n">
        <f aca="false">(H34-$B34)*$A34</f>
        <v>0.004067488</v>
      </c>
      <c r="AG34" s="2" t="n">
        <f aca="false">(I34-$B34)*$A34</f>
        <v>0.017484224</v>
      </c>
      <c r="AH34" s="2" t="n">
        <f aca="false">(J34-$B34)*$A34</f>
        <v>-1.31839999999994E-005</v>
      </c>
      <c r="AI34" s="2" t="n">
        <f aca="false">(K34-$B34)*$A34</f>
        <v>0.039748864</v>
      </c>
      <c r="AJ34" s="2" t="n">
        <f aca="false">(L34-$B34)*$A34</f>
        <v>0.00700032</v>
      </c>
      <c r="AK34" s="2" t="n">
        <f aca="false">(M34-$B34)*$A34</f>
        <v>0.013065632</v>
      </c>
      <c r="AL34" s="2" t="n">
        <f aca="false">(N34-$B34)*$A34</f>
        <v>-0.000580896000000001</v>
      </c>
      <c r="AM34" s="2" t="n">
        <f aca="false">(O34-$B34)*$A34</f>
        <v>0.000222592000000001</v>
      </c>
      <c r="AN34" s="2" t="n">
        <f aca="false">(P34-$B34)*$A34</f>
        <v>0.002197792</v>
      </c>
      <c r="AO34" s="2" t="n">
        <f aca="false">(Q34-$B34)*$A34</f>
        <v>0.024318144</v>
      </c>
      <c r="AP34" s="2" t="n">
        <f aca="false">(R34-$B34)*$A34</f>
        <v>0.004828512</v>
      </c>
      <c r="AQ34" s="2" t="n">
        <f aca="false">(S34-$B34)*$A34</f>
        <v>0.137628864</v>
      </c>
      <c r="AR34" s="2" t="n">
        <f aca="false">(T34-$B34)*$A34</f>
        <v>0.00397024</v>
      </c>
      <c r="AS34" s="2" t="n">
        <f aca="false">(U34-$B34)*$A34</f>
        <v>0.004580256</v>
      </c>
      <c r="AT34" s="2" t="n">
        <f aca="false">(V34-$B34)*$A34</f>
        <v>0.018809024</v>
      </c>
      <c r="AU34" s="2" t="n">
        <f aca="false">(W34-$B34)*$A34</f>
        <v>0.046089664</v>
      </c>
      <c r="AV34" s="2" t="n">
        <f aca="false">(X34-$B34)*$A34</f>
        <v>0.002159936</v>
      </c>
      <c r="AW34" s="2" t="n">
        <f aca="false">(Y34-$B34)*$A34</f>
        <v>0.026239424</v>
      </c>
    </row>
    <row r="35" customFormat="false" ht="13.8" hidden="false" customHeight="false" outlineLevel="0" collapsed="false">
      <c r="A35" s="1" t="n">
        <f aca="false">1+A34</f>
        <v>33</v>
      </c>
      <c r="B35" s="0" t="n">
        <v>0.000303008</v>
      </c>
      <c r="C35" s="1" t="n">
        <v>0.000369751</v>
      </c>
      <c r="D35" s="1" t="n">
        <v>0.00190296</v>
      </c>
      <c r="E35" s="1" t="n">
        <v>0.000423811</v>
      </c>
      <c r="F35" s="1" t="n">
        <v>0.00292617</v>
      </c>
      <c r="G35" s="1" t="n">
        <v>0.000402897</v>
      </c>
      <c r="H35" s="1" t="n">
        <v>0.000423707</v>
      </c>
      <c r="I35" s="1" t="n">
        <v>0.000666405</v>
      </c>
      <c r="J35" s="1" t="n">
        <v>0.000301687</v>
      </c>
      <c r="K35" s="1" t="n">
        <v>0.00116426</v>
      </c>
      <c r="L35" s="1" t="n">
        <v>0.000441667</v>
      </c>
      <c r="M35" s="1" t="n">
        <v>0.000603238</v>
      </c>
      <c r="N35" s="1" t="n">
        <v>0.00029012</v>
      </c>
      <c r="O35" s="1" t="n">
        <v>0.000302066</v>
      </c>
      <c r="P35" s="1" t="n">
        <v>0.000343397</v>
      </c>
      <c r="Q35" s="1" t="n">
        <v>0.000803952</v>
      </c>
      <c r="R35" s="1" t="n">
        <v>0.000419448</v>
      </c>
      <c r="S35" s="1" t="n">
        <v>0.00365551</v>
      </c>
      <c r="T35" s="1" t="n">
        <v>0.00038013</v>
      </c>
      <c r="U35" s="1" t="n">
        <v>0.000394823</v>
      </c>
      <c r="V35" s="1" t="n">
        <v>0.000742346</v>
      </c>
      <c r="W35" s="1" t="n">
        <v>0.00134204</v>
      </c>
      <c r="X35" s="1" t="n">
        <v>0.000349452</v>
      </c>
      <c r="Y35" s="1" t="n">
        <v>0.000893404</v>
      </c>
      <c r="AA35" s="2" t="n">
        <f aca="false">(C35-$B35)*$A35</f>
        <v>0.002202519</v>
      </c>
      <c r="AB35" s="2" t="n">
        <f aca="false">(D35-$B35)*$A35</f>
        <v>0.052798416</v>
      </c>
      <c r="AC35" s="2" t="n">
        <f aca="false">(E35-$B35)*$A35</f>
        <v>0.003986499</v>
      </c>
      <c r="AD35" s="2" t="n">
        <f aca="false">(F35-$B35)*$A35</f>
        <v>0.086564346</v>
      </c>
      <c r="AE35" s="2" t="n">
        <f aca="false">(G35-$B35)*$A35</f>
        <v>0.003296337</v>
      </c>
      <c r="AF35" s="2" t="n">
        <f aca="false">(H35-$B35)*$A35</f>
        <v>0.003983067</v>
      </c>
      <c r="AG35" s="2" t="n">
        <f aca="false">(I35-$B35)*$A35</f>
        <v>0.011992101</v>
      </c>
      <c r="AH35" s="2" t="n">
        <f aca="false">(J35-$B35)*$A35</f>
        <v>-4.35930000000012E-005</v>
      </c>
      <c r="AI35" s="2" t="n">
        <f aca="false">(K35-$B35)*$A35</f>
        <v>0.028421316</v>
      </c>
      <c r="AJ35" s="2" t="n">
        <f aca="false">(L35-$B35)*$A35</f>
        <v>0.004575747</v>
      </c>
      <c r="AK35" s="2" t="n">
        <f aca="false">(M35-$B35)*$A35</f>
        <v>0.00990759</v>
      </c>
      <c r="AL35" s="2" t="n">
        <f aca="false">(N35-$B35)*$A35</f>
        <v>-0.000425304000000001</v>
      </c>
      <c r="AM35" s="2" t="n">
        <f aca="false">(O35-$B35)*$A35</f>
        <v>-3.10860000000011E-005</v>
      </c>
      <c r="AN35" s="2" t="n">
        <f aca="false">(P35-$B35)*$A35</f>
        <v>0.001332837</v>
      </c>
      <c r="AO35" s="2" t="n">
        <f aca="false">(Q35-$B35)*$A35</f>
        <v>0.016531152</v>
      </c>
      <c r="AP35" s="2" t="n">
        <f aca="false">(R35-$B35)*$A35</f>
        <v>0.00384252</v>
      </c>
      <c r="AQ35" s="2" t="n">
        <f aca="false">(S35-$B35)*$A35</f>
        <v>0.110632566</v>
      </c>
      <c r="AR35" s="2" t="n">
        <f aca="false">(T35-$B35)*$A35</f>
        <v>0.002545026</v>
      </c>
      <c r="AS35" s="2" t="n">
        <f aca="false">(U35-$B35)*$A35</f>
        <v>0.003029895</v>
      </c>
      <c r="AT35" s="2" t="n">
        <f aca="false">(V35-$B35)*$A35</f>
        <v>0.014498154</v>
      </c>
      <c r="AU35" s="2" t="n">
        <f aca="false">(W35-$B35)*$A35</f>
        <v>0.034288056</v>
      </c>
      <c r="AV35" s="2" t="n">
        <f aca="false">(X35-$B35)*$A35</f>
        <v>0.001532652</v>
      </c>
      <c r="AW35" s="2" t="n">
        <f aca="false">(Y35-$B35)*$A35</f>
        <v>0.019483068</v>
      </c>
    </row>
    <row r="36" customFormat="false" ht="13.8" hidden="false" customHeight="false" outlineLevel="0" collapsed="false">
      <c r="A36" s="1" t="n">
        <f aca="false">1+A35</f>
        <v>34</v>
      </c>
      <c r="B36" s="1" t="n">
        <v>0.000186054</v>
      </c>
      <c r="C36" s="1" t="n">
        <v>0.000217633</v>
      </c>
      <c r="D36" s="1" t="n">
        <v>0.00127433</v>
      </c>
      <c r="E36" s="1" t="n">
        <v>0.000270404</v>
      </c>
      <c r="F36" s="1" t="n">
        <v>0.00223175</v>
      </c>
      <c r="G36" s="1" t="n">
        <v>0.000241917</v>
      </c>
      <c r="H36" s="1" t="n">
        <v>0.000280506</v>
      </c>
      <c r="I36" s="1" t="n">
        <v>0.000414785</v>
      </c>
      <c r="J36" s="1" t="n">
        <v>0.000180261</v>
      </c>
      <c r="K36" s="1" t="n">
        <v>0.000767746</v>
      </c>
      <c r="L36" s="1" t="n">
        <v>0.000267492</v>
      </c>
      <c r="M36" s="1" t="n">
        <v>0.000385009</v>
      </c>
      <c r="N36" s="1" t="n">
        <v>0.000169218</v>
      </c>
      <c r="O36" s="1" t="n">
        <v>0.000177875</v>
      </c>
      <c r="P36" s="1" t="n">
        <v>0.000208509</v>
      </c>
      <c r="Q36" s="1" t="n">
        <v>0.000486977</v>
      </c>
      <c r="R36" s="1" t="n">
        <v>0.000263667</v>
      </c>
      <c r="S36" s="1" t="n">
        <v>0.00274296</v>
      </c>
      <c r="T36" s="1" t="n">
        <v>0.000228135</v>
      </c>
      <c r="U36" s="1" t="n">
        <v>0.000225035</v>
      </c>
      <c r="V36" s="1" t="n">
        <v>0.000508095</v>
      </c>
      <c r="W36" s="1" t="n">
        <v>0.000902111</v>
      </c>
      <c r="X36" s="1" t="n">
        <v>0.000212503</v>
      </c>
      <c r="Y36" s="1" t="n">
        <v>0.000589387</v>
      </c>
      <c r="AA36" s="2" t="n">
        <f aca="false">(C36-$B36)*$A36</f>
        <v>0.001073686</v>
      </c>
      <c r="AB36" s="2" t="n">
        <f aca="false">(D36-$B36)*$A36</f>
        <v>0.037001384</v>
      </c>
      <c r="AC36" s="2" t="n">
        <f aca="false">(E36-$B36)*$A36</f>
        <v>0.0028679</v>
      </c>
      <c r="AD36" s="2" t="n">
        <f aca="false">(F36-$B36)*$A36</f>
        <v>0.069553664</v>
      </c>
      <c r="AE36" s="2" t="n">
        <f aca="false">(G36-$B36)*$A36</f>
        <v>0.001899342</v>
      </c>
      <c r="AF36" s="2" t="n">
        <f aca="false">(H36-$B36)*$A36</f>
        <v>0.003211368</v>
      </c>
      <c r="AG36" s="2" t="n">
        <f aca="false">(I36-$B36)*$A36</f>
        <v>0.007776854</v>
      </c>
      <c r="AH36" s="2" t="n">
        <f aca="false">(J36-$B36)*$A36</f>
        <v>-0.000196962</v>
      </c>
      <c r="AI36" s="2" t="n">
        <f aca="false">(K36-$B36)*$A36</f>
        <v>0.019777528</v>
      </c>
      <c r="AJ36" s="2" t="n">
        <f aca="false">(L36-$B36)*$A36</f>
        <v>0.002768892</v>
      </c>
      <c r="AK36" s="2" t="n">
        <f aca="false">(M36-$B36)*$A36</f>
        <v>0.00676447</v>
      </c>
      <c r="AL36" s="2" t="n">
        <f aca="false">(N36-$B36)*$A36</f>
        <v>-0.000572424</v>
      </c>
      <c r="AM36" s="2" t="n">
        <f aca="false">(O36-$B36)*$A36</f>
        <v>-0.000278086</v>
      </c>
      <c r="AN36" s="2" t="n">
        <f aca="false">(P36-$B36)*$A36</f>
        <v>0.00076347</v>
      </c>
      <c r="AO36" s="2" t="n">
        <f aca="false">(Q36-$B36)*$A36</f>
        <v>0.010231382</v>
      </c>
      <c r="AP36" s="2" t="n">
        <f aca="false">(R36-$B36)*$A36</f>
        <v>0.002638842</v>
      </c>
      <c r="AQ36" s="2" t="n">
        <f aca="false">(S36-$B36)*$A36</f>
        <v>0.086934804</v>
      </c>
      <c r="AR36" s="2" t="n">
        <f aca="false">(T36-$B36)*$A36</f>
        <v>0.001430754</v>
      </c>
      <c r="AS36" s="2" t="n">
        <f aca="false">(U36-$B36)*$A36</f>
        <v>0.001325354</v>
      </c>
      <c r="AT36" s="2" t="n">
        <f aca="false">(V36-$B36)*$A36</f>
        <v>0.010949394</v>
      </c>
      <c r="AU36" s="2" t="n">
        <f aca="false">(W36-$B36)*$A36</f>
        <v>0.024345938</v>
      </c>
      <c r="AV36" s="2" t="n">
        <f aca="false">(X36-$B36)*$A36</f>
        <v>0.000899266</v>
      </c>
      <c r="AW36" s="2" t="n">
        <f aca="false">(Y36-$B36)*$A36</f>
        <v>0.013713322</v>
      </c>
    </row>
    <row r="37" customFormat="false" ht="13.8" hidden="false" customHeight="false" outlineLevel="0" collapsed="false">
      <c r="A37" s="1" t="n">
        <f aca="false">1+A36</f>
        <v>35</v>
      </c>
      <c r="B37" s="1" t="n">
        <v>0.000116458</v>
      </c>
      <c r="C37" s="1" t="n">
        <v>0.000122424</v>
      </c>
      <c r="D37" s="1" t="n">
        <v>0.000837982</v>
      </c>
      <c r="E37" s="1" t="n">
        <v>0.00016974</v>
      </c>
      <c r="F37" s="1" t="n">
        <v>0.00168532</v>
      </c>
      <c r="G37" s="1" t="n">
        <v>0.000142965</v>
      </c>
      <c r="H37" s="1" t="n">
        <v>0.000189596</v>
      </c>
      <c r="I37" s="1" t="n">
        <v>0.00025674</v>
      </c>
      <c r="J37" s="1" t="n">
        <v>0.000112216</v>
      </c>
      <c r="K37" s="1" t="n">
        <v>0.000476221</v>
      </c>
      <c r="L37" s="1" t="n">
        <v>0.000160389</v>
      </c>
      <c r="M37" s="1" t="n">
        <v>0.000242234</v>
      </c>
      <c r="N37" s="3" t="n">
        <v>9.958E-005</v>
      </c>
      <c r="O37" s="1" t="n">
        <v>0.000105065</v>
      </c>
      <c r="P37" s="1" t="n">
        <v>0.000119485</v>
      </c>
      <c r="Q37" s="1" t="n">
        <v>0.00029923</v>
      </c>
      <c r="R37" s="1" t="n">
        <v>0.000162861</v>
      </c>
      <c r="S37" s="1" t="n">
        <v>0.00199713</v>
      </c>
      <c r="T37" s="1" t="n">
        <v>0.000126488</v>
      </c>
      <c r="U37" s="1" t="n">
        <v>0.00012932</v>
      </c>
      <c r="V37" s="1" t="n">
        <v>0.00034432</v>
      </c>
      <c r="W37" s="1" t="n">
        <v>0.000602235</v>
      </c>
      <c r="X37" s="1" t="n">
        <v>0.000126176</v>
      </c>
      <c r="Y37" s="1" t="n">
        <v>0.000379154</v>
      </c>
      <c r="AA37" s="2" t="n">
        <f aca="false">(C37-$B37)*$A37</f>
        <v>0.00020881</v>
      </c>
      <c r="AB37" s="2" t="n">
        <f aca="false">(D37-$B37)*$A37</f>
        <v>0.02525334</v>
      </c>
      <c r="AC37" s="2" t="n">
        <f aca="false">(E37-$B37)*$A37</f>
        <v>0.00186487</v>
      </c>
      <c r="AD37" s="2" t="n">
        <f aca="false">(F37-$B37)*$A37</f>
        <v>0.05491017</v>
      </c>
      <c r="AE37" s="2" t="n">
        <f aca="false">(G37-$B37)*$A37</f>
        <v>0.000927745</v>
      </c>
      <c r="AF37" s="2" t="n">
        <f aca="false">(H37-$B37)*$A37</f>
        <v>0.00255983</v>
      </c>
      <c r="AG37" s="2" t="n">
        <f aca="false">(I37-$B37)*$A37</f>
        <v>0.00490987</v>
      </c>
      <c r="AH37" s="2" t="n">
        <f aca="false">(J37-$B37)*$A37</f>
        <v>-0.00014847</v>
      </c>
      <c r="AI37" s="2" t="n">
        <f aca="false">(K37-$B37)*$A37</f>
        <v>0.012591705</v>
      </c>
      <c r="AJ37" s="2" t="n">
        <f aca="false">(L37-$B37)*$A37</f>
        <v>0.001537585</v>
      </c>
      <c r="AK37" s="2" t="n">
        <f aca="false">(M37-$B37)*$A37</f>
        <v>0.00440216</v>
      </c>
      <c r="AL37" s="2" t="n">
        <f aca="false">(N37-$B37)*$A37</f>
        <v>-0.00059073</v>
      </c>
      <c r="AM37" s="2" t="n">
        <f aca="false">(O37-$B37)*$A37</f>
        <v>-0.000398755</v>
      </c>
      <c r="AN37" s="2" t="n">
        <f aca="false">(P37-$B37)*$A37</f>
        <v>0.000105945</v>
      </c>
      <c r="AO37" s="2" t="n">
        <f aca="false">(Q37-$B37)*$A37</f>
        <v>0.00639702</v>
      </c>
      <c r="AP37" s="2" t="n">
        <f aca="false">(R37-$B37)*$A37</f>
        <v>0.001624105</v>
      </c>
      <c r="AQ37" s="2" t="n">
        <f aca="false">(S37-$B37)*$A37</f>
        <v>0.06582352</v>
      </c>
      <c r="AR37" s="2" t="n">
        <f aca="false">(T37-$B37)*$A37</f>
        <v>0.00035105</v>
      </c>
      <c r="AS37" s="2" t="n">
        <f aca="false">(U37-$B37)*$A37</f>
        <v>0.00045017</v>
      </c>
      <c r="AT37" s="2" t="n">
        <f aca="false">(V37-$B37)*$A37</f>
        <v>0.00797517</v>
      </c>
      <c r="AU37" s="2" t="n">
        <f aca="false">(W37-$B37)*$A37</f>
        <v>0.017002195</v>
      </c>
      <c r="AV37" s="2" t="n">
        <f aca="false">(X37-$B37)*$A37</f>
        <v>0.00034013</v>
      </c>
      <c r="AW37" s="2" t="n">
        <f aca="false">(Y37-$B37)*$A37</f>
        <v>0.00919436</v>
      </c>
    </row>
    <row r="38" customFormat="false" ht="13.8" hidden="false" customHeight="false" outlineLevel="0" collapsed="false">
      <c r="A38" s="1" t="n">
        <f aca="false">1+A37</f>
        <v>36</v>
      </c>
      <c r="B38" s="3" t="n">
        <v>6.91443E-005</v>
      </c>
      <c r="C38" s="3" t="n">
        <v>7.12377E-005</v>
      </c>
      <c r="D38" s="1" t="n">
        <v>0.000537895</v>
      </c>
      <c r="E38" s="1" t="n">
        <v>0.000107544</v>
      </c>
      <c r="F38" s="1" t="n">
        <v>0.00124902</v>
      </c>
      <c r="G38" s="3" t="n">
        <v>8.70008E-005</v>
      </c>
      <c r="H38" s="1" t="n">
        <v>0.000130096</v>
      </c>
      <c r="I38" s="1" t="n">
        <v>0.000149133</v>
      </c>
      <c r="J38" s="3" t="n">
        <v>6.80449E-005</v>
      </c>
      <c r="K38" s="1" t="n">
        <v>0.00029269</v>
      </c>
      <c r="L38" s="3" t="n">
        <v>9.1285E-005</v>
      </c>
      <c r="M38" s="1" t="n">
        <v>0.00014501</v>
      </c>
      <c r="N38" s="3" t="n">
        <v>5.74797E-005</v>
      </c>
      <c r="O38" s="3" t="n">
        <v>6.46384E-005</v>
      </c>
      <c r="P38" s="3" t="n">
        <v>7.04469E-005</v>
      </c>
      <c r="Q38" s="1" t="n">
        <v>0.000176459</v>
      </c>
      <c r="R38" s="3" t="n">
        <v>9.87985E-005</v>
      </c>
      <c r="S38" s="1" t="n">
        <v>0.00142492</v>
      </c>
      <c r="T38" s="3" t="n">
        <v>7.04297E-005</v>
      </c>
      <c r="U38" s="3" t="n">
        <v>7.19291E-005</v>
      </c>
      <c r="V38" s="1" t="n">
        <v>0.000236995</v>
      </c>
      <c r="W38" s="1" t="n">
        <v>0.000400509</v>
      </c>
      <c r="X38" s="3" t="n">
        <v>7.21689E-005</v>
      </c>
      <c r="Y38" s="1" t="n">
        <v>0.000236167</v>
      </c>
      <c r="AA38" s="2" t="n">
        <f aca="false">(C38-$B38)*$A38</f>
        <v>7.53624000000003E-005</v>
      </c>
      <c r="AB38" s="2" t="n">
        <f aca="false">(D38-$B38)*$A38</f>
        <v>0.0168750252</v>
      </c>
      <c r="AC38" s="2" t="n">
        <f aca="false">(E38-$B38)*$A38</f>
        <v>0.0013823892</v>
      </c>
      <c r="AD38" s="2" t="n">
        <f aca="false">(F38-$B38)*$A38</f>
        <v>0.0424755252</v>
      </c>
      <c r="AE38" s="2" t="n">
        <f aca="false">(G38-$B38)*$A38</f>
        <v>0.000642834</v>
      </c>
      <c r="AF38" s="2" t="n">
        <f aca="false">(H38-$B38)*$A38</f>
        <v>0.0021942612</v>
      </c>
      <c r="AG38" s="2" t="n">
        <f aca="false">(I38-$B38)*$A38</f>
        <v>0.0028795932</v>
      </c>
      <c r="AH38" s="2" t="n">
        <f aca="false">(J38-$B38)*$A38</f>
        <v>-3.95783999999999E-005</v>
      </c>
      <c r="AI38" s="2" t="n">
        <f aca="false">(K38-$B38)*$A38</f>
        <v>0.0080476452</v>
      </c>
      <c r="AJ38" s="2" t="n">
        <f aca="false">(L38-$B38)*$A38</f>
        <v>0.0007970652</v>
      </c>
      <c r="AK38" s="2" t="n">
        <f aca="false">(M38-$B38)*$A38</f>
        <v>0.0027311652</v>
      </c>
      <c r="AL38" s="2" t="n">
        <f aca="false">(N38-$B38)*$A38</f>
        <v>-0.0004199256</v>
      </c>
      <c r="AM38" s="2" t="n">
        <f aca="false">(O38-$B38)*$A38</f>
        <v>-0.0001622124</v>
      </c>
      <c r="AN38" s="2" t="n">
        <f aca="false">(P38-$B38)*$A38</f>
        <v>4.68936000000004E-005</v>
      </c>
      <c r="AO38" s="2" t="n">
        <f aca="false">(Q38-$B38)*$A38</f>
        <v>0.0038633292</v>
      </c>
      <c r="AP38" s="2" t="n">
        <f aca="false">(R38-$B38)*$A38</f>
        <v>0.0010675512</v>
      </c>
      <c r="AQ38" s="2" t="n">
        <f aca="false">(S38-$B38)*$A38</f>
        <v>0.0488079252</v>
      </c>
      <c r="AR38" s="2" t="n">
        <f aca="false">(T38-$B38)*$A38</f>
        <v>4.62744E-005</v>
      </c>
      <c r="AS38" s="2" t="n">
        <f aca="false">(U38-$B38)*$A38</f>
        <v>0.0001002528</v>
      </c>
      <c r="AT38" s="2" t="n">
        <f aca="false">(V38-$B38)*$A38</f>
        <v>0.0060426252</v>
      </c>
      <c r="AU38" s="2" t="n">
        <f aca="false">(W38-$B38)*$A38</f>
        <v>0.0119291292</v>
      </c>
      <c r="AV38" s="2" t="n">
        <f aca="false">(X38-$B38)*$A38</f>
        <v>0.0001088856</v>
      </c>
      <c r="AW38" s="2" t="n">
        <f aca="false">(Y38-$B38)*$A38</f>
        <v>0.0060128172</v>
      </c>
    </row>
    <row r="39" customFormat="false" ht="13.8" hidden="false" customHeight="false" outlineLevel="0" collapsed="false">
      <c r="A39" s="1" t="n">
        <f aca="false">1+A38</f>
        <v>37</v>
      </c>
      <c r="B39" s="3" t="n">
        <v>3.88796E-005</v>
      </c>
      <c r="C39" s="3" t="n">
        <v>3.94263E-005</v>
      </c>
      <c r="D39" s="1" t="n">
        <v>0.000337542</v>
      </c>
      <c r="E39" s="3" t="n">
        <v>6.62673E-005</v>
      </c>
      <c r="F39" s="1" t="n">
        <v>0.000901598</v>
      </c>
      <c r="G39" s="3" t="n">
        <v>5.05684E-005</v>
      </c>
      <c r="H39" s="3" t="n">
        <v>8.85509E-005</v>
      </c>
      <c r="I39" s="3" t="n">
        <v>8.87402E-005</v>
      </c>
      <c r="J39" s="3" t="n">
        <v>4.21593E-005</v>
      </c>
      <c r="K39" s="1" t="n">
        <v>0.0001734</v>
      </c>
      <c r="L39" s="3" t="n">
        <v>5.42585E-005</v>
      </c>
      <c r="M39" s="3" t="n">
        <v>8.37694E-005</v>
      </c>
      <c r="N39" s="3" t="n">
        <v>3.24372E-005</v>
      </c>
      <c r="O39" s="3" t="n">
        <v>3.93829E-005</v>
      </c>
      <c r="P39" s="3" t="n">
        <v>3.91705E-005</v>
      </c>
      <c r="Q39" s="1" t="n">
        <v>0.000108052</v>
      </c>
      <c r="R39" s="3" t="n">
        <v>5.62572E-005</v>
      </c>
      <c r="S39" s="1" t="n">
        <v>0.00098541</v>
      </c>
      <c r="T39" s="3" t="n">
        <v>3.76894E-005</v>
      </c>
      <c r="U39" s="3" t="n">
        <v>3.85624E-005</v>
      </c>
      <c r="V39" s="1" t="n">
        <v>0.000150098</v>
      </c>
      <c r="W39" s="1" t="n">
        <v>0.000261517</v>
      </c>
      <c r="X39" s="3" t="n">
        <v>4.11849E-005</v>
      </c>
      <c r="Y39" s="1" t="n">
        <v>0.000140223</v>
      </c>
      <c r="AA39" s="2" t="n">
        <f aca="false">(C39-$B39)*$A39</f>
        <v>2.02279E-005</v>
      </c>
      <c r="AB39" s="2" t="n">
        <f aca="false">(D39-$B39)*$A39</f>
        <v>0.0110505088</v>
      </c>
      <c r="AC39" s="2" t="n">
        <f aca="false">(E39-$B39)*$A39</f>
        <v>0.0010133449</v>
      </c>
      <c r="AD39" s="2" t="n">
        <f aca="false">(F39-$B39)*$A39</f>
        <v>0.0319205808</v>
      </c>
      <c r="AE39" s="2" t="n">
        <f aca="false">(G39-$B39)*$A39</f>
        <v>0.0004324856</v>
      </c>
      <c r="AF39" s="2" t="n">
        <f aca="false">(H39-$B39)*$A39</f>
        <v>0.0018378381</v>
      </c>
      <c r="AG39" s="2" t="n">
        <f aca="false">(I39-$B39)*$A39</f>
        <v>0.0018448422</v>
      </c>
      <c r="AH39" s="2" t="n">
        <f aca="false">(J39-$B39)*$A39</f>
        <v>0.0001213489</v>
      </c>
      <c r="AI39" s="2" t="n">
        <f aca="false">(K39-$B39)*$A39</f>
        <v>0.0049772548</v>
      </c>
      <c r="AJ39" s="2" t="n">
        <f aca="false">(L39-$B39)*$A39</f>
        <v>0.0005690193</v>
      </c>
      <c r="AK39" s="2" t="n">
        <f aca="false">(M39-$B39)*$A39</f>
        <v>0.0016609226</v>
      </c>
      <c r="AL39" s="2" t="n">
        <f aca="false">(N39-$B39)*$A39</f>
        <v>-0.0002383688</v>
      </c>
      <c r="AM39" s="2" t="n">
        <f aca="false">(O39-$B39)*$A39</f>
        <v>1.86221E-005</v>
      </c>
      <c r="AN39" s="2" t="n">
        <f aca="false">(P39-$B39)*$A39</f>
        <v>1.07633E-005</v>
      </c>
      <c r="AO39" s="2" t="n">
        <f aca="false">(Q39-$B39)*$A39</f>
        <v>0.0025593788</v>
      </c>
      <c r="AP39" s="2" t="n">
        <f aca="false">(R39-$B39)*$A39</f>
        <v>0.0006429712</v>
      </c>
      <c r="AQ39" s="2" t="n">
        <f aca="false">(S39-$B39)*$A39</f>
        <v>0.0350216248</v>
      </c>
      <c r="AR39" s="2" t="n">
        <f aca="false">(T39-$B39)*$A39</f>
        <v>-4.40374E-005</v>
      </c>
      <c r="AS39" s="2" t="n">
        <f aca="false">(U39-$B39)*$A39</f>
        <v>-1.17363999999999E-005</v>
      </c>
      <c r="AT39" s="2" t="n">
        <f aca="false">(V39-$B39)*$A39</f>
        <v>0.0041150808</v>
      </c>
      <c r="AU39" s="2" t="n">
        <f aca="false">(W39-$B39)*$A39</f>
        <v>0.0082375838</v>
      </c>
      <c r="AV39" s="2" t="n">
        <f aca="false">(X39-$B39)*$A39</f>
        <v>8.52961E-005</v>
      </c>
      <c r="AW39" s="2" t="n">
        <f aca="false">(Y39-$B39)*$A39</f>
        <v>0.0037497058</v>
      </c>
    </row>
    <row r="40" customFormat="false" ht="13.8" hidden="false" customHeight="false" outlineLevel="0" collapsed="false">
      <c r="A40" s="1" t="n">
        <f aca="false">1+A39</f>
        <v>38</v>
      </c>
      <c r="B40" s="3" t="n">
        <v>2.24167E-005</v>
      </c>
      <c r="C40" s="3" t="n">
        <v>2.34305E-005</v>
      </c>
      <c r="D40" s="1" t="n">
        <v>0.000204875</v>
      </c>
      <c r="E40" s="3" t="n">
        <v>4.13235E-005</v>
      </c>
      <c r="F40" s="1" t="n">
        <v>0.000627315</v>
      </c>
      <c r="G40" s="3" t="n">
        <v>2.8807E-005</v>
      </c>
      <c r="H40" s="3" t="n">
        <v>6.02425E-005</v>
      </c>
      <c r="I40" s="3" t="n">
        <v>4.89683E-005</v>
      </c>
      <c r="J40" s="3" t="n">
        <v>2.64222E-005</v>
      </c>
      <c r="K40" s="3" t="n">
        <v>9.96554E-005</v>
      </c>
      <c r="L40" s="3" t="n">
        <v>3.18128E-005</v>
      </c>
      <c r="M40" s="3" t="n">
        <v>4.5729E-005</v>
      </c>
      <c r="N40" s="3" t="n">
        <v>1.76477E-005</v>
      </c>
      <c r="O40" s="3" t="n">
        <v>2.29082E-005</v>
      </c>
      <c r="P40" s="3" t="n">
        <v>2.23525E-005</v>
      </c>
      <c r="Q40" s="3" t="n">
        <v>6.25823E-005</v>
      </c>
      <c r="R40" s="3" t="n">
        <v>3.01637E-005</v>
      </c>
      <c r="S40" s="1" t="n">
        <v>0.000648335</v>
      </c>
      <c r="T40" s="3" t="n">
        <v>2.0082E-005</v>
      </c>
      <c r="U40" s="3" t="n">
        <v>2.14024E-005</v>
      </c>
      <c r="V40" s="3" t="n">
        <v>9.25156E-005</v>
      </c>
      <c r="W40" s="1" t="n">
        <v>0.000171141</v>
      </c>
      <c r="X40" s="3" t="n">
        <v>2.20702E-005</v>
      </c>
      <c r="Y40" s="3" t="n">
        <v>8.06154E-005</v>
      </c>
      <c r="AA40" s="2" t="n">
        <f aca="false">(C40-$B40)*$A40</f>
        <v>3.85244E-005</v>
      </c>
      <c r="AB40" s="2" t="n">
        <f aca="false">(D40-$B40)*$A40</f>
        <v>0.0069334154</v>
      </c>
      <c r="AC40" s="2" t="n">
        <f aca="false">(E40-$B40)*$A40</f>
        <v>0.0007184584</v>
      </c>
      <c r="AD40" s="2" t="n">
        <f aca="false">(F40-$B40)*$A40</f>
        <v>0.0229861354</v>
      </c>
      <c r="AE40" s="2" t="n">
        <f aca="false">(G40-$B40)*$A40</f>
        <v>0.0002428314</v>
      </c>
      <c r="AF40" s="2" t="n">
        <f aca="false">(H40-$B40)*$A40</f>
        <v>0.0014373804</v>
      </c>
      <c r="AG40" s="2" t="n">
        <f aca="false">(I40-$B40)*$A40</f>
        <v>0.0010089608</v>
      </c>
      <c r="AH40" s="2" t="n">
        <f aca="false">(J40-$B40)*$A40</f>
        <v>0.000152209</v>
      </c>
      <c r="AI40" s="2" t="n">
        <f aca="false">(K40-$B40)*$A40</f>
        <v>0.0029350706</v>
      </c>
      <c r="AJ40" s="2" t="n">
        <f aca="false">(L40-$B40)*$A40</f>
        <v>0.0003570518</v>
      </c>
      <c r="AK40" s="2" t="n">
        <f aca="false">(M40-$B40)*$A40</f>
        <v>0.0008858674</v>
      </c>
      <c r="AL40" s="2" t="n">
        <f aca="false">(N40-$B40)*$A40</f>
        <v>-0.000181222</v>
      </c>
      <c r="AM40" s="2" t="n">
        <f aca="false">(O40-$B40)*$A40</f>
        <v>1.8677E-005</v>
      </c>
      <c r="AN40" s="2" t="n">
        <f aca="false">(P40-$B40)*$A40</f>
        <v>-2.43959999999994E-006</v>
      </c>
      <c r="AO40" s="2" t="n">
        <f aca="false">(Q40-$B40)*$A40</f>
        <v>0.0015262928</v>
      </c>
      <c r="AP40" s="2" t="n">
        <f aca="false">(R40-$B40)*$A40</f>
        <v>0.000294386</v>
      </c>
      <c r="AQ40" s="2" t="n">
        <f aca="false">(S40-$B40)*$A40</f>
        <v>0.0237848954</v>
      </c>
      <c r="AR40" s="2" t="n">
        <f aca="false">(T40-$B40)*$A40</f>
        <v>-8.87186E-005</v>
      </c>
      <c r="AS40" s="2" t="n">
        <f aca="false">(U40-$B40)*$A40</f>
        <v>-3.85433999999999E-005</v>
      </c>
      <c r="AT40" s="2" t="n">
        <f aca="false">(V40-$B40)*$A40</f>
        <v>0.0026637582</v>
      </c>
      <c r="AU40" s="2" t="n">
        <f aca="false">(W40-$B40)*$A40</f>
        <v>0.0056515234</v>
      </c>
      <c r="AV40" s="2" t="n">
        <f aca="false">(X40-$B40)*$A40</f>
        <v>-1.31669999999999E-005</v>
      </c>
      <c r="AW40" s="2" t="n">
        <f aca="false">(Y40-$B40)*$A40</f>
        <v>0.0022115506</v>
      </c>
    </row>
    <row r="41" customFormat="false" ht="13.8" hidden="false" customHeight="false" outlineLevel="0" collapsed="false">
      <c r="A41" s="1" t="n">
        <f aca="false">1+A40</f>
        <v>39</v>
      </c>
      <c r="B41" s="3" t="n">
        <v>1.38018E-005</v>
      </c>
      <c r="C41" s="3" t="n">
        <v>1.30219E-005</v>
      </c>
      <c r="D41" s="1" t="n">
        <v>0.000124246</v>
      </c>
      <c r="E41" s="3" t="n">
        <v>2.29315E-005</v>
      </c>
      <c r="F41" s="1" t="n">
        <v>0.000423739</v>
      </c>
      <c r="G41" s="3" t="n">
        <v>1.64994E-005</v>
      </c>
      <c r="H41" s="3" t="n">
        <v>4.08898E-005</v>
      </c>
      <c r="I41" s="3" t="n">
        <v>2.55033E-005</v>
      </c>
      <c r="J41" s="3" t="n">
        <v>1.64524E-005</v>
      </c>
      <c r="K41" s="3" t="n">
        <v>5.36158E-005</v>
      </c>
      <c r="L41" s="3" t="n">
        <v>1.8204E-005</v>
      </c>
      <c r="M41" s="3" t="n">
        <v>2.28421E-005</v>
      </c>
      <c r="N41" s="3" t="n">
        <v>8.16602E-006</v>
      </c>
      <c r="O41" s="3" t="n">
        <v>1.30842E-005</v>
      </c>
      <c r="P41" s="3" t="n">
        <v>1.08974E-005</v>
      </c>
      <c r="Q41" s="3" t="n">
        <v>3.71611E-005</v>
      </c>
      <c r="R41" s="3" t="n">
        <v>1.65593E-005</v>
      </c>
      <c r="S41" s="1" t="n">
        <v>0.000416626</v>
      </c>
      <c r="T41" s="3" t="n">
        <v>9.75547E-006</v>
      </c>
      <c r="U41" s="3" t="n">
        <v>1.07727E-005</v>
      </c>
      <c r="V41" s="3" t="n">
        <v>5.43159E-005</v>
      </c>
      <c r="W41" s="1" t="n">
        <v>0.000107946</v>
      </c>
      <c r="X41" s="3" t="n">
        <v>1.30133E-005</v>
      </c>
      <c r="Y41" s="3" t="n">
        <v>4.3273E-005</v>
      </c>
      <c r="AA41" s="2" t="n">
        <f aca="false">(C41-$B41)*$A41</f>
        <v>-3.04161E-005</v>
      </c>
      <c r="AB41" s="2" t="n">
        <f aca="false">(D41-$B41)*$A41</f>
        <v>0.0043073238</v>
      </c>
      <c r="AC41" s="2" t="n">
        <f aca="false">(E41-$B41)*$A41</f>
        <v>0.0003560583</v>
      </c>
      <c r="AD41" s="2" t="n">
        <f aca="false">(F41-$B41)*$A41</f>
        <v>0.0159875508</v>
      </c>
      <c r="AE41" s="2" t="n">
        <f aca="false">(G41-$B41)*$A41</f>
        <v>0.0001052064</v>
      </c>
      <c r="AF41" s="2" t="n">
        <f aca="false">(H41-$B41)*$A41</f>
        <v>0.001056432</v>
      </c>
      <c r="AG41" s="2" t="n">
        <f aca="false">(I41-$B41)*$A41</f>
        <v>0.0004563585</v>
      </c>
      <c r="AH41" s="2" t="n">
        <f aca="false">(J41-$B41)*$A41</f>
        <v>0.0001033734</v>
      </c>
      <c r="AI41" s="2" t="n">
        <f aca="false">(K41-$B41)*$A41</f>
        <v>0.001552746</v>
      </c>
      <c r="AJ41" s="2" t="n">
        <f aca="false">(L41-$B41)*$A41</f>
        <v>0.0001716858</v>
      </c>
      <c r="AK41" s="2" t="n">
        <f aca="false">(M41-$B41)*$A41</f>
        <v>0.0003525717</v>
      </c>
      <c r="AL41" s="2" t="n">
        <f aca="false">(N41-$B41)*$A41</f>
        <v>-0.00021979542</v>
      </c>
      <c r="AM41" s="2" t="n">
        <f aca="false">(O41-$B41)*$A41</f>
        <v>-2.79864000000001E-005</v>
      </c>
      <c r="AN41" s="2" t="n">
        <f aca="false">(P41-$B41)*$A41</f>
        <v>-0.0001132716</v>
      </c>
      <c r="AO41" s="2" t="n">
        <f aca="false">(Q41-$B41)*$A41</f>
        <v>0.0009110127</v>
      </c>
      <c r="AP41" s="2" t="n">
        <f aca="false">(R41-$B41)*$A41</f>
        <v>0.0001075425</v>
      </c>
      <c r="AQ41" s="2" t="n">
        <f aca="false">(S41-$B41)*$A41</f>
        <v>0.0157101438</v>
      </c>
      <c r="AR41" s="2" t="n">
        <f aca="false">(T41-$B41)*$A41</f>
        <v>-0.00015780687</v>
      </c>
      <c r="AS41" s="2" t="n">
        <f aca="false">(U41-$B41)*$A41</f>
        <v>-0.0001181349</v>
      </c>
      <c r="AT41" s="2" t="n">
        <f aca="false">(V41-$B41)*$A41</f>
        <v>0.0015800499</v>
      </c>
      <c r="AU41" s="2" t="n">
        <f aca="false">(W41-$B41)*$A41</f>
        <v>0.0036716238</v>
      </c>
      <c r="AV41" s="2" t="n">
        <f aca="false">(X41-$B41)*$A41</f>
        <v>-3.07515E-005</v>
      </c>
      <c r="AW41" s="2" t="n">
        <f aca="false">(Y41-$B41)*$A41</f>
        <v>0.0011493768</v>
      </c>
    </row>
    <row r="42" customFormat="false" ht="13.8" hidden="false" customHeight="false" outlineLevel="0" collapsed="false">
      <c r="A42" s="1" t="n">
        <f aca="false">1+A41</f>
        <v>40</v>
      </c>
      <c r="B42" s="3" t="n">
        <v>7.75788E-006</v>
      </c>
      <c r="C42" s="3" t="n">
        <v>7.38962E-006</v>
      </c>
      <c r="D42" s="3" t="n">
        <v>6.91041E-005</v>
      </c>
      <c r="E42" s="3" t="n">
        <v>1.38057E-005</v>
      </c>
      <c r="F42" s="1" t="n">
        <v>0.000273613</v>
      </c>
      <c r="G42" s="3" t="n">
        <v>8.8294E-006</v>
      </c>
      <c r="H42" s="3" t="n">
        <v>2.51193E-005</v>
      </c>
      <c r="I42" s="3" t="n">
        <v>1.31309E-005</v>
      </c>
      <c r="J42" s="3" t="n">
        <v>9.12035E-006</v>
      </c>
      <c r="K42" s="3" t="n">
        <v>3.03494E-005</v>
      </c>
      <c r="L42" s="3" t="n">
        <v>1.03392E-005</v>
      </c>
      <c r="M42" s="3" t="n">
        <v>1.24268E-005</v>
      </c>
      <c r="N42" s="3" t="n">
        <v>3.53861E-006</v>
      </c>
      <c r="O42" s="3" t="n">
        <v>7.34626E-006</v>
      </c>
      <c r="P42" s="3" t="n">
        <v>6.09224E-006</v>
      </c>
      <c r="Q42" s="3" t="n">
        <v>2.11768E-005</v>
      </c>
      <c r="R42" s="3" t="n">
        <v>9.03237E-006</v>
      </c>
      <c r="S42" s="1" t="n">
        <v>0.000250191</v>
      </c>
      <c r="T42" s="3" t="n">
        <v>4.33048E-006</v>
      </c>
      <c r="U42" s="3" t="n">
        <v>5.48167E-006</v>
      </c>
      <c r="V42" s="3" t="n">
        <v>3.00545E-005</v>
      </c>
      <c r="W42" s="3" t="n">
        <v>6.92198E-005</v>
      </c>
      <c r="X42" s="3" t="n">
        <v>5.86313E-006</v>
      </c>
      <c r="Y42" s="3" t="n">
        <v>2.35715E-005</v>
      </c>
      <c r="AA42" s="2" t="n">
        <f aca="false">(C42-$B42)*$A42</f>
        <v>-1.47304E-005</v>
      </c>
      <c r="AB42" s="2" t="n">
        <f aca="false">(D42-$B42)*$A42</f>
        <v>0.0024538488</v>
      </c>
      <c r="AC42" s="2" t="n">
        <f aca="false">(E42-$B42)*$A42</f>
        <v>0.0002419128</v>
      </c>
      <c r="AD42" s="2" t="n">
        <f aca="false">(F42-$B42)*$A42</f>
        <v>0.0106342048</v>
      </c>
      <c r="AE42" s="2" t="n">
        <f aca="false">(G42-$B42)*$A42</f>
        <v>4.28608000000001E-005</v>
      </c>
      <c r="AF42" s="2" t="n">
        <f aca="false">(H42-$B42)*$A42</f>
        <v>0.0006944568</v>
      </c>
      <c r="AG42" s="2" t="n">
        <f aca="false">(I42-$B42)*$A42</f>
        <v>0.0002149208</v>
      </c>
      <c r="AH42" s="2" t="n">
        <f aca="false">(J42-$B42)*$A42</f>
        <v>5.44988E-005</v>
      </c>
      <c r="AI42" s="2" t="n">
        <f aca="false">(K42-$B42)*$A42</f>
        <v>0.0009036608</v>
      </c>
      <c r="AJ42" s="2" t="n">
        <f aca="false">(L42-$B42)*$A42</f>
        <v>0.0001032528</v>
      </c>
      <c r="AK42" s="2" t="n">
        <f aca="false">(M42-$B42)*$A42</f>
        <v>0.0001867568</v>
      </c>
      <c r="AL42" s="2" t="n">
        <f aca="false">(N42-$B42)*$A42</f>
        <v>-0.0001687708</v>
      </c>
      <c r="AM42" s="2" t="n">
        <f aca="false">(O42-$B42)*$A42</f>
        <v>-1.64648E-005</v>
      </c>
      <c r="AN42" s="2" t="n">
        <f aca="false">(P42-$B42)*$A42</f>
        <v>-6.66256E-005</v>
      </c>
      <c r="AO42" s="2" t="n">
        <f aca="false">(Q42-$B42)*$A42</f>
        <v>0.0005367568</v>
      </c>
      <c r="AP42" s="2" t="n">
        <f aca="false">(R42-$B42)*$A42</f>
        <v>5.09796E-005</v>
      </c>
      <c r="AQ42" s="2" t="n">
        <f aca="false">(S42-$B42)*$A42</f>
        <v>0.0096973248</v>
      </c>
      <c r="AR42" s="2" t="n">
        <f aca="false">(T42-$B42)*$A42</f>
        <v>-0.000137096</v>
      </c>
      <c r="AS42" s="2" t="n">
        <f aca="false">(U42-$B42)*$A42</f>
        <v>-9.10484E-005</v>
      </c>
      <c r="AT42" s="2" t="n">
        <f aca="false">(V42-$B42)*$A42</f>
        <v>0.0008918648</v>
      </c>
      <c r="AU42" s="2" t="n">
        <f aca="false">(W42-$B42)*$A42</f>
        <v>0.0024584768</v>
      </c>
      <c r="AV42" s="2" t="n">
        <f aca="false">(X42-$B42)*$A42</f>
        <v>-7.579E-005</v>
      </c>
      <c r="AW42" s="2" t="n">
        <f aca="false">(Y42-$B42)*$A42</f>
        <v>0.0006325448</v>
      </c>
    </row>
    <row r="43" customFormat="false" ht="13.8" hidden="false" customHeight="false" outlineLevel="0" collapsed="false">
      <c r="A43" s="1" t="n">
        <f aca="false">1+A42</f>
        <v>41</v>
      </c>
      <c r="B43" s="3" t="n">
        <v>4.10446E-006</v>
      </c>
      <c r="C43" s="3" t="n">
        <v>4.05528E-006</v>
      </c>
      <c r="D43" s="3" t="n">
        <v>3.94501E-005</v>
      </c>
      <c r="E43" s="3" t="n">
        <v>7.62823E-006</v>
      </c>
      <c r="F43" s="1" t="n">
        <v>0.000169395</v>
      </c>
      <c r="G43" s="3" t="n">
        <v>5.12819E-006</v>
      </c>
      <c r="H43" s="3" t="n">
        <v>1.59453E-005</v>
      </c>
      <c r="I43" s="3" t="n">
        <v>5.68848E-006</v>
      </c>
      <c r="J43" s="3" t="n">
        <v>4.87313E-006</v>
      </c>
      <c r="K43" s="3" t="n">
        <v>1.57799E-005</v>
      </c>
      <c r="L43" s="3" t="n">
        <v>5.9649E-006</v>
      </c>
      <c r="M43" s="3" t="n">
        <v>6.43692E-006</v>
      </c>
      <c r="N43" s="3" t="n">
        <v>1.67857E-006</v>
      </c>
      <c r="O43" s="3" t="n">
        <v>3.95568E-006</v>
      </c>
      <c r="P43" s="3" t="n">
        <v>3.26064E-006</v>
      </c>
      <c r="Q43" s="3" t="n">
        <v>1.25977E-005</v>
      </c>
      <c r="R43" s="3" t="n">
        <v>5.68705E-006</v>
      </c>
      <c r="S43" s="1" t="n">
        <v>0.000146242</v>
      </c>
      <c r="T43" s="3" t="n">
        <v>1.80833E-006</v>
      </c>
      <c r="U43" s="3" t="n">
        <v>2.52634E-006</v>
      </c>
      <c r="V43" s="3" t="n">
        <v>1.49837E-005</v>
      </c>
      <c r="W43" s="3" t="n">
        <v>4.13019E-005</v>
      </c>
      <c r="X43" s="3" t="n">
        <v>2.33572E-006</v>
      </c>
      <c r="Y43" s="3" t="n">
        <v>1.21627E-005</v>
      </c>
      <c r="AA43" s="2" t="n">
        <f aca="false">(C43-$B43)*$A43</f>
        <v>-2.01637999999999E-006</v>
      </c>
      <c r="AB43" s="2" t="n">
        <f aca="false">(D43-$B43)*$A43</f>
        <v>0.00144917124</v>
      </c>
      <c r="AC43" s="2" t="n">
        <f aca="false">(E43-$B43)*$A43</f>
        <v>0.00014447457</v>
      </c>
      <c r="AD43" s="2" t="n">
        <f aca="false">(F43-$B43)*$A43</f>
        <v>0.00677691214</v>
      </c>
      <c r="AE43" s="2" t="n">
        <f aca="false">(G43-$B43)*$A43</f>
        <v>4.197293E-005</v>
      </c>
      <c r="AF43" s="2" t="n">
        <f aca="false">(H43-$B43)*$A43</f>
        <v>0.00048547444</v>
      </c>
      <c r="AG43" s="2" t="n">
        <f aca="false">(I43-$B43)*$A43</f>
        <v>6.494482E-005</v>
      </c>
      <c r="AH43" s="2" t="n">
        <f aca="false">(J43-$B43)*$A43</f>
        <v>3.151547E-005</v>
      </c>
      <c r="AI43" s="2" t="n">
        <f aca="false">(K43-$B43)*$A43</f>
        <v>0.00047869304</v>
      </c>
      <c r="AJ43" s="2" t="n">
        <f aca="false">(L43-$B43)*$A43</f>
        <v>7.627804E-005</v>
      </c>
      <c r="AK43" s="2" t="n">
        <f aca="false">(M43-$B43)*$A43</f>
        <v>9.563086E-005</v>
      </c>
      <c r="AL43" s="2" t="n">
        <f aca="false">(N43-$B43)*$A43</f>
        <v>-9.946149E-005</v>
      </c>
      <c r="AM43" s="2" t="n">
        <f aca="false">(O43-$B43)*$A43</f>
        <v>-6.09997999999998E-006</v>
      </c>
      <c r="AN43" s="2" t="n">
        <f aca="false">(P43-$B43)*$A43</f>
        <v>-3.459662E-005</v>
      </c>
      <c r="AO43" s="2" t="n">
        <f aca="false">(Q43-$B43)*$A43</f>
        <v>0.00034822284</v>
      </c>
      <c r="AP43" s="2" t="n">
        <f aca="false">(R43-$B43)*$A43</f>
        <v>6.488619E-005</v>
      </c>
      <c r="AQ43" s="2" t="n">
        <f aca="false">(S43-$B43)*$A43</f>
        <v>0.00582763914</v>
      </c>
      <c r="AR43" s="2" t="n">
        <f aca="false">(T43-$B43)*$A43</f>
        <v>-9.414133E-005</v>
      </c>
      <c r="AS43" s="2" t="n">
        <f aca="false">(U43-$B43)*$A43</f>
        <v>-6.470292E-005</v>
      </c>
      <c r="AT43" s="2" t="n">
        <f aca="false">(V43-$B43)*$A43</f>
        <v>0.00044604884</v>
      </c>
      <c r="AU43" s="2" t="n">
        <f aca="false">(W43-$B43)*$A43</f>
        <v>0.00152509504</v>
      </c>
      <c r="AV43" s="2" t="n">
        <f aca="false">(X43-$B43)*$A43</f>
        <v>-7.251834E-005</v>
      </c>
      <c r="AW43" s="2" t="n">
        <f aca="false">(Y43-$B43)*$A43</f>
        <v>0.00033038784</v>
      </c>
    </row>
    <row r="44" customFormat="false" ht="13.8" hidden="false" customHeight="false" outlineLevel="0" collapsed="false">
      <c r="A44" s="1" t="n">
        <f aca="false">1+A43</f>
        <v>42</v>
      </c>
      <c r="B44" s="3" t="n">
        <v>2.16499E-006</v>
      </c>
      <c r="C44" s="3" t="n">
        <v>2.43317E-006</v>
      </c>
      <c r="D44" s="3" t="n">
        <v>2.16754E-005</v>
      </c>
      <c r="E44" s="3" t="n">
        <v>3.46312E-006</v>
      </c>
      <c r="F44" s="3" t="n">
        <v>9.68451E-005</v>
      </c>
      <c r="G44" s="3" t="n">
        <v>2.31883E-006</v>
      </c>
      <c r="H44" s="3" t="n">
        <v>8.78082E-006</v>
      </c>
      <c r="I44" s="3" t="n">
        <v>2.55981E-006</v>
      </c>
      <c r="J44" s="3" t="n">
        <v>2.01184E-006</v>
      </c>
      <c r="K44" s="3" t="n">
        <v>7.26234E-006</v>
      </c>
      <c r="L44" s="3" t="n">
        <v>3.31383E-006</v>
      </c>
      <c r="M44" s="3" t="n">
        <v>3.30786E-006</v>
      </c>
      <c r="N44" s="3" t="n">
        <v>8.16602E-007</v>
      </c>
      <c r="O44" s="3" t="n">
        <v>1.95611E-006</v>
      </c>
      <c r="P44" s="3" t="n">
        <v>1.75903E-006</v>
      </c>
      <c r="Q44" s="3" t="n">
        <v>7.40512E-006</v>
      </c>
      <c r="R44" s="3" t="n">
        <v>2.34173E-006</v>
      </c>
      <c r="S44" s="3" t="n">
        <v>8.20442E-005</v>
      </c>
      <c r="T44" s="3" t="n">
        <v>6.66227E-007</v>
      </c>
      <c r="U44" s="3" t="n">
        <v>1.09633E-006</v>
      </c>
      <c r="V44" s="3" t="n">
        <v>7.40473E-006</v>
      </c>
      <c r="W44" s="3" t="n">
        <v>2.52963E-005</v>
      </c>
      <c r="X44" s="3" t="n">
        <v>8.58019E-007</v>
      </c>
      <c r="Y44" s="3" t="n">
        <v>6.38289E-006</v>
      </c>
      <c r="AA44" s="2" t="n">
        <f aca="false">(C44-$B44)*$A44</f>
        <v>1.126356E-005</v>
      </c>
      <c r="AB44" s="2" t="n">
        <f aca="false">(D44-$B44)*$A44</f>
        <v>0.00081943722</v>
      </c>
      <c r="AC44" s="2" t="n">
        <f aca="false">(E44-$B44)*$A44</f>
        <v>5.452146E-005</v>
      </c>
      <c r="AD44" s="2" t="n">
        <f aca="false">(F44-$B44)*$A44</f>
        <v>0.00397656462</v>
      </c>
      <c r="AE44" s="2" t="n">
        <f aca="false">(G44-$B44)*$A44</f>
        <v>6.46128E-006</v>
      </c>
      <c r="AF44" s="2" t="n">
        <f aca="false">(H44-$B44)*$A44</f>
        <v>0.00027786486</v>
      </c>
      <c r="AG44" s="2" t="n">
        <f aca="false">(I44-$B44)*$A44</f>
        <v>1.658244E-005</v>
      </c>
      <c r="AH44" s="2" t="n">
        <f aca="false">(J44-$B44)*$A44</f>
        <v>-6.4323E-006</v>
      </c>
      <c r="AI44" s="2" t="n">
        <f aca="false">(K44-$B44)*$A44</f>
        <v>0.0002140887</v>
      </c>
      <c r="AJ44" s="2" t="n">
        <f aca="false">(L44-$B44)*$A44</f>
        <v>4.825128E-005</v>
      </c>
      <c r="AK44" s="2" t="n">
        <f aca="false">(M44-$B44)*$A44</f>
        <v>4.800054E-005</v>
      </c>
      <c r="AL44" s="2" t="n">
        <f aca="false">(N44-$B44)*$A44</f>
        <v>-5.6632296E-005</v>
      </c>
      <c r="AM44" s="2" t="n">
        <f aca="false">(O44-$B44)*$A44</f>
        <v>-8.77296000000001E-006</v>
      </c>
      <c r="AN44" s="2" t="n">
        <f aca="false">(P44-$B44)*$A44</f>
        <v>-1.705032E-005</v>
      </c>
      <c r="AO44" s="2" t="n">
        <f aca="false">(Q44-$B44)*$A44</f>
        <v>0.00022008546</v>
      </c>
      <c r="AP44" s="2" t="n">
        <f aca="false">(R44-$B44)*$A44</f>
        <v>7.42307999999999E-006</v>
      </c>
      <c r="AQ44" s="2" t="n">
        <f aca="false">(S44-$B44)*$A44</f>
        <v>0.00335492682</v>
      </c>
      <c r="AR44" s="2" t="n">
        <f aca="false">(T44-$B44)*$A44</f>
        <v>-6.2948046E-005</v>
      </c>
      <c r="AS44" s="2" t="n">
        <f aca="false">(U44-$B44)*$A44</f>
        <v>-4.488372E-005</v>
      </c>
      <c r="AT44" s="2" t="n">
        <f aca="false">(V44-$B44)*$A44</f>
        <v>0.00022006908</v>
      </c>
      <c r="AU44" s="2" t="n">
        <f aca="false">(W44-$B44)*$A44</f>
        <v>0.00097151502</v>
      </c>
      <c r="AV44" s="2" t="n">
        <f aca="false">(X44-$B44)*$A44</f>
        <v>-5.4892782E-005</v>
      </c>
      <c r="AW44" s="2" t="n">
        <f aca="false">(Y44-$B44)*$A44</f>
        <v>0.0001771518</v>
      </c>
    </row>
    <row r="45" customFormat="false" ht="13.8" hidden="false" customHeight="false" outlineLevel="0" collapsed="false">
      <c r="A45" s="1" t="n">
        <f aca="false">1+A44</f>
        <v>43</v>
      </c>
      <c r="B45" s="3" t="n">
        <v>9.02079E-007</v>
      </c>
      <c r="C45" s="3" t="n">
        <v>6.7588E-007</v>
      </c>
      <c r="D45" s="3" t="n">
        <v>1.2234E-005</v>
      </c>
      <c r="E45" s="3" t="n">
        <v>1.54437E-006</v>
      </c>
      <c r="F45" s="3" t="n">
        <v>5.47895E-005</v>
      </c>
      <c r="G45" s="3" t="n">
        <v>7.13487E-007</v>
      </c>
      <c r="H45" s="3" t="n">
        <v>5.15491E-006</v>
      </c>
      <c r="I45" s="3" t="n">
        <v>9.48079E-007</v>
      </c>
      <c r="J45" s="3" t="n">
        <v>7.60029E-007</v>
      </c>
      <c r="K45" s="3" t="n">
        <v>2.82424E-006</v>
      </c>
      <c r="L45" s="3" t="n">
        <v>1.50227E-006</v>
      </c>
      <c r="M45" s="3" t="n">
        <v>1.38573E-006</v>
      </c>
      <c r="N45" s="3" t="n">
        <v>1.81467E-007</v>
      </c>
      <c r="O45" s="3" t="n">
        <v>1.30407E-006</v>
      </c>
      <c r="P45" s="3" t="n">
        <v>9.00965E-007</v>
      </c>
      <c r="Q45" s="3" t="n">
        <v>4.51532E-006</v>
      </c>
      <c r="R45" s="3" t="n">
        <v>1.22662E-006</v>
      </c>
      <c r="S45" s="3" t="n">
        <v>4.12177E-005</v>
      </c>
      <c r="T45" s="3" t="n">
        <v>9.51753E-008</v>
      </c>
      <c r="U45" s="3" t="n">
        <v>2.86E-007</v>
      </c>
      <c r="V45" s="3" t="n">
        <v>2.74411E-006</v>
      </c>
      <c r="W45" s="3" t="n">
        <v>1.43959E-005</v>
      </c>
      <c r="X45" s="3" t="n">
        <v>3.33674E-007</v>
      </c>
      <c r="Y45" s="3" t="n">
        <v>2.66373E-006</v>
      </c>
      <c r="AA45" s="2" t="n">
        <f aca="false">(C45-$B45)*$A45</f>
        <v>-9.726557E-006</v>
      </c>
      <c r="AB45" s="2" t="n">
        <f aca="false">(D45-$B45)*$A45</f>
        <v>0.000487272603</v>
      </c>
      <c r="AC45" s="2" t="n">
        <f aca="false">(E45-$B45)*$A45</f>
        <v>2.7618513E-005</v>
      </c>
      <c r="AD45" s="2" t="n">
        <f aca="false">(F45-$B45)*$A45</f>
        <v>0.002317159103</v>
      </c>
      <c r="AE45" s="2" t="n">
        <f aca="false">(G45-$B45)*$A45</f>
        <v>-8.109456E-006</v>
      </c>
      <c r="AF45" s="2" t="n">
        <f aca="false">(H45-$B45)*$A45</f>
        <v>0.000182871733</v>
      </c>
      <c r="AG45" s="2" t="n">
        <f aca="false">(I45-$B45)*$A45</f>
        <v>1.978E-006</v>
      </c>
      <c r="AH45" s="2" t="n">
        <f aca="false">(J45-$B45)*$A45</f>
        <v>-6.10815E-006</v>
      </c>
      <c r="AI45" s="2" t="n">
        <f aca="false">(K45-$B45)*$A45</f>
        <v>8.2652923E-005</v>
      </c>
      <c r="AJ45" s="2" t="n">
        <f aca="false">(L45-$B45)*$A45</f>
        <v>2.5808213E-005</v>
      </c>
      <c r="AK45" s="2" t="n">
        <f aca="false">(M45-$B45)*$A45</f>
        <v>2.0796993E-005</v>
      </c>
      <c r="AL45" s="2" t="n">
        <f aca="false">(N45-$B45)*$A45</f>
        <v>-3.0986316E-005</v>
      </c>
      <c r="AM45" s="2" t="n">
        <f aca="false">(O45-$B45)*$A45</f>
        <v>1.7285613E-005</v>
      </c>
      <c r="AN45" s="2" t="n">
        <f aca="false">(P45-$B45)*$A45</f>
        <v>-4.79019999999974E-008</v>
      </c>
      <c r="AO45" s="2" t="n">
        <f aca="false">(Q45-$B45)*$A45</f>
        <v>0.000155369363</v>
      </c>
      <c r="AP45" s="2" t="n">
        <f aca="false">(R45-$B45)*$A45</f>
        <v>1.3955263E-005</v>
      </c>
      <c r="AQ45" s="2" t="n">
        <f aca="false">(S45-$B45)*$A45</f>
        <v>0.001733571703</v>
      </c>
      <c r="AR45" s="2" t="n">
        <f aca="false">(T45-$B45)*$A45</f>
        <v>-3.46968591E-005</v>
      </c>
      <c r="AS45" s="2" t="n">
        <f aca="false">(U45-$B45)*$A45</f>
        <v>-2.6491397E-005</v>
      </c>
      <c r="AT45" s="2" t="n">
        <f aca="false">(V45-$B45)*$A45</f>
        <v>7.9207333E-005</v>
      </c>
      <c r="AU45" s="2" t="n">
        <f aca="false">(W45-$B45)*$A45</f>
        <v>0.000580234303</v>
      </c>
      <c r="AV45" s="2" t="n">
        <f aca="false">(X45-$B45)*$A45</f>
        <v>-2.4441415E-005</v>
      </c>
      <c r="AW45" s="2" t="n">
        <f aca="false">(Y45-$B45)*$A45</f>
        <v>7.5750993E-005</v>
      </c>
    </row>
    <row r="46" customFormat="false" ht="13.8" hidden="false" customHeight="false" outlineLevel="0" collapsed="false">
      <c r="A46" s="1" t="n">
        <f aca="false">1+A45</f>
        <v>44</v>
      </c>
      <c r="B46" s="3" t="n">
        <v>4.05935E-007</v>
      </c>
      <c r="C46" s="3" t="n">
        <v>2.70352E-007</v>
      </c>
      <c r="D46" s="3" t="n">
        <v>6.73754E-006</v>
      </c>
      <c r="E46" s="3" t="n">
        <v>7.48783E-007</v>
      </c>
      <c r="F46" s="3" t="n">
        <v>2.95729E-005</v>
      </c>
      <c r="G46" s="3" t="n">
        <v>3.12151E-007</v>
      </c>
      <c r="H46" s="3" t="n">
        <v>2.7522E-006</v>
      </c>
      <c r="I46" s="3" t="n">
        <v>5.21444E-007</v>
      </c>
      <c r="J46" s="3" t="n">
        <v>3.57661E-007</v>
      </c>
      <c r="K46" s="3" t="n">
        <v>9.86244E-007</v>
      </c>
      <c r="L46" s="3" t="n">
        <v>9.72057E-007</v>
      </c>
      <c r="M46" s="3" t="n">
        <v>7.15214E-007</v>
      </c>
      <c r="O46" s="3" t="n">
        <v>8.6938E-007</v>
      </c>
      <c r="P46" s="3" t="n">
        <v>5.57741E-007</v>
      </c>
      <c r="Q46" s="3" t="n">
        <v>2.25766E-006</v>
      </c>
      <c r="R46" s="3" t="n">
        <v>4.46043E-007</v>
      </c>
      <c r="S46" s="3" t="n">
        <v>1.92154E-005</v>
      </c>
      <c r="U46" s="3" t="n">
        <v>1.43E-007</v>
      </c>
      <c r="V46" s="3" t="n">
        <v>1.04537E-006</v>
      </c>
      <c r="W46" s="3" t="n">
        <v>7.4969E-006</v>
      </c>
      <c r="X46" s="3" t="n">
        <v>9.53354E-008</v>
      </c>
      <c r="Y46" s="3" t="n">
        <v>1.35699E-006</v>
      </c>
      <c r="AA46" s="2" t="n">
        <f aca="false">(C46-$B46)*$A46</f>
        <v>-5.965652E-006</v>
      </c>
      <c r="AB46" s="2" t="n">
        <f aca="false">(D46-$B46)*$A46</f>
        <v>0.00027859062</v>
      </c>
      <c r="AC46" s="2" t="n">
        <f aca="false">(E46-$B46)*$A46</f>
        <v>1.5085312E-005</v>
      </c>
      <c r="AD46" s="2" t="n">
        <f aca="false">(F46-$B46)*$A46</f>
        <v>0.00128334646</v>
      </c>
      <c r="AE46" s="2" t="n">
        <f aca="false">(G46-$B46)*$A46</f>
        <v>-4.126496E-006</v>
      </c>
      <c r="AF46" s="2" t="n">
        <f aca="false">(H46-$B46)*$A46</f>
        <v>0.00010323566</v>
      </c>
      <c r="AG46" s="2" t="n">
        <f aca="false">(I46-$B46)*$A46</f>
        <v>5.082396E-006</v>
      </c>
      <c r="AH46" s="2" t="n">
        <f aca="false">(J46-$B46)*$A46</f>
        <v>-2.124056E-006</v>
      </c>
      <c r="AI46" s="2" t="n">
        <f aca="false">(K46-$B46)*$A46</f>
        <v>2.5533596E-005</v>
      </c>
      <c r="AJ46" s="2" t="n">
        <f aca="false">(L46-$B46)*$A46</f>
        <v>2.4909368E-005</v>
      </c>
      <c r="AK46" s="2" t="n">
        <f aca="false">(M46-$B46)*$A46</f>
        <v>1.3608276E-005</v>
      </c>
      <c r="AL46" s="2" t="n">
        <f aca="false">(N46-$B46)*$A46</f>
        <v>-1.786114E-005</v>
      </c>
      <c r="AM46" s="2" t="n">
        <f aca="false">(O46-$B46)*$A46</f>
        <v>2.039158E-005</v>
      </c>
      <c r="AN46" s="2" t="n">
        <f aca="false">(P46-$B46)*$A46</f>
        <v>6.679464E-006</v>
      </c>
      <c r="AO46" s="2" t="n">
        <f aca="false">(Q46-$B46)*$A46</f>
        <v>8.14759E-005</v>
      </c>
      <c r="AP46" s="2" t="n">
        <f aca="false">(R46-$B46)*$A46</f>
        <v>1.764752E-006</v>
      </c>
      <c r="AQ46" s="2" t="n">
        <f aca="false">(S46-$B46)*$A46</f>
        <v>0.00082761646</v>
      </c>
      <c r="AR46" s="2" t="n">
        <f aca="false">(T46-$B46)*$A46</f>
        <v>-1.786114E-005</v>
      </c>
      <c r="AS46" s="2" t="n">
        <f aca="false">(U46-$B46)*$A46</f>
        <v>-1.156914E-005</v>
      </c>
      <c r="AT46" s="2" t="n">
        <f aca="false">(V46-$B46)*$A46</f>
        <v>2.813514E-005</v>
      </c>
      <c r="AU46" s="2" t="n">
        <f aca="false">(W46-$B46)*$A46</f>
        <v>0.00031200246</v>
      </c>
      <c r="AV46" s="2" t="n">
        <f aca="false">(X46-$B46)*$A46</f>
        <v>-1.36663824E-005</v>
      </c>
      <c r="AW46" s="2" t="n">
        <f aca="false">(Y46-$B46)*$A46</f>
        <v>4.184642E-005</v>
      </c>
    </row>
    <row r="47" customFormat="false" ht="13.8" hidden="false" customHeight="false" outlineLevel="0" collapsed="false">
      <c r="A47" s="1" t="n">
        <f aca="false">1+A46</f>
        <v>45</v>
      </c>
      <c r="B47" s="3" t="n">
        <v>2.2552E-007</v>
      </c>
      <c r="C47" s="3" t="n">
        <v>1.80235E-007</v>
      </c>
      <c r="D47" s="3" t="n">
        <v>3.54608E-006</v>
      </c>
      <c r="E47" s="3" t="n">
        <v>3.74392E-007</v>
      </c>
      <c r="F47" s="3" t="n">
        <v>1.68809E-005</v>
      </c>
      <c r="G47" s="3" t="n">
        <v>8.91859E-008</v>
      </c>
      <c r="H47" s="3" t="n">
        <v>1.31057E-006</v>
      </c>
      <c r="I47" s="3" t="n">
        <v>1.42212E-007</v>
      </c>
      <c r="J47" s="3" t="n">
        <v>4.47076E-008</v>
      </c>
      <c r="K47" s="3" t="n">
        <v>2.68976E-007</v>
      </c>
      <c r="L47" s="3" t="n">
        <v>5.74397E-007</v>
      </c>
      <c r="M47" s="3" t="n">
        <v>4.47009E-007</v>
      </c>
      <c r="O47" s="3" t="n">
        <v>4.3469E-007</v>
      </c>
      <c r="P47" s="3" t="n">
        <v>2.57419E-007</v>
      </c>
      <c r="Q47" s="3" t="n">
        <v>6.77298E-007</v>
      </c>
      <c r="R47" s="3" t="n">
        <v>1.67266E-007</v>
      </c>
      <c r="S47" s="3" t="n">
        <v>9.63213E-006</v>
      </c>
      <c r="U47" s="3" t="n">
        <v>4.76667E-008</v>
      </c>
      <c r="V47" s="3" t="n">
        <v>3.04901E-007</v>
      </c>
      <c r="W47" s="3" t="n">
        <v>3.95542E-006</v>
      </c>
      <c r="X47" s="3" t="n">
        <v>4.76677E-008</v>
      </c>
      <c r="Y47" s="3" t="n">
        <v>1.00518E-006</v>
      </c>
      <c r="AA47" s="2" t="n">
        <f aca="false">(C47-$B47)*$A47</f>
        <v>-2.037825E-006</v>
      </c>
      <c r="AB47" s="2" t="n">
        <f aca="false">(D47-$B47)*$A47</f>
        <v>0.0001494252</v>
      </c>
      <c r="AC47" s="2" t="n">
        <f aca="false">(E47-$B47)*$A47</f>
        <v>6.69924E-006</v>
      </c>
      <c r="AD47" s="2" t="n">
        <f aca="false">(F47-$B47)*$A47</f>
        <v>0.0007494921</v>
      </c>
      <c r="AE47" s="2" t="n">
        <f aca="false">(G47-$B47)*$A47</f>
        <v>-6.1350345E-006</v>
      </c>
      <c r="AF47" s="2" t="n">
        <f aca="false">(H47-$B47)*$A47</f>
        <v>4.882725E-005</v>
      </c>
      <c r="AG47" s="2" t="n">
        <f aca="false">(I47-$B47)*$A47</f>
        <v>-3.74886E-006</v>
      </c>
      <c r="AH47" s="2" t="n">
        <f aca="false">(J47-$B47)*$A47</f>
        <v>-8.136558E-006</v>
      </c>
      <c r="AI47" s="2" t="n">
        <f aca="false">(K47-$B47)*$A47</f>
        <v>1.95552E-006</v>
      </c>
      <c r="AJ47" s="2" t="n">
        <f aca="false">(L47-$B47)*$A47</f>
        <v>1.5699465E-005</v>
      </c>
      <c r="AK47" s="2" t="n">
        <f aca="false">(M47-$B47)*$A47</f>
        <v>9.967005E-006</v>
      </c>
      <c r="AL47" s="2" t="n">
        <f aca="false">(N47-$B47)*$A47</f>
        <v>-1.01484E-005</v>
      </c>
      <c r="AM47" s="2" t="n">
        <f aca="false">(O47-$B47)*$A47</f>
        <v>9.41265E-006</v>
      </c>
      <c r="AN47" s="2" t="n">
        <f aca="false">(P47-$B47)*$A47</f>
        <v>1.435455E-006</v>
      </c>
      <c r="AO47" s="2" t="n">
        <f aca="false">(Q47-$B47)*$A47</f>
        <v>2.033001E-005</v>
      </c>
      <c r="AP47" s="2" t="n">
        <f aca="false">(R47-$B47)*$A47</f>
        <v>-2.62143E-006</v>
      </c>
      <c r="AQ47" s="2" t="n">
        <f aca="false">(S47-$B47)*$A47</f>
        <v>0.00042329745</v>
      </c>
      <c r="AR47" s="2" t="n">
        <f aca="false">(T47-$B47)*$A47</f>
        <v>-1.01484E-005</v>
      </c>
      <c r="AS47" s="2" t="n">
        <f aca="false">(U47-$B47)*$A47</f>
        <v>-8.0033985E-006</v>
      </c>
      <c r="AT47" s="2" t="n">
        <f aca="false">(V47-$B47)*$A47</f>
        <v>3.572145E-006</v>
      </c>
      <c r="AU47" s="2" t="n">
        <f aca="false">(W47-$B47)*$A47</f>
        <v>0.0001678455</v>
      </c>
      <c r="AV47" s="2" t="n">
        <f aca="false">(X47-$B47)*$A47</f>
        <v>-8.0033535E-006</v>
      </c>
      <c r="AW47" s="2" t="n">
        <f aca="false">(Y47-$B47)*$A47</f>
        <v>3.50847E-005</v>
      </c>
    </row>
    <row r="48" customFormat="false" ht="13.8" hidden="false" customHeight="false" outlineLevel="0" collapsed="false">
      <c r="A48" s="1" t="n">
        <f aca="false">1+A47</f>
        <v>46</v>
      </c>
      <c r="C48" s="3" t="n">
        <v>4.50586E-008</v>
      </c>
      <c r="D48" s="3" t="n">
        <v>1.72871E-006</v>
      </c>
      <c r="E48" s="3" t="n">
        <v>1.87196E-007</v>
      </c>
      <c r="F48" s="3" t="n">
        <v>7.66551E-006</v>
      </c>
      <c r="H48" s="3" t="n">
        <v>4.36857E-007</v>
      </c>
      <c r="I48" s="3" t="n">
        <v>4.7404E-008</v>
      </c>
      <c r="J48" s="3" t="n">
        <v>4.47076E-008</v>
      </c>
      <c r="L48" s="3" t="n">
        <v>1.76738E-007</v>
      </c>
      <c r="M48" s="3" t="n">
        <v>1.78803E-007</v>
      </c>
      <c r="O48" s="3" t="n">
        <v>2.17345E-007</v>
      </c>
      <c r="P48" s="3" t="n">
        <v>4.29031E-008</v>
      </c>
      <c r="Q48" s="3" t="n">
        <v>2.25766E-007</v>
      </c>
      <c r="S48" s="3" t="n">
        <v>2.64028E-006</v>
      </c>
      <c r="V48" s="3" t="n">
        <v>8.71145E-008</v>
      </c>
      <c r="W48" s="3" t="n">
        <v>1.74774E-006</v>
      </c>
      <c r="Y48" s="3" t="n">
        <v>4.52331E-007</v>
      </c>
      <c r="AA48" s="2" t="n">
        <f aca="false">(C48-$B48)*$A48</f>
        <v>2.0726956E-006</v>
      </c>
      <c r="AB48" s="2" t="n">
        <f aca="false">(D48-$B48)*$A48</f>
        <v>7.952066E-005</v>
      </c>
      <c r="AC48" s="2" t="n">
        <f aca="false">(E48-$B48)*$A48</f>
        <v>8.611016E-006</v>
      </c>
      <c r="AD48" s="2" t="n">
        <f aca="false">(F48-$B48)*$A48</f>
        <v>0.00035261346</v>
      </c>
      <c r="AE48" s="2" t="n">
        <f aca="false">(G48-$B48)*$A48</f>
        <v>0</v>
      </c>
      <c r="AF48" s="2" t="n">
        <f aca="false">(H48-$B48)*$A48</f>
        <v>2.0095422E-005</v>
      </c>
      <c r="AG48" s="2" t="n">
        <f aca="false">(I48-$B48)*$A48</f>
        <v>2.180584E-006</v>
      </c>
      <c r="AH48" s="2" t="n">
        <f aca="false">(J48-$B48)*$A48</f>
        <v>2.0565496E-006</v>
      </c>
      <c r="AI48" s="2" t="n">
        <f aca="false">(K48-$B48)*$A48</f>
        <v>0</v>
      </c>
      <c r="AJ48" s="2" t="n">
        <f aca="false">(L48-$B48)*$A48</f>
        <v>8.129948E-006</v>
      </c>
      <c r="AK48" s="2" t="n">
        <f aca="false">(M48-$B48)*$A48</f>
        <v>8.224938E-006</v>
      </c>
      <c r="AL48" s="2" t="n">
        <f aca="false">(N48-$B48)*$A48</f>
        <v>0</v>
      </c>
      <c r="AM48" s="2" t="n">
        <f aca="false">(O48-$B48)*$A48</f>
        <v>9.99787E-006</v>
      </c>
      <c r="AN48" s="2" t="n">
        <f aca="false">(P48-$B48)*$A48</f>
        <v>1.9735426E-006</v>
      </c>
      <c r="AO48" s="2" t="n">
        <f aca="false">(Q48-$B48)*$A48</f>
        <v>1.0385236E-005</v>
      </c>
      <c r="AP48" s="2" t="n">
        <f aca="false">(R48-$B48)*$A48</f>
        <v>0</v>
      </c>
      <c r="AQ48" s="2" t="n">
        <f aca="false">(S48-$B48)*$A48</f>
        <v>0.00012145288</v>
      </c>
      <c r="AR48" s="2" t="n">
        <f aca="false">(T48-$B48)*$A48</f>
        <v>0</v>
      </c>
      <c r="AS48" s="2" t="n">
        <f aca="false">(U48-$B48)*$A48</f>
        <v>0</v>
      </c>
      <c r="AT48" s="2" t="n">
        <f aca="false">(V48-$B48)*$A48</f>
        <v>4.007267E-006</v>
      </c>
      <c r="AU48" s="2" t="n">
        <f aca="false">(W48-$B48)*$A48</f>
        <v>8.039604E-005</v>
      </c>
      <c r="AV48" s="2" t="n">
        <f aca="false">(X48-$B48)*$A48</f>
        <v>0</v>
      </c>
      <c r="AW48" s="2" t="n">
        <f aca="false">(Y48-$B48)*$A48</f>
        <v>2.0807226E-005</v>
      </c>
    </row>
    <row r="49" customFormat="false" ht="13.8" hidden="false" customHeight="false" outlineLevel="0" collapsed="false">
      <c r="A49" s="1" t="n">
        <f aca="false">1+A48</f>
        <v>47</v>
      </c>
      <c r="D49" s="3" t="n">
        <v>7.97867E-007</v>
      </c>
      <c r="E49" s="3" t="n">
        <v>9.35979E-008</v>
      </c>
      <c r="F49" s="3" t="n">
        <v>3.35104E-006</v>
      </c>
      <c r="H49" s="3" t="n">
        <v>1.74743E-007</v>
      </c>
      <c r="L49" s="3" t="n">
        <v>4.41844E-008</v>
      </c>
      <c r="M49" s="3" t="n">
        <v>1.34103E-007</v>
      </c>
      <c r="O49" s="3" t="n">
        <v>1.73876E-007</v>
      </c>
      <c r="Q49" s="3" t="n">
        <v>9.03064E-008</v>
      </c>
      <c r="S49" s="3" t="n">
        <v>8.31199E-007</v>
      </c>
      <c r="V49" s="3" t="n">
        <v>4.35572E-008</v>
      </c>
      <c r="W49" s="3" t="n">
        <v>5.51919E-007</v>
      </c>
      <c r="Y49" s="3" t="n">
        <v>2.01036E-007</v>
      </c>
      <c r="AA49" s="2" t="n">
        <f aca="false">(C49-$B49)*$A49</f>
        <v>0</v>
      </c>
      <c r="AB49" s="2" t="n">
        <f aca="false">(D49-$B49)*$A49</f>
        <v>3.7499749E-005</v>
      </c>
      <c r="AC49" s="2" t="n">
        <f aca="false">(E49-$B49)*$A49</f>
        <v>4.3991013E-006</v>
      </c>
      <c r="AD49" s="2" t="n">
        <f aca="false">(F49-$B49)*$A49</f>
        <v>0.00015749888</v>
      </c>
      <c r="AE49" s="2" t="n">
        <f aca="false">(G49-$B49)*$A49</f>
        <v>0</v>
      </c>
      <c r="AF49" s="2" t="n">
        <f aca="false">(H49-$B49)*$A49</f>
        <v>8.212921E-006</v>
      </c>
      <c r="AG49" s="2" t="n">
        <f aca="false">(I49-$B49)*$A49</f>
        <v>0</v>
      </c>
      <c r="AH49" s="2" t="n">
        <f aca="false">(J49-$B49)*$A49</f>
        <v>0</v>
      </c>
      <c r="AI49" s="2" t="n">
        <f aca="false">(K49-$B49)*$A49</f>
        <v>0</v>
      </c>
      <c r="AJ49" s="2" t="n">
        <f aca="false">(L49-$B49)*$A49</f>
        <v>2.0766668E-006</v>
      </c>
      <c r="AK49" s="2" t="n">
        <f aca="false">(M49-$B49)*$A49</f>
        <v>6.302841E-006</v>
      </c>
      <c r="AL49" s="2" t="n">
        <f aca="false">(N49-$B49)*$A49</f>
        <v>0</v>
      </c>
      <c r="AM49" s="2" t="n">
        <f aca="false">(O49-$B49)*$A49</f>
        <v>8.172172E-006</v>
      </c>
      <c r="AN49" s="2" t="n">
        <f aca="false">(P49-$B49)*$A49</f>
        <v>0</v>
      </c>
      <c r="AO49" s="2" t="n">
        <f aca="false">(Q49-$B49)*$A49</f>
        <v>4.2444008E-006</v>
      </c>
      <c r="AP49" s="2" t="n">
        <f aca="false">(R49-$B49)*$A49</f>
        <v>0</v>
      </c>
      <c r="AQ49" s="2" t="n">
        <f aca="false">(S49-$B49)*$A49</f>
        <v>3.9066353E-005</v>
      </c>
      <c r="AR49" s="2" t="n">
        <f aca="false">(T49-$B49)*$A49</f>
        <v>0</v>
      </c>
      <c r="AS49" s="2" t="n">
        <f aca="false">(U49-$B49)*$A49</f>
        <v>0</v>
      </c>
      <c r="AT49" s="2" t="n">
        <f aca="false">(V49-$B49)*$A49</f>
        <v>2.0471884E-006</v>
      </c>
      <c r="AU49" s="2" t="n">
        <f aca="false">(W49-$B49)*$A49</f>
        <v>2.5940193E-005</v>
      </c>
      <c r="AV49" s="2" t="n">
        <f aca="false">(X49-$B49)*$A49</f>
        <v>0</v>
      </c>
      <c r="AW49" s="2" t="n">
        <f aca="false">(Y49-$B49)*$A49</f>
        <v>9.448692E-006</v>
      </c>
    </row>
    <row r="50" customFormat="false" ht="13.8" hidden="false" customHeight="false" outlineLevel="0" collapsed="false">
      <c r="A50" s="1" t="n">
        <f aca="false">1+A49</f>
        <v>48</v>
      </c>
      <c r="D50" s="3" t="n">
        <v>4.43259E-008</v>
      </c>
      <c r="F50" s="3" t="n">
        <v>1.59175E-006</v>
      </c>
      <c r="M50" s="3" t="n">
        <v>4.47009E-008</v>
      </c>
      <c r="O50" s="3" t="n">
        <v>8.6938E-008</v>
      </c>
      <c r="S50" s="3" t="n">
        <v>3.91152E-007</v>
      </c>
      <c r="W50" s="3" t="n">
        <v>2.29966E-007</v>
      </c>
      <c r="AA50" s="2" t="n">
        <f aca="false">(C50-$B50)*$A50</f>
        <v>0</v>
      </c>
      <c r="AB50" s="2" t="n">
        <f aca="false">(D50-$B50)*$A50</f>
        <v>2.1276432E-006</v>
      </c>
      <c r="AC50" s="2" t="n">
        <f aca="false">(E50-$B50)*$A50</f>
        <v>0</v>
      </c>
      <c r="AD50" s="2" t="n">
        <f aca="false">(F50-$B50)*$A50</f>
        <v>7.6404E-005</v>
      </c>
      <c r="AE50" s="2" t="n">
        <f aca="false">(G50-$B50)*$A50</f>
        <v>0</v>
      </c>
      <c r="AF50" s="2" t="n">
        <f aca="false">(H50-$B50)*$A50</f>
        <v>0</v>
      </c>
      <c r="AG50" s="2" t="n">
        <f aca="false">(I50-$B50)*$A50</f>
        <v>0</v>
      </c>
      <c r="AH50" s="2" t="n">
        <f aca="false">(J50-$B50)*$A50</f>
        <v>0</v>
      </c>
      <c r="AI50" s="2" t="n">
        <f aca="false">(K50-$B50)*$A50</f>
        <v>0</v>
      </c>
      <c r="AJ50" s="2" t="n">
        <f aca="false">(L50-$B50)*$A50</f>
        <v>0</v>
      </c>
      <c r="AK50" s="2" t="n">
        <f aca="false">(M50-$B50)*$A50</f>
        <v>2.1456432E-006</v>
      </c>
      <c r="AL50" s="2" t="n">
        <f aca="false">(N50-$B50)*$A50</f>
        <v>0</v>
      </c>
      <c r="AM50" s="2" t="n">
        <f aca="false">(O50-$B50)*$A50</f>
        <v>4.173024E-006</v>
      </c>
      <c r="AN50" s="2" t="n">
        <f aca="false">(P50-$B50)*$A50</f>
        <v>0</v>
      </c>
      <c r="AO50" s="2" t="n">
        <f aca="false">(Q50-$B50)*$A50</f>
        <v>0</v>
      </c>
      <c r="AP50" s="2" t="n">
        <f aca="false">(R50-$B50)*$A50</f>
        <v>0</v>
      </c>
      <c r="AQ50" s="2" t="n">
        <f aca="false">(S50-$B50)*$A50</f>
        <v>1.8775296E-005</v>
      </c>
      <c r="AR50" s="2" t="n">
        <f aca="false">(T50-$B50)*$A50</f>
        <v>0</v>
      </c>
      <c r="AS50" s="2" t="n">
        <f aca="false">(U50-$B50)*$A50</f>
        <v>0</v>
      </c>
      <c r="AT50" s="2" t="n">
        <f aca="false">(V50-$B50)*$A50</f>
        <v>0</v>
      </c>
      <c r="AU50" s="2" t="n">
        <f aca="false">(W50-$B50)*$A50</f>
        <v>1.1038368E-005</v>
      </c>
      <c r="AV50" s="2" t="n">
        <f aca="false">(X50-$B50)*$A50</f>
        <v>0</v>
      </c>
      <c r="AW50" s="2" t="n">
        <f aca="false">(Y50-$B50)*$A50</f>
        <v>0</v>
      </c>
    </row>
    <row r="51" customFormat="false" ht="13.8" hidden="false" customHeight="false" outlineLevel="0" collapsed="false">
      <c r="A51" s="1" t="n">
        <f aca="false">1+A50</f>
        <v>49</v>
      </c>
      <c r="F51" s="3" t="n">
        <v>4.1888E-007</v>
      </c>
      <c r="M51" s="3" t="n">
        <v>4.47009E-008</v>
      </c>
      <c r="S51" s="3" t="n">
        <v>4.8894E-008</v>
      </c>
      <c r="W51" s="3" t="n">
        <v>4.59932E-008</v>
      </c>
      <c r="AA51" s="2" t="n">
        <f aca="false">(C51-$B51)*$A51</f>
        <v>0</v>
      </c>
      <c r="AB51" s="2" t="n">
        <f aca="false">(D51-$B51)*$A51</f>
        <v>0</v>
      </c>
      <c r="AC51" s="2" t="n">
        <f aca="false">(E51-$B51)*$A51</f>
        <v>0</v>
      </c>
      <c r="AD51" s="2" t="n">
        <f aca="false">(F51-$B51)*$A51</f>
        <v>2.052512E-005</v>
      </c>
      <c r="AE51" s="2" t="n">
        <f aca="false">(G51-$B51)*$A51</f>
        <v>0</v>
      </c>
      <c r="AF51" s="2" t="n">
        <f aca="false">(H51-$B51)*$A51</f>
        <v>0</v>
      </c>
      <c r="AG51" s="2" t="n">
        <f aca="false">(I51-$B51)*$A51</f>
        <v>0</v>
      </c>
      <c r="AH51" s="2" t="n">
        <f aca="false">(J51-$B51)*$A51</f>
        <v>0</v>
      </c>
      <c r="AI51" s="2" t="n">
        <f aca="false">(K51-$B51)*$A51</f>
        <v>0</v>
      </c>
      <c r="AJ51" s="2" t="n">
        <f aca="false">(L51-$B51)*$A51</f>
        <v>0</v>
      </c>
      <c r="AK51" s="2" t="n">
        <f aca="false">(M51-$B51)*$A51</f>
        <v>2.1903441E-006</v>
      </c>
      <c r="AL51" s="2" t="n">
        <f aca="false">(N51-$B51)*$A51</f>
        <v>0</v>
      </c>
      <c r="AM51" s="2" t="n">
        <f aca="false">(O51-$B51)*$A51</f>
        <v>0</v>
      </c>
      <c r="AN51" s="2" t="n">
        <f aca="false">(P51-$B51)*$A51</f>
        <v>0</v>
      </c>
      <c r="AO51" s="2" t="n">
        <f aca="false">(Q51-$B51)*$A51</f>
        <v>0</v>
      </c>
      <c r="AP51" s="2" t="n">
        <f aca="false">(R51-$B51)*$A51</f>
        <v>0</v>
      </c>
      <c r="AQ51" s="2" t="n">
        <f aca="false">(S51-$B51)*$A51</f>
        <v>2.395806E-006</v>
      </c>
      <c r="AR51" s="2" t="n">
        <f aca="false">(T51-$B51)*$A51</f>
        <v>0</v>
      </c>
      <c r="AS51" s="2" t="n">
        <f aca="false">(U51-$B51)*$A51</f>
        <v>0</v>
      </c>
      <c r="AT51" s="2" t="n">
        <f aca="false">(V51-$B51)*$A51</f>
        <v>0</v>
      </c>
      <c r="AU51" s="2" t="n">
        <f aca="false">(W51-$B51)*$A51</f>
        <v>2.2536668E-006</v>
      </c>
      <c r="AV51" s="2" t="n">
        <f aca="false">(X51-$B51)*$A51</f>
        <v>0</v>
      </c>
      <c r="AW51" s="2" t="n">
        <f aca="false">(Y51-$B51)*$A51</f>
        <v>0</v>
      </c>
    </row>
    <row r="52" customFormat="false" ht="13.8" hidden="false" customHeight="false" outlineLevel="0" collapsed="false">
      <c r="A52" s="1" t="n">
        <f aca="false">1+A51</f>
        <v>50</v>
      </c>
      <c r="F52" s="3" t="n">
        <v>8.37761E-008</v>
      </c>
      <c r="AA52" s="2" t="n">
        <f aca="false">(C52-$B52)*$A52</f>
        <v>0</v>
      </c>
      <c r="AB52" s="2" t="n">
        <f aca="false">(D52-$B52)*$A52</f>
        <v>0</v>
      </c>
      <c r="AC52" s="2" t="n">
        <f aca="false">(E52-$B52)*$A52</f>
        <v>0</v>
      </c>
      <c r="AD52" s="2" t="n">
        <f aca="false">(F52-$B52)*$A52</f>
        <v>4.188805E-006</v>
      </c>
      <c r="AE52" s="2" t="n">
        <f aca="false">(G52-$B52)*$A52</f>
        <v>0</v>
      </c>
      <c r="AF52" s="2" t="n">
        <f aca="false">(H52-$B52)*$A52</f>
        <v>0</v>
      </c>
      <c r="AG52" s="2" t="n">
        <f aca="false">(I52-$B52)*$A52</f>
        <v>0</v>
      </c>
      <c r="AH52" s="2" t="n">
        <f aca="false">(J52-$B52)*$A52</f>
        <v>0</v>
      </c>
      <c r="AI52" s="2" t="n">
        <f aca="false">(K52-$B52)*$A52</f>
        <v>0</v>
      </c>
      <c r="AJ52" s="2" t="n">
        <f aca="false">(L52-$B52)*$A52</f>
        <v>0</v>
      </c>
      <c r="AK52" s="2" t="n">
        <f aca="false">(M52-$B52)*$A52</f>
        <v>0</v>
      </c>
      <c r="AL52" s="2" t="n">
        <f aca="false">(N52-$B52)*$A52</f>
        <v>0</v>
      </c>
      <c r="AM52" s="2" t="n">
        <f aca="false">(O52-$B52)*$A52</f>
        <v>0</v>
      </c>
      <c r="AN52" s="2" t="n">
        <f aca="false">(P52-$B52)*$A52</f>
        <v>0</v>
      </c>
      <c r="AO52" s="2" t="n">
        <f aca="false">(Q52-$B52)*$A52</f>
        <v>0</v>
      </c>
      <c r="AP52" s="2" t="n">
        <f aca="false">(R52-$B52)*$A52</f>
        <v>0</v>
      </c>
      <c r="AQ52" s="2" t="n">
        <f aca="false">(S52-$B52)*$A52</f>
        <v>0</v>
      </c>
      <c r="AR52" s="2" t="n">
        <f aca="false">(T52-$B52)*$A52</f>
        <v>0</v>
      </c>
      <c r="AS52" s="2" t="n">
        <f aca="false">(U52-$B52)*$A52</f>
        <v>0</v>
      </c>
      <c r="AT52" s="2" t="n">
        <f aca="false">(V52-$B52)*$A52</f>
        <v>0</v>
      </c>
      <c r="AU52" s="2" t="n">
        <f aca="false">(W52-$B52)*$A52</f>
        <v>0</v>
      </c>
      <c r="AV52" s="2" t="n">
        <f aca="false">(X52-$B52)*$A52</f>
        <v>0</v>
      </c>
      <c r="AW52" s="2" t="n">
        <f aca="false">(Y52-$B52)*$A52</f>
        <v>0</v>
      </c>
    </row>
    <row r="53" customFormat="false" ht="13.8" hidden="false" customHeight="false" outlineLevel="0" collapsed="false">
      <c r="A53" s="1" t="n">
        <f aca="false">1+A52</f>
        <v>51</v>
      </c>
      <c r="AA53" s="2" t="n">
        <f aca="false">(C53-$B53)*$A53</f>
        <v>0</v>
      </c>
      <c r="AB53" s="2" t="n">
        <f aca="false">(D53-$B53)*$A53</f>
        <v>0</v>
      </c>
      <c r="AC53" s="2" t="n">
        <f aca="false">(E53-$B53)*$A53</f>
        <v>0</v>
      </c>
      <c r="AD53" s="2" t="n">
        <f aca="false">(F53-$B53)*$A53</f>
        <v>0</v>
      </c>
      <c r="AE53" s="2" t="n">
        <f aca="false">(G53-$B53)*$A53</f>
        <v>0</v>
      </c>
      <c r="AF53" s="2" t="n">
        <f aca="false">(H53-$B53)*$A53</f>
        <v>0</v>
      </c>
      <c r="AG53" s="2" t="n">
        <f aca="false">(I53-$B53)*$A53</f>
        <v>0</v>
      </c>
      <c r="AH53" s="2" t="n">
        <f aca="false">(J53-$B53)*$A53</f>
        <v>0</v>
      </c>
      <c r="AI53" s="2" t="n">
        <f aca="false">(K53-$B53)*$A53</f>
        <v>0</v>
      </c>
      <c r="AJ53" s="2" t="n">
        <f aca="false">(L53-$B53)*$A53</f>
        <v>0</v>
      </c>
      <c r="AK53" s="2" t="n">
        <f aca="false">(M53-$B53)*$A53</f>
        <v>0</v>
      </c>
      <c r="AL53" s="2" t="n">
        <f aca="false">(N53-$B53)*$A53</f>
        <v>0</v>
      </c>
      <c r="AM53" s="2" t="n">
        <f aca="false">(O53-$B53)*$A53</f>
        <v>0</v>
      </c>
      <c r="AN53" s="2" t="n">
        <f aca="false">(P53-$B53)*$A53</f>
        <v>0</v>
      </c>
      <c r="AO53" s="2" t="n">
        <f aca="false">(Q53-$B53)*$A53</f>
        <v>0</v>
      </c>
      <c r="AP53" s="2" t="n">
        <f aca="false">(R53-$B53)*$A53</f>
        <v>0</v>
      </c>
      <c r="AQ53" s="2" t="n">
        <f aca="false">(S53-$B53)*$A53</f>
        <v>0</v>
      </c>
      <c r="AR53" s="2" t="n">
        <f aca="false">(T53-$B53)*$A53</f>
        <v>0</v>
      </c>
      <c r="AS53" s="2" t="n">
        <f aca="false">(U53-$B53)*$A53</f>
        <v>0</v>
      </c>
      <c r="AT53" s="2" t="n">
        <f aca="false">(V53-$B53)*$A53</f>
        <v>0</v>
      </c>
      <c r="AU53" s="2" t="n">
        <f aca="false">(W53-$B53)*$A53</f>
        <v>0</v>
      </c>
      <c r="AV53" s="2" t="n">
        <f aca="false">(X53-$B53)*$A53</f>
        <v>0</v>
      </c>
      <c r="AW53" s="2" t="n">
        <f aca="false">(Y53-$B53)*$A53</f>
        <v>0</v>
      </c>
    </row>
    <row r="54" customFormat="false" ht="13.8" hidden="false" customHeight="false" outlineLevel="0" collapsed="false">
      <c r="A54" s="1" t="n">
        <f aca="false">1+A53</f>
        <v>52</v>
      </c>
      <c r="AA54" s="2" t="n">
        <f aca="false">(C54-$B54)*$A54</f>
        <v>0</v>
      </c>
      <c r="AB54" s="2" t="n">
        <f aca="false">(D54-$B54)*$A54</f>
        <v>0</v>
      </c>
      <c r="AC54" s="2" t="n">
        <f aca="false">(E54-$B54)*$A54</f>
        <v>0</v>
      </c>
      <c r="AD54" s="2" t="n">
        <f aca="false">(F54-$B54)*$A54</f>
        <v>0</v>
      </c>
      <c r="AE54" s="2" t="n">
        <f aca="false">(G54-$B54)*$A54</f>
        <v>0</v>
      </c>
      <c r="AF54" s="2" t="n">
        <f aca="false">(H54-$B54)*$A54</f>
        <v>0</v>
      </c>
      <c r="AG54" s="2" t="n">
        <f aca="false">(I54-$B54)*$A54</f>
        <v>0</v>
      </c>
      <c r="AH54" s="2" t="n">
        <f aca="false">(J54-$B54)*$A54</f>
        <v>0</v>
      </c>
      <c r="AI54" s="2" t="n">
        <f aca="false">(K54-$B54)*$A54</f>
        <v>0</v>
      </c>
      <c r="AJ54" s="2" t="n">
        <f aca="false">(L54-$B54)*$A54</f>
        <v>0</v>
      </c>
      <c r="AK54" s="2" t="n">
        <f aca="false">(M54-$B54)*$A54</f>
        <v>0</v>
      </c>
      <c r="AL54" s="2" t="n">
        <f aca="false">(N54-$B54)*$A54</f>
        <v>0</v>
      </c>
      <c r="AM54" s="2" t="n">
        <f aca="false">(O54-$B54)*$A54</f>
        <v>0</v>
      </c>
      <c r="AN54" s="2" t="n">
        <f aca="false">(P54-$B54)*$A54</f>
        <v>0</v>
      </c>
      <c r="AO54" s="2" t="n">
        <f aca="false">(Q54-$B54)*$A54</f>
        <v>0</v>
      </c>
      <c r="AP54" s="2" t="n">
        <f aca="false">(R54-$B54)*$A54</f>
        <v>0</v>
      </c>
      <c r="AQ54" s="2" t="n">
        <f aca="false">(S54-$B54)*$A54</f>
        <v>0</v>
      </c>
      <c r="AR54" s="2" t="n">
        <f aca="false">(T54-$B54)*$A54</f>
        <v>0</v>
      </c>
      <c r="AS54" s="2" t="n">
        <f aca="false">(U54-$B54)*$A54</f>
        <v>0</v>
      </c>
      <c r="AT54" s="2" t="n">
        <f aca="false">(V54-$B54)*$A54</f>
        <v>0</v>
      </c>
      <c r="AU54" s="2" t="n">
        <f aca="false">(W54-$B54)*$A54</f>
        <v>0</v>
      </c>
      <c r="AV54" s="2" t="n">
        <f aca="false">(X54-$B54)*$A54</f>
        <v>0</v>
      </c>
      <c r="AW54" s="2" t="n">
        <f aca="false">(Y54-$B54)*$A54</f>
        <v>0</v>
      </c>
    </row>
    <row r="55" customFormat="false" ht="13.8" hidden="false" customHeight="false" outlineLevel="0" collapsed="false">
      <c r="A55" s="1" t="n">
        <f aca="false">1+A54</f>
        <v>53</v>
      </c>
      <c r="AA55" s="2" t="n">
        <f aca="false">(C55-$B55)*$A55</f>
        <v>0</v>
      </c>
      <c r="AB55" s="2" t="n">
        <f aca="false">(D55-$B55)*$A55</f>
        <v>0</v>
      </c>
      <c r="AC55" s="2" t="n">
        <f aca="false">(E55-$B55)*$A55</f>
        <v>0</v>
      </c>
      <c r="AD55" s="2" t="n">
        <f aca="false">(F55-$B55)*$A55</f>
        <v>0</v>
      </c>
      <c r="AE55" s="2" t="n">
        <f aca="false">(G55-$B55)*$A55</f>
        <v>0</v>
      </c>
      <c r="AF55" s="2" t="n">
        <f aca="false">(H55-$B55)*$A55</f>
        <v>0</v>
      </c>
      <c r="AG55" s="2" t="n">
        <f aca="false">(I55-$B55)*$A55</f>
        <v>0</v>
      </c>
      <c r="AH55" s="2" t="n">
        <f aca="false">(J55-$B55)*$A55</f>
        <v>0</v>
      </c>
      <c r="AI55" s="2" t="n">
        <f aca="false">(K55-$B55)*$A55</f>
        <v>0</v>
      </c>
      <c r="AJ55" s="2" t="n">
        <f aca="false">(L55-$B55)*$A55</f>
        <v>0</v>
      </c>
      <c r="AK55" s="2" t="n">
        <f aca="false">(M55-$B55)*$A55</f>
        <v>0</v>
      </c>
      <c r="AL55" s="2" t="n">
        <f aca="false">(N55-$B55)*$A55</f>
        <v>0</v>
      </c>
      <c r="AM55" s="2" t="n">
        <f aca="false">(O55-$B55)*$A55</f>
        <v>0</v>
      </c>
      <c r="AN55" s="2" t="n">
        <f aca="false">(P55-$B55)*$A55</f>
        <v>0</v>
      </c>
      <c r="AO55" s="2" t="n">
        <f aca="false">(Q55-$B55)*$A55</f>
        <v>0</v>
      </c>
      <c r="AP55" s="2" t="n">
        <f aca="false">(R55-$B55)*$A55</f>
        <v>0</v>
      </c>
      <c r="AQ55" s="2" t="n">
        <f aca="false">(S55-$B55)*$A55</f>
        <v>0</v>
      </c>
      <c r="AR55" s="2" t="n">
        <f aca="false">(T55-$B55)*$A55</f>
        <v>0</v>
      </c>
      <c r="AS55" s="2" t="n">
        <f aca="false">(U55-$B55)*$A55</f>
        <v>0</v>
      </c>
      <c r="AT55" s="2" t="n">
        <f aca="false">(V55-$B55)*$A55</f>
        <v>0</v>
      </c>
      <c r="AU55" s="2" t="n">
        <f aca="false">(W55-$B55)*$A55</f>
        <v>0</v>
      </c>
      <c r="AV55" s="2" t="n">
        <f aca="false">(X55-$B55)*$A55</f>
        <v>0</v>
      </c>
      <c r="AW55" s="2" t="n">
        <f aca="false">(Y55-$B55)*$A55</f>
        <v>0</v>
      </c>
    </row>
    <row r="56" customFormat="false" ht="13.8" hidden="false" customHeight="false" outlineLevel="0" collapsed="false">
      <c r="A56" s="1" t="n">
        <f aca="false">1+A55</f>
        <v>54</v>
      </c>
      <c r="AA56" s="2" t="n">
        <f aca="false">(C56-$B56)*$A56</f>
        <v>0</v>
      </c>
      <c r="AB56" s="2" t="n">
        <f aca="false">(D56-$B56)*$A56</f>
        <v>0</v>
      </c>
      <c r="AC56" s="2" t="n">
        <f aca="false">(E56-$B56)*$A56</f>
        <v>0</v>
      </c>
      <c r="AD56" s="2" t="n">
        <f aca="false">(F56-$B56)*$A56</f>
        <v>0</v>
      </c>
      <c r="AE56" s="2" t="n">
        <f aca="false">(G56-$B56)*$A56</f>
        <v>0</v>
      </c>
      <c r="AF56" s="2" t="n">
        <f aca="false">(H56-$B56)*$A56</f>
        <v>0</v>
      </c>
      <c r="AG56" s="2" t="n">
        <f aca="false">(I56-$B56)*$A56</f>
        <v>0</v>
      </c>
      <c r="AH56" s="2" t="n">
        <f aca="false">(J56-$B56)*$A56</f>
        <v>0</v>
      </c>
      <c r="AI56" s="2" t="n">
        <f aca="false">(K56-$B56)*$A56</f>
        <v>0</v>
      </c>
      <c r="AJ56" s="2" t="n">
        <f aca="false">(L56-$B56)*$A56</f>
        <v>0</v>
      </c>
      <c r="AK56" s="2" t="n">
        <f aca="false">(M56-$B56)*$A56</f>
        <v>0</v>
      </c>
      <c r="AL56" s="2" t="n">
        <f aca="false">(N56-$B56)*$A56</f>
        <v>0</v>
      </c>
      <c r="AM56" s="2" t="n">
        <f aca="false">(O56-$B56)*$A56</f>
        <v>0</v>
      </c>
      <c r="AN56" s="2" t="n">
        <f aca="false">(P56-$B56)*$A56</f>
        <v>0</v>
      </c>
      <c r="AO56" s="2" t="n">
        <f aca="false">(Q56-$B56)*$A56</f>
        <v>0</v>
      </c>
      <c r="AP56" s="2" t="n">
        <f aca="false">(R56-$B56)*$A56</f>
        <v>0</v>
      </c>
      <c r="AQ56" s="2" t="n">
        <f aca="false">(S56-$B56)*$A56</f>
        <v>0</v>
      </c>
      <c r="AR56" s="2" t="n">
        <f aca="false">(T56-$B56)*$A56</f>
        <v>0</v>
      </c>
      <c r="AS56" s="2" t="n">
        <f aca="false">(U56-$B56)*$A56</f>
        <v>0</v>
      </c>
      <c r="AT56" s="2" t="n">
        <f aca="false">(V56-$B56)*$A56</f>
        <v>0</v>
      </c>
      <c r="AU56" s="2" t="n">
        <f aca="false">(W56-$B56)*$A56</f>
        <v>0</v>
      </c>
      <c r="AV56" s="2" t="n">
        <f aca="false">(X56-$B56)*$A56</f>
        <v>0</v>
      </c>
      <c r="AW56" s="2" t="n">
        <f aca="false">(Y56-$B56)*$A56</f>
        <v>0</v>
      </c>
    </row>
    <row r="57" customFormat="false" ht="13.8" hidden="false" customHeight="false" outlineLevel="0" collapsed="false">
      <c r="A57" s="1" t="n">
        <f aca="false">1+A56</f>
        <v>55</v>
      </c>
      <c r="AA57" s="2" t="n">
        <f aca="false">(C57-$B57)*$A57</f>
        <v>0</v>
      </c>
      <c r="AB57" s="2" t="n">
        <f aca="false">(D57-$B57)*$A57</f>
        <v>0</v>
      </c>
      <c r="AC57" s="2" t="n">
        <f aca="false">(E57-$B57)*$A57</f>
        <v>0</v>
      </c>
      <c r="AD57" s="2" t="n">
        <f aca="false">(F57-$B57)*$A57</f>
        <v>0</v>
      </c>
      <c r="AE57" s="2" t="n">
        <f aca="false">(G57-$B57)*$A57</f>
        <v>0</v>
      </c>
      <c r="AF57" s="2" t="n">
        <f aca="false">(H57-$B57)*$A57</f>
        <v>0</v>
      </c>
      <c r="AG57" s="2" t="n">
        <f aca="false">(I57-$B57)*$A57</f>
        <v>0</v>
      </c>
      <c r="AH57" s="2" t="n">
        <f aca="false">(J57-$B57)*$A57</f>
        <v>0</v>
      </c>
      <c r="AI57" s="2" t="n">
        <f aca="false">(K57-$B57)*$A57</f>
        <v>0</v>
      </c>
      <c r="AJ57" s="2" t="n">
        <f aca="false">(L57-$B57)*$A57</f>
        <v>0</v>
      </c>
      <c r="AK57" s="2" t="n">
        <f aca="false">(M57-$B57)*$A57</f>
        <v>0</v>
      </c>
      <c r="AL57" s="2" t="n">
        <f aca="false">(N57-$B57)*$A57</f>
        <v>0</v>
      </c>
      <c r="AM57" s="2" t="n">
        <f aca="false">(O57-$B57)*$A57</f>
        <v>0</v>
      </c>
      <c r="AN57" s="2" t="n">
        <f aca="false">(P57-$B57)*$A57</f>
        <v>0</v>
      </c>
      <c r="AO57" s="2" t="n">
        <f aca="false">(Q57-$B57)*$A57</f>
        <v>0</v>
      </c>
      <c r="AP57" s="2" t="n">
        <f aca="false">(R57-$B57)*$A57</f>
        <v>0</v>
      </c>
      <c r="AQ57" s="2" t="n">
        <f aca="false">(S57-$B57)*$A57</f>
        <v>0</v>
      </c>
      <c r="AR57" s="2" t="n">
        <f aca="false">(T57-$B57)*$A57</f>
        <v>0</v>
      </c>
      <c r="AS57" s="2" t="n">
        <f aca="false">(U57-$B57)*$A57</f>
        <v>0</v>
      </c>
      <c r="AT57" s="2" t="n">
        <f aca="false">(V57-$B57)*$A57</f>
        <v>0</v>
      </c>
      <c r="AU57" s="2" t="n">
        <f aca="false">(W57-$B57)*$A57</f>
        <v>0</v>
      </c>
      <c r="AV57" s="2" t="n">
        <f aca="false">(X57-$B57)*$A57</f>
        <v>0</v>
      </c>
      <c r="AW57" s="2" t="n">
        <f aca="false">(Y57-$B57)*$A57</f>
        <v>0</v>
      </c>
    </row>
    <row r="58" customFormat="false" ht="13.8" hidden="false" customHeight="false" outlineLevel="0" collapsed="false">
      <c r="A58" s="1" t="n">
        <f aca="false">1+A57</f>
        <v>56</v>
      </c>
      <c r="AA58" s="2" t="n">
        <f aca="false">(C58-$B58)*$A58</f>
        <v>0</v>
      </c>
      <c r="AB58" s="2" t="n">
        <f aca="false">(D58-$B58)*$A58</f>
        <v>0</v>
      </c>
      <c r="AC58" s="2" t="n">
        <f aca="false">(E58-$B58)*$A58</f>
        <v>0</v>
      </c>
      <c r="AD58" s="2" t="n">
        <f aca="false">(F58-$B58)*$A58</f>
        <v>0</v>
      </c>
      <c r="AE58" s="2" t="n">
        <f aca="false">(G58-$B58)*$A58</f>
        <v>0</v>
      </c>
      <c r="AF58" s="2" t="n">
        <f aca="false">(H58-$B58)*$A58</f>
        <v>0</v>
      </c>
      <c r="AG58" s="2" t="n">
        <f aca="false">(I58-$B58)*$A58</f>
        <v>0</v>
      </c>
      <c r="AH58" s="2" t="n">
        <f aca="false">(J58-$B58)*$A58</f>
        <v>0</v>
      </c>
      <c r="AI58" s="2" t="n">
        <f aca="false">(K58-$B58)*$A58</f>
        <v>0</v>
      </c>
      <c r="AJ58" s="2" t="n">
        <f aca="false">(L58-$B58)*$A58</f>
        <v>0</v>
      </c>
      <c r="AK58" s="2" t="n">
        <f aca="false">(M58-$B58)*$A58</f>
        <v>0</v>
      </c>
      <c r="AL58" s="2" t="n">
        <f aca="false">(N58-$B58)*$A58</f>
        <v>0</v>
      </c>
      <c r="AM58" s="2" t="n">
        <f aca="false">(O58-$B58)*$A58</f>
        <v>0</v>
      </c>
      <c r="AN58" s="2" t="n">
        <f aca="false">(P58-$B58)*$A58</f>
        <v>0</v>
      </c>
      <c r="AO58" s="2" t="n">
        <f aca="false">(Q58-$B58)*$A58</f>
        <v>0</v>
      </c>
      <c r="AP58" s="2" t="n">
        <f aca="false">(R58-$B58)*$A58</f>
        <v>0</v>
      </c>
      <c r="AQ58" s="2" t="n">
        <f aca="false">(S58-$B58)*$A58</f>
        <v>0</v>
      </c>
      <c r="AR58" s="2" t="n">
        <f aca="false">(T58-$B58)*$A58</f>
        <v>0</v>
      </c>
      <c r="AS58" s="2" t="n">
        <f aca="false">(U58-$B58)*$A58</f>
        <v>0</v>
      </c>
      <c r="AT58" s="2" t="n">
        <f aca="false">(V58-$B58)*$A58</f>
        <v>0</v>
      </c>
      <c r="AU58" s="2" t="n">
        <f aca="false">(W58-$B58)*$A58</f>
        <v>0</v>
      </c>
      <c r="AV58" s="2" t="n">
        <f aca="false">(X58-$B58)*$A58</f>
        <v>0</v>
      </c>
      <c r="AW58" s="2" t="n">
        <f aca="false">(Y58-$B58)*$A58</f>
        <v>0</v>
      </c>
    </row>
    <row r="59" customFormat="false" ht="13.8" hidden="false" customHeight="false" outlineLevel="0" collapsed="false">
      <c r="A59" s="1" t="n">
        <f aca="false">1+A58</f>
        <v>57</v>
      </c>
      <c r="AA59" s="2" t="n">
        <f aca="false">(C59-$B59)*$A59</f>
        <v>0</v>
      </c>
      <c r="AB59" s="2" t="n">
        <f aca="false">(D59-$B59)*$A59</f>
        <v>0</v>
      </c>
      <c r="AC59" s="2" t="n">
        <f aca="false">(E59-$B59)*$A59</f>
        <v>0</v>
      </c>
      <c r="AD59" s="2" t="n">
        <f aca="false">(F59-$B59)*$A59</f>
        <v>0</v>
      </c>
      <c r="AE59" s="2" t="n">
        <f aca="false">(G59-$B59)*$A59</f>
        <v>0</v>
      </c>
      <c r="AF59" s="2" t="n">
        <f aca="false">(H59-$B59)*$A59</f>
        <v>0</v>
      </c>
      <c r="AG59" s="2" t="n">
        <f aca="false">(I59-$B59)*$A59</f>
        <v>0</v>
      </c>
      <c r="AH59" s="2" t="n">
        <f aca="false">(J59-$B59)*$A59</f>
        <v>0</v>
      </c>
      <c r="AI59" s="2" t="n">
        <f aca="false">(K59-$B59)*$A59</f>
        <v>0</v>
      </c>
      <c r="AJ59" s="2" t="n">
        <f aca="false">(L59-$B59)*$A59</f>
        <v>0</v>
      </c>
      <c r="AK59" s="2" t="n">
        <f aca="false">(M59-$B59)*$A59</f>
        <v>0</v>
      </c>
      <c r="AL59" s="2" t="n">
        <f aca="false">(N59-$B59)*$A59</f>
        <v>0</v>
      </c>
      <c r="AM59" s="2" t="n">
        <f aca="false">(O59-$B59)*$A59</f>
        <v>0</v>
      </c>
      <c r="AN59" s="2" t="n">
        <f aca="false">(P59-$B59)*$A59</f>
        <v>0</v>
      </c>
      <c r="AO59" s="2" t="n">
        <f aca="false">(Q59-$B59)*$A59</f>
        <v>0</v>
      </c>
      <c r="AP59" s="2" t="n">
        <f aca="false">(R59-$B59)*$A59</f>
        <v>0</v>
      </c>
      <c r="AQ59" s="2" t="n">
        <f aca="false">(S59-$B59)*$A59</f>
        <v>0</v>
      </c>
      <c r="AR59" s="2" t="n">
        <f aca="false">(T59-$B59)*$A59</f>
        <v>0</v>
      </c>
      <c r="AS59" s="2" t="n">
        <f aca="false">(U59-$B59)*$A59</f>
        <v>0</v>
      </c>
      <c r="AT59" s="2" t="n">
        <f aca="false">(V59-$B59)*$A59</f>
        <v>0</v>
      </c>
      <c r="AU59" s="2" t="n">
        <f aca="false">(W59-$B59)*$A59</f>
        <v>0</v>
      </c>
      <c r="AV59" s="2" t="n">
        <f aca="false">(X59-$B59)*$A59</f>
        <v>0</v>
      </c>
      <c r="AW59" s="2" t="n">
        <f aca="false">(Y59-$B59)*$A59</f>
        <v>0</v>
      </c>
    </row>
    <row r="60" customFormat="false" ht="13.8" hidden="false" customHeight="false" outlineLevel="0" collapsed="false">
      <c r="A60" s="1" t="n">
        <f aca="false">1+A59</f>
        <v>58</v>
      </c>
      <c r="AA60" s="2" t="n">
        <f aca="false">(C60-$B60)*$A60</f>
        <v>0</v>
      </c>
      <c r="AB60" s="2" t="n">
        <f aca="false">(D60-$B60)*$A60</f>
        <v>0</v>
      </c>
      <c r="AC60" s="2" t="n">
        <f aca="false">(E60-$B60)*$A60</f>
        <v>0</v>
      </c>
      <c r="AD60" s="2" t="n">
        <f aca="false">(F60-$B60)*$A60</f>
        <v>0</v>
      </c>
      <c r="AE60" s="2" t="n">
        <f aca="false">(G60-$B60)*$A60</f>
        <v>0</v>
      </c>
      <c r="AF60" s="2" t="n">
        <f aca="false">(H60-$B60)*$A60</f>
        <v>0</v>
      </c>
      <c r="AG60" s="2" t="n">
        <f aca="false">(I60-$B60)*$A60</f>
        <v>0</v>
      </c>
      <c r="AH60" s="2" t="n">
        <f aca="false">(J60-$B60)*$A60</f>
        <v>0</v>
      </c>
      <c r="AI60" s="2" t="n">
        <f aca="false">(K60-$B60)*$A60</f>
        <v>0</v>
      </c>
      <c r="AJ60" s="2" t="n">
        <f aca="false">(L60-$B60)*$A60</f>
        <v>0</v>
      </c>
      <c r="AK60" s="2" t="n">
        <f aca="false">(M60-$B60)*$A60</f>
        <v>0</v>
      </c>
      <c r="AL60" s="2" t="n">
        <f aca="false">(N60-$B60)*$A60</f>
        <v>0</v>
      </c>
      <c r="AM60" s="2" t="n">
        <f aca="false">(O60-$B60)*$A60</f>
        <v>0</v>
      </c>
      <c r="AN60" s="2" t="n">
        <f aca="false">(P60-$B60)*$A60</f>
        <v>0</v>
      </c>
      <c r="AO60" s="2" t="n">
        <f aca="false">(Q60-$B60)*$A60</f>
        <v>0</v>
      </c>
      <c r="AP60" s="2" t="n">
        <f aca="false">(R60-$B60)*$A60</f>
        <v>0</v>
      </c>
      <c r="AQ60" s="2" t="n">
        <f aca="false">(S60-$B60)*$A60</f>
        <v>0</v>
      </c>
      <c r="AR60" s="2" t="n">
        <f aca="false">(T60-$B60)*$A60</f>
        <v>0</v>
      </c>
      <c r="AS60" s="2" t="n">
        <f aca="false">(U60-$B60)*$A60</f>
        <v>0</v>
      </c>
      <c r="AT60" s="2" t="n">
        <f aca="false">(V60-$B60)*$A60</f>
        <v>0</v>
      </c>
      <c r="AU60" s="2" t="n">
        <f aca="false">(W60-$B60)*$A60</f>
        <v>0</v>
      </c>
      <c r="AV60" s="2" t="n">
        <f aca="false">(X60-$B60)*$A60</f>
        <v>0</v>
      </c>
      <c r="AW60" s="2" t="n">
        <f aca="false">(Y60-$B60)*$A60</f>
        <v>0</v>
      </c>
    </row>
    <row r="61" customFormat="false" ht="13.8" hidden="false" customHeight="false" outlineLevel="0" collapsed="false">
      <c r="A61" s="1" t="n">
        <f aca="false">1+A60</f>
        <v>59</v>
      </c>
      <c r="AA61" s="2" t="n">
        <f aca="false">(C61-$B61)*$A61</f>
        <v>0</v>
      </c>
      <c r="AB61" s="2" t="n">
        <f aca="false">(D61-$B61)*$A61</f>
        <v>0</v>
      </c>
      <c r="AC61" s="2" t="n">
        <f aca="false">(E61-$B61)*$A61</f>
        <v>0</v>
      </c>
      <c r="AD61" s="2" t="n">
        <f aca="false">(F61-$B61)*$A61</f>
        <v>0</v>
      </c>
      <c r="AE61" s="2" t="n">
        <f aca="false">(G61-$B61)*$A61</f>
        <v>0</v>
      </c>
      <c r="AF61" s="2" t="n">
        <f aca="false">(H61-$B61)*$A61</f>
        <v>0</v>
      </c>
      <c r="AG61" s="2" t="n">
        <f aca="false">(I61-$B61)*$A61</f>
        <v>0</v>
      </c>
      <c r="AH61" s="2" t="n">
        <f aca="false">(J61-$B61)*$A61</f>
        <v>0</v>
      </c>
      <c r="AI61" s="2" t="n">
        <f aca="false">(K61-$B61)*$A61</f>
        <v>0</v>
      </c>
      <c r="AJ61" s="2" t="n">
        <f aca="false">(L61-$B61)*$A61</f>
        <v>0</v>
      </c>
      <c r="AK61" s="2" t="n">
        <f aca="false">(M61-$B61)*$A61</f>
        <v>0</v>
      </c>
      <c r="AL61" s="2" t="n">
        <f aca="false">(N61-$B61)*$A61</f>
        <v>0</v>
      </c>
      <c r="AM61" s="2" t="n">
        <f aca="false">(O61-$B61)*$A61</f>
        <v>0</v>
      </c>
      <c r="AN61" s="2" t="n">
        <f aca="false">(P61-$B61)*$A61</f>
        <v>0</v>
      </c>
      <c r="AO61" s="2" t="n">
        <f aca="false">(Q61-$B61)*$A61</f>
        <v>0</v>
      </c>
      <c r="AP61" s="2" t="n">
        <f aca="false">(R61-$B61)*$A61</f>
        <v>0</v>
      </c>
      <c r="AQ61" s="2" t="n">
        <f aca="false">(S61-$B61)*$A61</f>
        <v>0</v>
      </c>
      <c r="AR61" s="2" t="n">
        <f aca="false">(T61-$B61)*$A61</f>
        <v>0</v>
      </c>
      <c r="AS61" s="2" t="n">
        <f aca="false">(U61-$B61)*$A61</f>
        <v>0</v>
      </c>
      <c r="AT61" s="2" t="n">
        <f aca="false">(V61-$B61)*$A61</f>
        <v>0</v>
      </c>
      <c r="AU61" s="2" t="n">
        <f aca="false">(W61-$B61)*$A61</f>
        <v>0</v>
      </c>
      <c r="AV61" s="2" t="n">
        <f aca="false">(X61-$B61)*$A61</f>
        <v>0</v>
      </c>
      <c r="AW61" s="2" t="n">
        <f aca="false">(Y61-$B61)*$A61</f>
        <v>0</v>
      </c>
    </row>
    <row r="62" customFormat="false" ht="13.8" hidden="false" customHeight="false" outlineLevel="0" collapsed="false">
      <c r="A62" s="1" t="n">
        <f aca="false">1+A61</f>
        <v>60</v>
      </c>
      <c r="AA62" s="2" t="n">
        <f aca="false">(C62-$B62)*$A62</f>
        <v>0</v>
      </c>
      <c r="AB62" s="2" t="n">
        <f aca="false">(D62-$B62)*$A62</f>
        <v>0</v>
      </c>
      <c r="AC62" s="2" t="n">
        <f aca="false">(E62-$B62)*$A62</f>
        <v>0</v>
      </c>
      <c r="AD62" s="2" t="n">
        <f aca="false">(F62-$B62)*$A62</f>
        <v>0</v>
      </c>
      <c r="AE62" s="2" t="n">
        <f aca="false">(G62-$B62)*$A62</f>
        <v>0</v>
      </c>
      <c r="AF62" s="2" t="n">
        <f aca="false">(H62-$B62)*$A62</f>
        <v>0</v>
      </c>
      <c r="AG62" s="2" t="n">
        <f aca="false">(I62-$B62)*$A62</f>
        <v>0</v>
      </c>
      <c r="AH62" s="2" t="n">
        <f aca="false">(J62-$B62)*$A62</f>
        <v>0</v>
      </c>
      <c r="AI62" s="2" t="n">
        <f aca="false">(K62-$B62)*$A62</f>
        <v>0</v>
      </c>
      <c r="AJ62" s="2" t="n">
        <f aca="false">(L62-$B62)*$A62</f>
        <v>0</v>
      </c>
      <c r="AK62" s="2" t="n">
        <f aca="false">(M62-$B62)*$A62</f>
        <v>0</v>
      </c>
      <c r="AL62" s="2" t="n">
        <f aca="false">(N62-$B62)*$A62</f>
        <v>0</v>
      </c>
      <c r="AM62" s="2" t="n">
        <f aca="false">(O62-$B62)*$A62</f>
        <v>0</v>
      </c>
      <c r="AN62" s="2" t="n">
        <f aca="false">(P62-$B62)*$A62</f>
        <v>0</v>
      </c>
      <c r="AO62" s="2" t="n">
        <f aca="false">(Q62-$B62)*$A62</f>
        <v>0</v>
      </c>
      <c r="AP62" s="2" t="n">
        <f aca="false">(R62-$B62)*$A62</f>
        <v>0</v>
      </c>
      <c r="AQ62" s="2" t="n">
        <f aca="false">(S62-$B62)*$A62</f>
        <v>0</v>
      </c>
      <c r="AR62" s="2" t="n">
        <f aca="false">(T62-$B62)*$A62</f>
        <v>0</v>
      </c>
      <c r="AS62" s="2" t="n">
        <f aca="false">(U62-$B62)*$A62</f>
        <v>0</v>
      </c>
      <c r="AT62" s="2" t="n">
        <f aca="false">(V62-$B62)*$A62</f>
        <v>0</v>
      </c>
      <c r="AU62" s="2" t="n">
        <f aca="false">(W62-$B62)*$A62</f>
        <v>0</v>
      </c>
      <c r="AV62" s="2" t="n">
        <f aca="false">(X62-$B62)*$A62</f>
        <v>0</v>
      </c>
      <c r="AW62" s="2" t="n">
        <f aca="false">(Y62-$B62)*$A62</f>
        <v>0</v>
      </c>
    </row>
    <row r="63" customFormat="false" ht="13.8" hidden="false" customHeight="false" outlineLevel="0" collapsed="false">
      <c r="A63" s="1" t="n">
        <f aca="false">1+A62</f>
        <v>61</v>
      </c>
      <c r="AA63" s="2" t="n">
        <f aca="false">(C63-$B63)*$A63</f>
        <v>0</v>
      </c>
      <c r="AB63" s="2" t="n">
        <f aca="false">(D63-$B63)*$A63</f>
        <v>0</v>
      </c>
      <c r="AC63" s="2" t="n">
        <f aca="false">(E63-$B63)*$A63</f>
        <v>0</v>
      </c>
      <c r="AD63" s="2" t="n">
        <f aca="false">(F63-$B63)*$A63</f>
        <v>0</v>
      </c>
      <c r="AE63" s="2" t="n">
        <f aca="false">(G63-$B63)*$A63</f>
        <v>0</v>
      </c>
      <c r="AF63" s="2" t="n">
        <f aca="false">(H63-$B63)*$A63</f>
        <v>0</v>
      </c>
      <c r="AG63" s="2" t="n">
        <f aca="false">(I63-$B63)*$A63</f>
        <v>0</v>
      </c>
      <c r="AH63" s="2" t="n">
        <f aca="false">(J63-$B63)*$A63</f>
        <v>0</v>
      </c>
      <c r="AI63" s="2" t="n">
        <f aca="false">(K63-$B63)*$A63</f>
        <v>0</v>
      </c>
      <c r="AJ63" s="2" t="n">
        <f aca="false">(L63-$B63)*$A63</f>
        <v>0</v>
      </c>
      <c r="AK63" s="2" t="n">
        <f aca="false">(M63-$B63)*$A63</f>
        <v>0</v>
      </c>
      <c r="AL63" s="2" t="n">
        <f aca="false">(N63-$B63)*$A63</f>
        <v>0</v>
      </c>
      <c r="AM63" s="2" t="n">
        <f aca="false">(O63-$B63)*$A63</f>
        <v>0</v>
      </c>
      <c r="AN63" s="2" t="n">
        <f aca="false">(P63-$B63)*$A63</f>
        <v>0</v>
      </c>
      <c r="AO63" s="2" t="n">
        <f aca="false">(Q63-$B63)*$A63</f>
        <v>0</v>
      </c>
      <c r="AP63" s="2" t="n">
        <f aca="false">(R63-$B63)*$A63</f>
        <v>0</v>
      </c>
      <c r="AQ63" s="2" t="n">
        <f aca="false">(S63-$B63)*$A63</f>
        <v>0</v>
      </c>
      <c r="AR63" s="2" t="n">
        <f aca="false">(T63-$B63)*$A63</f>
        <v>0</v>
      </c>
      <c r="AS63" s="2" t="n">
        <f aca="false">(U63-$B63)*$A63</f>
        <v>0</v>
      </c>
      <c r="AT63" s="2" t="n">
        <f aca="false">(V63-$B63)*$A63</f>
        <v>0</v>
      </c>
      <c r="AU63" s="2" t="n">
        <f aca="false">(W63-$B63)*$A63</f>
        <v>0</v>
      </c>
      <c r="AV63" s="2" t="n">
        <f aca="false">(X63-$B63)*$A63</f>
        <v>0</v>
      </c>
      <c r="AW63" s="2" t="n">
        <f aca="false">(Y63-$B63)*$A63</f>
        <v>0</v>
      </c>
    </row>
    <row r="64" customFormat="false" ht="13.8" hidden="false" customHeight="false" outlineLevel="0" collapsed="false">
      <c r="A64" s="1" t="n">
        <f aca="false">1+A63</f>
        <v>62</v>
      </c>
      <c r="AA64" s="2" t="n">
        <f aca="false">(C64-$B64)*$A64</f>
        <v>0</v>
      </c>
      <c r="AB64" s="2" t="n">
        <f aca="false">(D64-$B64)*$A64</f>
        <v>0</v>
      </c>
      <c r="AC64" s="2" t="n">
        <f aca="false">(E64-$B64)*$A64</f>
        <v>0</v>
      </c>
      <c r="AD64" s="2" t="n">
        <f aca="false">(F64-$B64)*$A64</f>
        <v>0</v>
      </c>
      <c r="AE64" s="2" t="n">
        <f aca="false">(G64-$B64)*$A64</f>
        <v>0</v>
      </c>
      <c r="AF64" s="2" t="n">
        <f aca="false">(H64-$B64)*$A64</f>
        <v>0</v>
      </c>
      <c r="AG64" s="2" t="n">
        <f aca="false">(I64-$B64)*$A64</f>
        <v>0</v>
      </c>
      <c r="AH64" s="2" t="n">
        <f aca="false">(J64-$B64)*$A64</f>
        <v>0</v>
      </c>
      <c r="AI64" s="2" t="n">
        <f aca="false">(K64-$B64)*$A64</f>
        <v>0</v>
      </c>
      <c r="AJ64" s="2" t="n">
        <f aca="false">(L64-$B64)*$A64</f>
        <v>0</v>
      </c>
      <c r="AK64" s="2" t="n">
        <f aca="false">(M64-$B64)*$A64</f>
        <v>0</v>
      </c>
      <c r="AL64" s="2" t="n">
        <f aca="false">(N64-$B64)*$A64</f>
        <v>0</v>
      </c>
      <c r="AM64" s="2" t="n">
        <f aca="false">(O64-$B64)*$A64</f>
        <v>0</v>
      </c>
      <c r="AN64" s="2" t="n">
        <f aca="false">(P64-$B64)*$A64</f>
        <v>0</v>
      </c>
      <c r="AO64" s="2" t="n">
        <f aca="false">(Q64-$B64)*$A64</f>
        <v>0</v>
      </c>
      <c r="AP64" s="2" t="n">
        <f aca="false">(R64-$B64)*$A64</f>
        <v>0</v>
      </c>
      <c r="AQ64" s="2" t="n">
        <f aca="false">(S64-$B64)*$A64</f>
        <v>0</v>
      </c>
      <c r="AR64" s="2" t="n">
        <f aca="false">(T64-$B64)*$A64</f>
        <v>0</v>
      </c>
      <c r="AS64" s="2" t="n">
        <f aca="false">(U64-$B64)*$A64</f>
        <v>0</v>
      </c>
      <c r="AT64" s="2" t="n">
        <f aca="false">(V64-$B64)*$A64</f>
        <v>0</v>
      </c>
      <c r="AU64" s="2" t="n">
        <f aca="false">(W64-$B64)*$A64</f>
        <v>0</v>
      </c>
      <c r="AV64" s="2" t="n">
        <f aca="false">(X64-$B64)*$A64</f>
        <v>0</v>
      </c>
      <c r="AW64" s="2" t="n">
        <f aca="false">(Y64-$B64)*$A64</f>
        <v>0</v>
      </c>
    </row>
    <row r="65" customFormat="false" ht="13.8" hidden="false" customHeight="false" outlineLevel="0" collapsed="false">
      <c r="A65" s="1" t="n">
        <f aca="false">1+A64</f>
        <v>63</v>
      </c>
      <c r="AA65" s="2" t="n">
        <f aca="false">(C65-$B65)*$A65</f>
        <v>0</v>
      </c>
      <c r="AB65" s="2" t="n">
        <f aca="false">(D65-$B65)*$A65</f>
        <v>0</v>
      </c>
      <c r="AC65" s="2" t="n">
        <f aca="false">(E65-$B65)*$A65</f>
        <v>0</v>
      </c>
      <c r="AD65" s="2" t="n">
        <f aca="false">(F65-$B65)*$A65</f>
        <v>0</v>
      </c>
      <c r="AE65" s="2" t="n">
        <f aca="false">(G65-$B65)*$A65</f>
        <v>0</v>
      </c>
      <c r="AF65" s="2" t="n">
        <f aca="false">(H65-$B65)*$A65</f>
        <v>0</v>
      </c>
      <c r="AG65" s="2" t="n">
        <f aca="false">(I65-$B65)*$A65</f>
        <v>0</v>
      </c>
      <c r="AH65" s="2" t="n">
        <f aca="false">(J65-$B65)*$A65</f>
        <v>0</v>
      </c>
      <c r="AI65" s="2" t="n">
        <f aca="false">(K65-$B65)*$A65</f>
        <v>0</v>
      </c>
      <c r="AJ65" s="2" t="n">
        <f aca="false">(L65-$B65)*$A65</f>
        <v>0</v>
      </c>
      <c r="AK65" s="2" t="n">
        <f aca="false">(M65-$B65)*$A65</f>
        <v>0</v>
      </c>
      <c r="AL65" s="2" t="n">
        <f aca="false">(N65-$B65)*$A65</f>
        <v>0</v>
      </c>
      <c r="AM65" s="2" t="n">
        <f aca="false">(O65-$B65)*$A65</f>
        <v>0</v>
      </c>
      <c r="AN65" s="2" t="n">
        <f aca="false">(P65-$B65)*$A65</f>
        <v>0</v>
      </c>
      <c r="AO65" s="2" t="n">
        <f aca="false">(Q65-$B65)*$A65</f>
        <v>0</v>
      </c>
      <c r="AP65" s="2" t="n">
        <f aca="false">(R65-$B65)*$A65</f>
        <v>0</v>
      </c>
      <c r="AQ65" s="2" t="n">
        <f aca="false">(S65-$B65)*$A65</f>
        <v>0</v>
      </c>
      <c r="AR65" s="2" t="n">
        <f aca="false">(T65-$B65)*$A65</f>
        <v>0</v>
      </c>
      <c r="AS65" s="2" t="n">
        <f aca="false">(U65-$B65)*$A65</f>
        <v>0</v>
      </c>
      <c r="AT65" s="2" t="n">
        <f aca="false">(V65-$B65)*$A65</f>
        <v>0</v>
      </c>
      <c r="AU65" s="2" t="n">
        <f aca="false">(W65-$B65)*$A65</f>
        <v>0</v>
      </c>
      <c r="AV65" s="2" t="n">
        <f aca="false">(X65-$B65)*$A65</f>
        <v>0</v>
      </c>
      <c r="AW65" s="2" t="n">
        <f aca="false">(Y65-$B65)*$A65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K7" colorId="64" zoomScale="100" zoomScaleNormal="100" zoomScalePageLayoutView="100" workbookViewId="0">
      <selection pane="topLeft" activeCell="Y1" activeCellId="0" sqref="Y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7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0" min="14" style="1" width="12.15"/>
    <col collapsed="false" customWidth="true" hidden="false" outlineLevel="0" max="16384" min="16374" style="0" width="11.53"/>
  </cols>
  <sheetData>
    <row r="1" customFormat="false" ht="13.8" hidden="false" customHeight="false" outlineLevel="0" collapsed="false">
      <c r="A1" s="1" t="s">
        <v>0</v>
      </c>
      <c r="B1" s="1" t="str">
        <f aca="false">"master(3pp-net)="  &amp; SUMPRODUCT($A2:$A65,B2:B65)/100</f>
        <v>master(3pp-net)=2,61718361969143</v>
      </c>
      <c r="C1" s="1" t="str">
        <f aca="false">"w+p="&amp; SUMPRODUCT($A2:$A65,C2:C65)/100-SUMPRODUCT($A2:$A65,$B2:$B65)/100</f>
        <v>w+p=-0,0128196046326301</v>
      </c>
      <c r="D1" s="1" t="str">
        <f aca="false">"w+256p/rd="&amp; SUMPRODUCT($A2:$A65,D2:D65)/100-SUMPRODUCT($A2:$A65,$B2:$B65)/100</f>
        <v>w+256p/rd=-0,0381900025648303</v>
      </c>
      <c r="E1" s="1" t="str">
        <f aca="false">"w+128p/rd="&amp; SUMPRODUCT($A2:$A65,E2:E65)/100-SUMPRODUCT($A2:$A65,$B2:$B65)/100</f>
        <v>w+128p/rd=-0,00559523282452989</v>
      </c>
      <c r="F1" s="1" t="str">
        <f aca="false">"w+28m="&amp; SUMPRODUCT($A2:$A65,F2:F65)/100-SUMPRODUCT($A2:$A65,$B2:$B65)/100</f>
        <v>w+28m=-0,04150258305493</v>
      </c>
      <c r="G1" s="1" t="str">
        <f aca="false">"w+2p="&amp; SUMPRODUCT($A2:$A65,G2:G65)/100-SUMPRODUCT($A2:$A65,$B2:$B65)/100</f>
        <v>w+2p=-0,01176668611983</v>
      </c>
      <c r="H1" s="1" t="str">
        <f aca="false">"w+3p="&amp; SUMPRODUCT($A2:$A65,H2:H65)/100-SUMPRODUCT($A2:$A65,$B2:$B65)/100</f>
        <v>w+3p=-0,00473698274242995</v>
      </c>
      <c r="I1" s="1" t="str">
        <f aca="false">"r+653="&amp; SUMPRODUCT($A2:$A65,I2:I65)/100-SUMPRODUCT($A2:$A65,$B2:$B65)/100</f>
        <v>r+653=-0,0260460908495701</v>
      </c>
      <c r="J1" s="1" t="str">
        <f aca="false">"w+4p="&amp; SUMPRODUCT($A2:$A65,J2:J65)/100-SUMPRODUCT($A2:$A65,$B2:$B65)/100</f>
        <v>w+4p=-0,000458933298420394</v>
      </c>
      <c r="K1" s="1" t="str">
        <f aca="false">"no_scale="&amp; SUMPRODUCT($A2:$A65,K2:K65)/100-SUMPRODUCT($A2:$A65,$B2:$B65)/100</f>
        <v>no_scale=0,0287106712418703</v>
      </c>
      <c r="L1" s="1" t="str">
        <f aca="false">"w-p="&amp; SUMPRODUCT($A2:$A65,L2:L65)/100-SUMPRODUCT($A2:$A65,$B2:$B65)/100</f>
        <v>w-p=-0,00274464647033001</v>
      </c>
      <c r="M1" s="1" t="str">
        <f aca="false">"w-2p="&amp; SUMPRODUCT($A2:$A65,M2:M65)/100-SUMPRODUCT($A2:$A65,$B2:$B65)/100</f>
        <v>w-2p=-0,00278405648323021</v>
      </c>
      <c r="N1" s="1" t="str">
        <f aca="false">"w2="&amp; SUMPRODUCT($A2:$A65,N2:N65)/100-SUMPRODUCT($A2:$A65,$B2:$B65)/100</f>
        <v>w2=-0,0199503900643099</v>
      </c>
      <c r="O1" s="1" t="str">
        <f aca="false">"w+p-14="&amp; SUMPRODUCT($A2:$A65,O2:O65)/100-SUMPRODUCT($A2:$A65,$B2:$B65)/100</f>
        <v>w+p-14=-0,00440459971208984</v>
      </c>
      <c r="P1" s="1" t="str">
        <f aca="false">"w-d="&amp; SUMPRODUCT($A2:$A65,P2:P65)/100-SUMPRODUCT($A2:$A65,$B2:$B65)/100</f>
        <v>w-d=-0,00423031873190016</v>
      </c>
      <c r="Q1" s="1" t="str">
        <f aca="false">"w-d+7="&amp; SUMPRODUCT($A2:$A65,Q2:Q65)/100-SUMPRODUCT($A2:$A65,$B2:$B65)/100</f>
        <v>w-d+7=-0,0158948532994003</v>
      </c>
      <c r="R1" s="1" t="str">
        <f aca="false">"w+(ss+1)-&gt;cuttoffCnt="&amp; SUMPRODUCT($A2:$A65,R2:R65)/100-SUMPRODUCT($A2:$A65,$B2:$B65)/100</f>
        <v>w+(ss+1)-&gt;cuttoffCnt=0,0053082329947598</v>
      </c>
      <c r="S1" s="1" t="str">
        <f aca="false">"w+5="&amp; SUMPRODUCT($A2:$A65,S2:S65)/100-SUMPRODUCT($A2:$A65,$B2:$B65)/100</f>
        <v>w+5=-0,01977924797515</v>
      </c>
      <c r="T1" s="1" t="str">
        <f aca="false">"w+128cap="&amp; SUMPRODUCT($A2:$A65,T2:T65)/100-SUMPRODUCT($A2:$A65,$B2:$B65)/100</f>
        <v>w+128cap=-0,0205460148952299</v>
      </c>
      <c r="U1" s="1" t="str">
        <f aca="false">"w+m="&amp; SUMPRODUCT($A2:$A65,U2:U65)/100-SUMPRODUCT($A2:$A65,$B2:$B65)/100</f>
        <v>w+m=0,00192165661859045</v>
      </c>
      <c r="V1" s="1" t="str">
        <f aca="false">"w+d="&amp; SUMPRODUCT($A2:$A65,V2:V65)/100-SUMPRODUCT($A2:$A65,$B2:$B65)/100</f>
        <v>w+d=0,00583603225384</v>
      </c>
      <c r="W1" s="1" t="str">
        <f aca="false">"w+2d="&amp; SUMPRODUCT($A2:$A65,W2:W65)/100-SUMPRODUCT($A2:$A65,$B2:$B65)/100</f>
        <v>w+2d=-0,00961271715621992</v>
      </c>
      <c r="X1" s="1" t="str">
        <f aca="false">"w+3d="&amp; SUMPRODUCT($A2:$A65,X2:X65)/100-SUMPRODUCT($A2:$A65,$B2:$B65)/100</f>
        <v>w+3d=0,00726183999826979</v>
      </c>
      <c r="Y1" s="1" t="str">
        <f aca="false">"w+128ncap="&amp; SUMPRODUCT($A2:$A65,Y2:Y65)/100-SUMPRODUCT($A2:$A65,$B2:$B65)/100</f>
        <v>w+128ncap=-0,0243987147568796</v>
      </c>
      <c r="Z1" s="1" t="str">
        <f aca="false">"p/(2rd)="&amp; SUMPRODUCT($A2:$A65,Z2:Z65)/100-SUMPRODUCT($A2:$A65,$B2:$B65)/100</f>
        <v>p/(2rd)=-0,0890200709784299</v>
      </c>
      <c r="AA1" s="1" t="str">
        <f aca="false">"45p/(256rd)="&amp; SUMPRODUCT($A2:$A65,AA2:AA65)/100-SUMPRODUCT($A2:$A65,$B2:$B65)/100</f>
        <v>45p/(256rd)=-0,0139391896682897</v>
      </c>
      <c r="AB1" s="1" t="str">
        <f aca="false">"p/(2(p+d))="&amp; SUMPRODUCT($A2:$A65,AB2:AB65)/100-SUMPRODUCT($A2:$A65,$B2:$B65)/100</f>
        <v>p/(2(p+d))=-0,0436391547531301</v>
      </c>
      <c r="AC1" s="1" t="str">
        <f aca="false">"p/(4(p+d))="&amp; SUMPRODUCT($A2:$A65,AC2:AC65)/100-SUMPRODUCT($A2:$A65,$B2:$B65)/100</f>
        <v>p/(4(p+d))=-0,00218096078934993</v>
      </c>
      <c r="AD1" s="1" t="str">
        <f aca="false">"(184+21p)/(256d+85p+179)="&amp; SUMPRODUCT($A2:$A65,AD2:AD65)/100-SUMPRODUCT($A2:$A65,$B2:$B65)/100</f>
        <v>(184+21p)/(256d+85p+179)=-0,000795423135029783</v>
      </c>
      <c r="AE1" s="1" t="str">
        <f aca="false">"(r276/(256d+268)+r*p/(4(p+d)))/2="&amp; SUMPRODUCT($A2:$A65,AE2:AE65)/100-SUMPRODUCT($A2:$A65,$B2:$B65)/100</f>
        <v>(r276/(256d+268)+r*p/(4(p+d)))/2=-0,0107783880402001</v>
      </c>
      <c r="AF1" s="1" t="str">
        <f aca="false">"p85/(256(p+d))="&amp; SUMPRODUCT($A2:$A65,AF2:AF65)/100-SUMPRODUCT($A2:$A65,$B2:$B65)/100</f>
        <v>p85/(256(p+d))=-0,00807269678862976</v>
      </c>
      <c r="AG1" s="1" t="str">
        <f aca="false">"67p/(256rd)="&amp; SUMPRODUCT($A2:$A65,AG2:AG65)/100-SUMPRODUCT($A2:$A65,$B2:$B65)/100</f>
        <v>67p/(256rd)=-0,03864772211403</v>
      </c>
      <c r="AI1" s="1" t="str">
        <f aca="false">C1</f>
        <v>w+p=-0,0128196046326301</v>
      </c>
      <c r="AJ1" s="1" t="str">
        <f aca="false">D1</f>
        <v>w+256p/rd=-0,0381900025648303</v>
      </c>
      <c r="AK1" s="1" t="str">
        <f aca="false">E1</f>
        <v>w+128p/rd=-0,00559523282452989</v>
      </c>
      <c r="AL1" s="1" t="str">
        <f aca="false">F1</f>
        <v>w+28m=-0,04150258305493</v>
      </c>
      <c r="AM1" s="1" t="str">
        <f aca="false">G1</f>
        <v>w+2p=-0,01176668611983</v>
      </c>
      <c r="AN1" s="1" t="str">
        <f aca="false">H1</f>
        <v>w+3p=-0,00473698274242995</v>
      </c>
      <c r="AO1" s="1" t="str">
        <f aca="false">I1</f>
        <v>r+653=-0,0260460908495701</v>
      </c>
      <c r="AP1" s="1" t="str">
        <f aca="false">J1</f>
        <v>w+4p=-0,000458933298420394</v>
      </c>
      <c r="AQ1" s="1" t="str">
        <f aca="false">K1</f>
        <v>no_scale=0,0287106712418703</v>
      </c>
      <c r="AR1" s="1" t="str">
        <f aca="false">L1</f>
        <v>w-p=-0,00274464647033001</v>
      </c>
      <c r="AS1" s="1" t="str">
        <f aca="false">M1</f>
        <v>w-2p=-0,00278405648323021</v>
      </c>
      <c r="AT1" s="1" t="str">
        <f aca="false">N1</f>
        <v>w2=-0,0199503900643099</v>
      </c>
      <c r="AU1" s="1" t="str">
        <f aca="false">O1</f>
        <v>w+p-14=-0,00440459971208984</v>
      </c>
      <c r="AV1" s="1" t="str">
        <f aca="false">P1</f>
        <v>w-d=-0,00423031873190016</v>
      </c>
      <c r="AW1" s="1" t="str">
        <f aca="false">Q1</f>
        <v>w-d+7=-0,0158948532994003</v>
      </c>
      <c r="AX1" s="1" t="str">
        <f aca="false">R1</f>
        <v>w+(ss+1)-&gt;cuttoffCnt=0,0053082329947598</v>
      </c>
      <c r="AY1" s="1" t="str">
        <f aca="false">S1</f>
        <v>w+5=-0,01977924797515</v>
      </c>
      <c r="AZ1" s="1" t="str">
        <f aca="false">T1</f>
        <v>w+128cap=-0,0205460148952299</v>
      </c>
      <c r="BA1" s="1" t="str">
        <f aca="false">U1</f>
        <v>w+m=0,00192165661859045</v>
      </c>
      <c r="BB1" s="1" t="str">
        <f aca="false">V1</f>
        <v>w+d=0,00583603225384</v>
      </c>
      <c r="BC1" s="1" t="str">
        <f aca="false">W1</f>
        <v>w+2d=-0,00961271715621992</v>
      </c>
      <c r="BD1" s="1" t="str">
        <f aca="false">X1</f>
        <v>w+3d=0,00726183999826979</v>
      </c>
      <c r="BE1" s="1" t="str">
        <f aca="false">Y1</f>
        <v>w+128ncap=-0,0243987147568796</v>
      </c>
      <c r="BF1" s="1" t="str">
        <f aca="false">Z1</f>
        <v>p/(2rd)=-0,0890200709784299</v>
      </c>
      <c r="BG1" s="1" t="str">
        <f aca="false">AA1</f>
        <v>45p/(256rd)=-0,0139391896682897</v>
      </c>
      <c r="BH1" s="1" t="str">
        <f aca="false">AB1</f>
        <v>p/(2(p+d))=-0,0436391547531301</v>
      </c>
      <c r="BI1" s="1" t="str">
        <f aca="false">AC1</f>
        <v>p/(4(p+d))=-0,00218096078934993</v>
      </c>
      <c r="BJ1" s="1" t="str">
        <f aca="false">AD1</f>
        <v>(184+21p)/(256d+85p+179)=-0,000795423135029783</v>
      </c>
      <c r="BK1" s="1" t="str">
        <f aca="false">AE1</f>
        <v>(r276/(256d+268)+r*p/(4(p+d)))/2=-0,0107783880402001</v>
      </c>
      <c r="BL1" s="1" t="str">
        <f aca="false">AF1</f>
        <v>p85/(256(p+d))=-0,00807269678862976</v>
      </c>
      <c r="BM1" s="1" t="str">
        <f aca="false">AG1</f>
        <v>67p/(256rd)=-0,03864772211403</v>
      </c>
    </row>
    <row r="2" customFormat="false" ht="13.8" hidden="false" customHeight="false" outlineLevel="0" collapsed="false">
      <c r="A2" s="1" t="n">
        <v>0</v>
      </c>
      <c r="B2" s="1" t="n">
        <v>26.7852</v>
      </c>
      <c r="C2" s="1" t="n">
        <v>26.8289</v>
      </c>
      <c r="D2" s="1" t="n">
        <v>26.8756</v>
      </c>
      <c r="E2" s="1" t="n">
        <v>26.7426</v>
      </c>
      <c r="F2" s="1" t="n">
        <v>26.8294</v>
      </c>
      <c r="G2" s="1" t="n">
        <v>26.845</v>
      </c>
      <c r="H2" s="1" t="n">
        <v>26.8554</v>
      </c>
      <c r="I2" s="1" t="n">
        <v>26.8674</v>
      </c>
      <c r="J2" s="1" t="n">
        <v>26.7102</v>
      </c>
      <c r="K2" s="1" t="n">
        <v>26.7994</v>
      </c>
      <c r="L2" s="1" t="n">
        <v>26.9101</v>
      </c>
      <c r="M2" s="1" t="n">
        <v>26.9918</v>
      </c>
      <c r="N2" s="1" t="n">
        <v>26.8036</v>
      </c>
      <c r="O2" s="1" t="n">
        <v>26.7637</v>
      </c>
      <c r="P2" s="1" t="n">
        <v>26.866</v>
      </c>
      <c r="Q2" s="1" t="n">
        <v>26.9418</v>
      </c>
      <c r="R2" s="1" t="n">
        <v>26.7065</v>
      </c>
      <c r="S2" s="1" t="n">
        <v>26.8735</v>
      </c>
      <c r="T2" s="1" t="n">
        <v>26.859</v>
      </c>
      <c r="U2" s="1" t="n">
        <v>26.7273</v>
      </c>
      <c r="V2" s="1" t="n">
        <v>26.7063</v>
      </c>
      <c r="W2" s="1" t="n">
        <v>26.7374</v>
      </c>
      <c r="X2" s="1" t="n">
        <v>26.7599</v>
      </c>
      <c r="Y2" s="1" t="n">
        <v>26.8052</v>
      </c>
      <c r="Z2" s="1" t="n">
        <v>26.6289</v>
      </c>
      <c r="AA2" s="1" t="n">
        <v>26.6998</v>
      </c>
      <c r="AB2" s="1" t="n">
        <v>26.6613</v>
      </c>
      <c r="AC2" s="1" t="n">
        <v>26.7431</v>
      </c>
      <c r="AD2" s="1" t="n">
        <v>26.7601</v>
      </c>
      <c r="AE2" s="1" t="n">
        <v>26.7776</v>
      </c>
      <c r="AF2" s="1" t="n">
        <v>26.5652</v>
      </c>
      <c r="AG2" s="1" t="n">
        <v>26.84</v>
      </c>
      <c r="AH2" s="2"/>
      <c r="AI2" s="2" t="n">
        <f aca="false">(C2-$B2)*$A2</f>
        <v>0</v>
      </c>
      <c r="AJ2" s="2" t="n">
        <f aca="false">(D2-$B2)*$A2</f>
        <v>0</v>
      </c>
      <c r="AK2" s="2" t="n">
        <f aca="false">(E2-$B2)*$A2</f>
        <v>-0</v>
      </c>
      <c r="AL2" s="2" t="n">
        <f aca="false">(F2-$B2)*$A2</f>
        <v>0</v>
      </c>
      <c r="AM2" s="2" t="n">
        <f aca="false">(G2-$B2)*$A2</f>
        <v>0</v>
      </c>
      <c r="AN2" s="2" t="n">
        <f aca="false">(H2-$B2)*$A2</f>
        <v>0</v>
      </c>
      <c r="AO2" s="2" t="n">
        <f aca="false">(I2-$B2)*$A2</f>
        <v>0</v>
      </c>
      <c r="AP2" s="2" t="n">
        <f aca="false">(J2-$B2)*$A2</f>
        <v>-0</v>
      </c>
      <c r="AQ2" s="2" t="n">
        <f aca="false">(K2-$B2)*$A2</f>
        <v>0</v>
      </c>
      <c r="AR2" s="2" t="n">
        <f aca="false">(L2-$B2)*$A2</f>
        <v>0</v>
      </c>
      <c r="AS2" s="2" t="n">
        <f aca="false">(M2-$B2)*$A2</f>
        <v>0</v>
      </c>
      <c r="AT2" s="2" t="n">
        <f aca="false">(N2-$B2)*$A2</f>
        <v>0</v>
      </c>
      <c r="AU2" s="2" t="n">
        <f aca="false">(O2-$B2)*$A2</f>
        <v>-0</v>
      </c>
      <c r="AV2" s="2" t="n">
        <f aca="false">(P2-$B2)*$A2</f>
        <v>0</v>
      </c>
      <c r="AW2" s="2" t="n">
        <f aca="false">(Q2-$B2)*$A2</f>
        <v>0</v>
      </c>
      <c r="AX2" s="2" t="n">
        <f aca="false">(R2-$B2)*$A2</f>
        <v>-0</v>
      </c>
      <c r="AY2" s="2" t="n">
        <f aca="false">(S2-$B2)*$A2</f>
        <v>0</v>
      </c>
      <c r="AZ2" s="2" t="n">
        <f aca="false">(T2-$B2)*$A2</f>
        <v>0</v>
      </c>
      <c r="BA2" s="2" t="n">
        <f aca="false">(U2-$B2)*$A2</f>
        <v>-0</v>
      </c>
      <c r="BB2" s="2" t="n">
        <f aca="false">(V2-$B2)*$A2</f>
        <v>-0</v>
      </c>
      <c r="BC2" s="2" t="n">
        <f aca="false">(W2-$B2)*$A2</f>
        <v>-0</v>
      </c>
      <c r="BD2" s="2" t="n">
        <f aca="false">(X2-$B2)*$A2</f>
        <v>-0</v>
      </c>
      <c r="BE2" s="2" t="n">
        <f aca="false">(Y2-$B2)*$A2</f>
        <v>0</v>
      </c>
      <c r="BF2" s="2" t="n">
        <f aca="false">(Z2-$B2)*$A2</f>
        <v>-0</v>
      </c>
      <c r="BG2" s="2" t="n">
        <f aca="false">(AA2-$B2)*$A2</f>
        <v>-0</v>
      </c>
      <c r="BH2" s="2" t="n">
        <f aca="false">(AB2-$B2)*$A2</f>
        <v>-0</v>
      </c>
      <c r="BI2" s="2" t="n">
        <f aca="false">(AC2-$B2)*$A2</f>
        <v>-0</v>
      </c>
      <c r="BJ2" s="2" t="n">
        <f aca="false">(AD2-$B2)*$A2</f>
        <v>-0</v>
      </c>
      <c r="BK2" s="2" t="n">
        <f aca="false">(AE2-$B2)*$A2</f>
        <v>-0</v>
      </c>
      <c r="BL2" s="2" t="n">
        <f aca="false">(AF2-$B2)*$A2</f>
        <v>-0</v>
      </c>
      <c r="BM2" s="2" t="n">
        <f aca="false">(AG2-$B2)*$A2</f>
        <v>0</v>
      </c>
    </row>
    <row r="3" customFormat="false" ht="13.8" hidden="false" customHeight="false" outlineLevel="0" collapsed="false">
      <c r="A3" s="1" t="n">
        <f aca="false">1+A2</f>
        <v>1</v>
      </c>
      <c r="B3" s="1" t="n">
        <v>29.9426</v>
      </c>
      <c r="C3" s="1" t="n">
        <v>30.1907</v>
      </c>
      <c r="D3" s="1" t="n">
        <v>31.0676</v>
      </c>
      <c r="E3" s="1" t="n">
        <v>30.4959</v>
      </c>
      <c r="F3" s="1" t="n">
        <v>31.0864</v>
      </c>
      <c r="G3" s="1" t="n">
        <v>30.1086</v>
      </c>
      <c r="H3" s="1" t="n">
        <v>30.1682</v>
      </c>
      <c r="I3" s="1" t="n">
        <v>30.4625</v>
      </c>
      <c r="J3" s="1" t="n">
        <v>30.2156</v>
      </c>
      <c r="K3" s="1" t="n">
        <v>28.7528</v>
      </c>
      <c r="L3" s="1" t="n">
        <v>29.9517</v>
      </c>
      <c r="M3" s="1" t="n">
        <v>30.0023</v>
      </c>
      <c r="N3" s="1" t="n">
        <v>31.1394</v>
      </c>
      <c r="O3" s="1" t="n">
        <v>30.0067</v>
      </c>
      <c r="P3" s="1" t="n">
        <v>30.0575</v>
      </c>
      <c r="Q3" s="1" t="n">
        <v>30.0841</v>
      </c>
      <c r="R3" s="1" t="n">
        <v>30.0077</v>
      </c>
      <c r="S3" s="1" t="n">
        <v>30.1776</v>
      </c>
      <c r="T3" s="1" t="n">
        <v>30.2631</v>
      </c>
      <c r="U3" s="1" t="n">
        <v>30.0147</v>
      </c>
      <c r="V3" s="1" t="n">
        <v>30.004</v>
      </c>
      <c r="W3" s="1" t="n">
        <v>30.1541</v>
      </c>
      <c r="X3" s="1" t="n">
        <v>29.9957</v>
      </c>
      <c r="Y3" s="1" t="n">
        <v>30.627</v>
      </c>
      <c r="Z3" s="1" t="n">
        <v>32.2569</v>
      </c>
      <c r="AA3" s="1" t="n">
        <v>30.097</v>
      </c>
      <c r="AB3" s="1" t="n">
        <v>31.4374</v>
      </c>
      <c r="AC3" s="1" t="n">
        <v>30.0043</v>
      </c>
      <c r="AD3" s="1" t="n">
        <v>30.1636</v>
      </c>
      <c r="AE3" s="1" t="n">
        <v>30.107</v>
      </c>
      <c r="AF3" s="1" t="n">
        <v>30.4313</v>
      </c>
      <c r="AG3" s="1" t="n">
        <v>30.5958</v>
      </c>
      <c r="AH3" s="2"/>
      <c r="AI3" s="2" t="n">
        <f aca="false">(C3-$B3)*$A3</f>
        <v>0.248100000000001</v>
      </c>
      <c r="AJ3" s="2" t="n">
        <f aca="false">(D3-$B3)*$A3</f>
        <v>1.125</v>
      </c>
      <c r="AK3" s="2" t="n">
        <f aca="false">(E3-$B3)*$A3</f>
        <v>0.5533</v>
      </c>
      <c r="AL3" s="2" t="n">
        <f aca="false">(F3-$B3)*$A3</f>
        <v>1.1438</v>
      </c>
      <c r="AM3" s="2" t="n">
        <f aca="false">(G3-$B3)*$A3</f>
        <v>0.166</v>
      </c>
      <c r="AN3" s="2" t="n">
        <f aca="false">(H3-$B3)*$A3</f>
        <v>0.2256</v>
      </c>
      <c r="AO3" s="2" t="n">
        <f aca="false">(I3-$B3)*$A3</f>
        <v>0.5199</v>
      </c>
      <c r="AP3" s="2" t="n">
        <f aca="false">(J3-$B3)*$A3</f>
        <v>0.273</v>
      </c>
      <c r="AQ3" s="2" t="n">
        <f aca="false">(K3-$B3)*$A3</f>
        <v>-1.1898</v>
      </c>
      <c r="AR3" s="2" t="n">
        <f aca="false">(L3-$B3)*$A3</f>
        <v>0.00910000000000011</v>
      </c>
      <c r="AS3" s="2" t="n">
        <f aca="false">(M3-$B3)*$A3</f>
        <v>0.059700000000003</v>
      </c>
      <c r="AT3" s="2" t="n">
        <f aca="false">(N3-$B3)*$A3</f>
        <v>1.1968</v>
      </c>
      <c r="AU3" s="2" t="n">
        <f aca="false">(O3-$B3)*$A3</f>
        <v>0.0640999999999998</v>
      </c>
      <c r="AV3" s="2" t="n">
        <f aca="false">(P3-$B3)*$A3</f>
        <v>0.114900000000002</v>
      </c>
      <c r="AW3" s="2" t="n">
        <f aca="false">(Q3-$B3)*$A3</f>
        <v>0.141500000000001</v>
      </c>
      <c r="AX3" s="2" t="n">
        <f aca="false">(R3-$B3)*$A3</f>
        <v>0.0651000000000011</v>
      </c>
      <c r="AY3" s="2" t="n">
        <f aca="false">(S3-$B3)*$A3</f>
        <v>0.235000000000003</v>
      </c>
      <c r="AZ3" s="2" t="n">
        <f aca="false">(T3-$B3)*$A3</f>
        <v>0.320500000000003</v>
      </c>
      <c r="BA3" s="2" t="n">
        <f aca="false">(U3-$B3)*$A3</f>
        <v>0.0721000000000025</v>
      </c>
      <c r="BB3" s="2" t="n">
        <f aca="false">(V3-$B3)*$A3</f>
        <v>0.0614000000000026</v>
      </c>
      <c r="BC3" s="2" t="n">
        <f aca="false">(W3-$B3)*$A3</f>
        <v>0.211500000000001</v>
      </c>
      <c r="BD3" s="2" t="n">
        <f aca="false">(X3-$B3)*$A3</f>
        <v>0.0531000000000006</v>
      </c>
      <c r="BE3" s="2" t="n">
        <f aca="false">(Y3-$B3)*$A3</f>
        <v>0.6844</v>
      </c>
      <c r="BF3" s="2" t="n">
        <f aca="false">(Z3-$B3)*$A3</f>
        <v>2.3143</v>
      </c>
      <c r="BG3" s="2" t="n">
        <f aca="false">(AA3-$B3)*$A3</f>
        <v>0.154400000000003</v>
      </c>
      <c r="BH3" s="2" t="n">
        <f aca="false">(AB3-$B3)*$A3</f>
        <v>1.4948</v>
      </c>
      <c r="BI3" s="2" t="n">
        <f aca="false">(AC3-$B3)*$A3</f>
        <v>0.0617000000000019</v>
      </c>
      <c r="BJ3" s="2" t="n">
        <f aca="false">(AD3-$B3)*$A3</f>
        <v>0.221</v>
      </c>
      <c r="BK3" s="2" t="n">
        <f aca="false">(AE3-$B3)*$A3</f>
        <v>0.164400000000001</v>
      </c>
      <c r="BL3" s="2" t="n">
        <f aca="false">(AF3-$B3)*$A3</f>
        <v>0.488700000000001</v>
      </c>
      <c r="BM3" s="2" t="n">
        <f aca="false">(AG3-$B3)*$A3</f>
        <v>0.653200000000002</v>
      </c>
    </row>
    <row r="4" customFormat="false" ht="13.8" hidden="false" customHeight="false" outlineLevel="0" collapsed="false">
      <c r="A4" s="1" t="n">
        <f aca="false">1+A3</f>
        <v>2</v>
      </c>
      <c r="B4" s="1" t="n">
        <v>8.57041</v>
      </c>
      <c r="C4" s="1" t="n">
        <v>8.51483</v>
      </c>
      <c r="D4" s="1" t="n">
        <v>8.20464</v>
      </c>
      <c r="E4" s="1" t="n">
        <v>8.35919</v>
      </c>
      <c r="F4" s="1" t="n">
        <v>8.22236</v>
      </c>
      <c r="G4" s="1" t="n">
        <v>8.52312</v>
      </c>
      <c r="H4" s="1" t="n">
        <v>8.45105</v>
      </c>
      <c r="I4" s="1" t="n">
        <v>8.42848</v>
      </c>
      <c r="J4" s="1" t="n">
        <v>8.47547</v>
      </c>
      <c r="K4" s="1" t="n">
        <v>9.0858</v>
      </c>
      <c r="L4" s="1" t="n">
        <v>8.52844</v>
      </c>
      <c r="M4" s="1" t="n">
        <v>8.47506</v>
      </c>
      <c r="N4" s="1" t="n">
        <v>8.08217</v>
      </c>
      <c r="O4" s="1" t="n">
        <v>8.56543</v>
      </c>
      <c r="P4" s="1" t="n">
        <v>8.50808</v>
      </c>
      <c r="Q4" s="1" t="n">
        <v>8.51234</v>
      </c>
      <c r="R4" s="1" t="n">
        <v>8.55292</v>
      </c>
      <c r="S4" s="1" t="n">
        <v>8.52696</v>
      </c>
      <c r="T4" s="1" t="n">
        <v>8.51072</v>
      </c>
      <c r="U4" s="1" t="n">
        <v>8.56333</v>
      </c>
      <c r="V4" s="1" t="n">
        <v>8.53706</v>
      </c>
      <c r="W4" s="1" t="n">
        <v>8.55592</v>
      </c>
      <c r="X4" s="1" t="n">
        <v>8.52375</v>
      </c>
      <c r="Y4" s="1" t="n">
        <v>8.35996</v>
      </c>
      <c r="Z4" s="1" t="n">
        <v>8.21058</v>
      </c>
      <c r="AA4" s="1" t="n">
        <v>8.74455</v>
      </c>
      <c r="AB4" s="1" t="n">
        <v>8.2654</v>
      </c>
      <c r="AC4" s="1" t="n">
        <v>8.65769</v>
      </c>
      <c r="AD4" s="1" t="n">
        <v>8.5621</v>
      </c>
      <c r="AE4" s="1" t="n">
        <v>8.61714</v>
      </c>
      <c r="AF4" s="1" t="n">
        <v>8.55207</v>
      </c>
      <c r="AG4" s="1" t="n">
        <v>8.58078</v>
      </c>
      <c r="AH4" s="2"/>
      <c r="AI4" s="2" t="n">
        <f aca="false">(C4-$B4)*$A4</f>
        <v>-0.111160000000002</v>
      </c>
      <c r="AJ4" s="2" t="n">
        <f aca="false">(D4-$B4)*$A4</f>
        <v>-0.731540000000003</v>
      </c>
      <c r="AK4" s="2" t="n">
        <f aca="false">(E4-$B4)*$A4</f>
        <v>-0.422440000000002</v>
      </c>
      <c r="AL4" s="2" t="n">
        <f aca="false">(F4-$B4)*$A4</f>
        <v>-0.696100000000001</v>
      </c>
      <c r="AM4" s="2" t="n">
        <f aca="false">(G4-$B4)*$A4</f>
        <v>-0.0945800000000006</v>
      </c>
      <c r="AN4" s="2" t="n">
        <f aca="false">(H4-$B4)*$A4</f>
        <v>-0.238720000000001</v>
      </c>
      <c r="AO4" s="2" t="n">
        <f aca="false">(I4-$B4)*$A4</f>
        <v>-0.283860000000001</v>
      </c>
      <c r="AP4" s="2" t="n">
        <f aca="false">(J4-$B4)*$A4</f>
        <v>-0.189880000000002</v>
      </c>
      <c r="AQ4" s="2" t="n">
        <f aca="false">(K4-$B4)*$A4</f>
        <v>1.03078</v>
      </c>
      <c r="AR4" s="2" t="n">
        <f aca="false">(L4-$B4)*$A4</f>
        <v>-0.0839400000000019</v>
      </c>
      <c r="AS4" s="2" t="n">
        <f aca="false">(M4-$B4)*$A4</f>
        <v>-0.190700000000003</v>
      </c>
      <c r="AT4" s="2" t="n">
        <f aca="false">(N4-$B4)*$A4</f>
        <v>-0.976480000000002</v>
      </c>
      <c r="AU4" s="2" t="n">
        <f aca="false">(O4-$B4)*$A4</f>
        <v>-0.00996000000000308</v>
      </c>
      <c r="AV4" s="2" t="n">
        <f aca="false">(P4-$B4)*$A4</f>
        <v>-0.124660000000002</v>
      </c>
      <c r="AW4" s="2" t="n">
        <f aca="false">(Q4-$B4)*$A4</f>
        <v>-0.116140000000001</v>
      </c>
      <c r="AX4" s="2" t="n">
        <f aca="false">(R4-$B4)*$A4</f>
        <v>-0.0349800000000009</v>
      </c>
      <c r="AY4" s="2" t="n">
        <f aca="false">(S4-$B4)*$A4</f>
        <v>-0.0869</v>
      </c>
      <c r="AZ4" s="2" t="n">
        <f aca="false">(T4-$B4)*$A4</f>
        <v>-0.119380000000003</v>
      </c>
      <c r="BA4" s="2" t="n">
        <f aca="false">(U4-$B4)*$A4</f>
        <v>-0.0141600000000004</v>
      </c>
      <c r="BB4" s="2" t="n">
        <f aca="false">(V4-$B4)*$A4</f>
        <v>-0.0667000000000009</v>
      </c>
      <c r="BC4" s="2" t="n">
        <f aca="false">(W4-$B4)*$A4</f>
        <v>-0.0289800000000007</v>
      </c>
      <c r="BD4" s="2" t="n">
        <f aca="false">(X4-$B4)*$A4</f>
        <v>-0.0933200000000021</v>
      </c>
      <c r="BE4" s="2" t="n">
        <f aca="false">(Y4-$B4)*$A4</f>
        <v>-0.420900000000003</v>
      </c>
      <c r="BF4" s="2" t="n">
        <f aca="false">(Z4-$B4)*$A4</f>
        <v>-0.719660000000001</v>
      </c>
      <c r="BG4" s="2" t="n">
        <f aca="false">(AA4-$B4)*$A4</f>
        <v>0.348279999999999</v>
      </c>
      <c r="BH4" s="2" t="n">
        <f aca="false">(AB4-$B4)*$A4</f>
        <v>-0.610020000000002</v>
      </c>
      <c r="BI4" s="2" t="n">
        <f aca="false">(AC4-$B4)*$A4</f>
        <v>0.17456</v>
      </c>
      <c r="BJ4" s="2" t="n">
        <f aca="false">(AD4-$B4)*$A4</f>
        <v>-0.0166200000000032</v>
      </c>
      <c r="BK4" s="2" t="n">
        <f aca="false">(AE4-$B4)*$A4</f>
        <v>0.0934599999999968</v>
      </c>
      <c r="BL4" s="2" t="n">
        <f aca="false">(AF4-$B4)*$A4</f>
        <v>-0.0366800000000005</v>
      </c>
      <c r="BM4" s="2" t="n">
        <f aca="false">(AG4-$B4)*$A4</f>
        <v>0.02074</v>
      </c>
    </row>
    <row r="5" customFormat="false" ht="13.8" hidden="false" customHeight="false" outlineLevel="0" collapsed="false">
      <c r="A5" s="1" t="n">
        <f aca="false">1+A4</f>
        <v>3</v>
      </c>
      <c r="B5" s="1" t="n">
        <v>7.61465</v>
      </c>
      <c r="C5" s="1" t="n">
        <v>7.57122</v>
      </c>
      <c r="D5" s="1" t="n">
        <v>7.36974</v>
      </c>
      <c r="E5" s="1" t="n">
        <v>7.48857</v>
      </c>
      <c r="F5" s="1" t="n">
        <v>7.37953</v>
      </c>
      <c r="G5" s="1" t="n">
        <v>7.58035</v>
      </c>
      <c r="H5" s="1" t="n">
        <v>7.53321</v>
      </c>
      <c r="I5" s="1" t="n">
        <v>7.52333</v>
      </c>
      <c r="J5" s="1" t="n">
        <v>7.57073</v>
      </c>
      <c r="K5" s="1" t="n">
        <v>7.89759</v>
      </c>
      <c r="L5" s="1" t="n">
        <v>7.5823</v>
      </c>
      <c r="M5" s="1" t="n">
        <v>7.53725</v>
      </c>
      <c r="N5" s="1" t="n">
        <v>7.32473</v>
      </c>
      <c r="O5" s="1" t="n">
        <v>7.6057</v>
      </c>
      <c r="P5" s="1" t="n">
        <v>7.56076</v>
      </c>
      <c r="Q5" s="1" t="n">
        <v>7.57066</v>
      </c>
      <c r="R5" s="1" t="n">
        <v>7.61786</v>
      </c>
      <c r="S5" s="1" t="n">
        <v>7.57537</v>
      </c>
      <c r="T5" s="1" t="n">
        <v>7.56284</v>
      </c>
      <c r="U5" s="1" t="n">
        <v>7.60761</v>
      </c>
      <c r="V5" s="1" t="n">
        <v>7.59852</v>
      </c>
      <c r="W5" s="1" t="n">
        <v>7.60164</v>
      </c>
      <c r="X5" s="1" t="n">
        <v>7.59628</v>
      </c>
      <c r="Y5" s="1" t="n">
        <v>7.48125</v>
      </c>
      <c r="Z5" s="1" t="n">
        <v>7.26855</v>
      </c>
      <c r="AA5" s="1" t="n">
        <v>7.66347</v>
      </c>
      <c r="AB5" s="1" t="n">
        <v>7.35806</v>
      </c>
      <c r="AC5" s="1" t="n">
        <v>7.63075</v>
      </c>
      <c r="AD5" s="1" t="n">
        <v>7.56941</v>
      </c>
      <c r="AE5" s="1" t="n">
        <v>7.61421</v>
      </c>
      <c r="AF5" s="1" t="n">
        <v>7.57625</v>
      </c>
      <c r="AG5" s="1" t="n">
        <v>7.5445</v>
      </c>
      <c r="AH5" s="2"/>
      <c r="AI5" s="2" t="n">
        <f aca="false">(C5-$B5)*$A5</f>
        <v>-0.13029</v>
      </c>
      <c r="AJ5" s="2" t="n">
        <f aca="false">(D5-$B5)*$A5</f>
        <v>-0.73473</v>
      </c>
      <c r="AK5" s="2" t="n">
        <f aca="false">(E5-$B5)*$A5</f>
        <v>-0.37824</v>
      </c>
      <c r="AL5" s="2" t="n">
        <f aca="false">(F5-$B5)*$A5</f>
        <v>-0.705360000000001</v>
      </c>
      <c r="AM5" s="2" t="n">
        <f aca="false">(G5-$B5)*$A5</f>
        <v>-0.1029</v>
      </c>
      <c r="AN5" s="2" t="n">
        <f aca="false">(H5-$B5)*$A5</f>
        <v>-0.244319999999999</v>
      </c>
      <c r="AO5" s="2" t="n">
        <f aca="false">(I5-$B5)*$A5</f>
        <v>-0.273960000000002</v>
      </c>
      <c r="AP5" s="2" t="n">
        <f aca="false">(J5-$B5)*$A5</f>
        <v>-0.13176</v>
      </c>
      <c r="AQ5" s="2" t="n">
        <f aca="false">(K5-$B5)*$A5</f>
        <v>0.84882</v>
      </c>
      <c r="AR5" s="2" t="n">
        <f aca="false">(L5-$B5)*$A5</f>
        <v>-0.0970500000000003</v>
      </c>
      <c r="AS5" s="2" t="n">
        <f aca="false">(M5-$B5)*$A5</f>
        <v>-0.2322</v>
      </c>
      <c r="AT5" s="2" t="n">
        <f aca="false">(N5-$B5)*$A5</f>
        <v>-0.869760000000001</v>
      </c>
      <c r="AU5" s="2" t="n">
        <f aca="false">(O5-$B5)*$A5</f>
        <v>-0.0268500000000014</v>
      </c>
      <c r="AV5" s="2" t="n">
        <f aca="false">(P5-$B5)*$A5</f>
        <v>-0.16167</v>
      </c>
      <c r="AW5" s="2" t="n">
        <f aca="false">(Q5-$B5)*$A5</f>
        <v>-0.13197</v>
      </c>
      <c r="AX5" s="2" t="n">
        <f aca="false">(R5-$B5)*$A5</f>
        <v>0.00963000000000047</v>
      </c>
      <c r="AY5" s="2" t="n">
        <f aca="false">(S5-$B5)*$A5</f>
        <v>-0.117839999999999</v>
      </c>
      <c r="AZ5" s="2" t="n">
        <f aca="false">(T5-$B5)*$A5</f>
        <v>-0.155430000000002</v>
      </c>
      <c r="BA5" s="2" t="n">
        <f aca="false">(U5-$B5)*$A5</f>
        <v>-0.0211199999999998</v>
      </c>
      <c r="BB5" s="2" t="n">
        <f aca="false">(V5-$B5)*$A5</f>
        <v>-0.0483900000000013</v>
      </c>
      <c r="BC5" s="2" t="n">
        <f aca="false">(W5-$B5)*$A5</f>
        <v>-0.0390300000000012</v>
      </c>
      <c r="BD5" s="2" t="n">
        <f aca="false">(X5-$B5)*$A5</f>
        <v>-0.05511</v>
      </c>
      <c r="BE5" s="2" t="n">
        <f aca="false">(Y5-$B5)*$A5</f>
        <v>-0.4002</v>
      </c>
      <c r="BF5" s="2" t="n">
        <f aca="false">(Z5-$B5)*$A5</f>
        <v>-1.0383</v>
      </c>
      <c r="BG5" s="2" t="n">
        <f aca="false">(AA5-$B5)*$A5</f>
        <v>0.14646</v>
      </c>
      <c r="BH5" s="2" t="n">
        <f aca="false">(AB5-$B5)*$A5</f>
        <v>-0.76977</v>
      </c>
      <c r="BI5" s="2" t="n">
        <f aca="false">(AC5-$B5)*$A5</f>
        <v>0.0482999999999993</v>
      </c>
      <c r="BJ5" s="2" t="n">
        <f aca="false">(AD5-$B5)*$A5</f>
        <v>-0.135719999999999</v>
      </c>
      <c r="BK5" s="2" t="n">
        <f aca="false">(AE5-$B5)*$A5</f>
        <v>-0.00132000000000065</v>
      </c>
      <c r="BL5" s="2" t="n">
        <f aca="false">(AF5-$B5)*$A5</f>
        <v>-0.115200000000001</v>
      </c>
      <c r="BM5" s="2" t="n">
        <f aca="false">(AG5-$B5)*$A5</f>
        <v>-0.21045</v>
      </c>
    </row>
    <row r="6" customFormat="false" ht="13.8" hidden="false" customHeight="false" outlineLevel="0" collapsed="false">
      <c r="A6" s="1" t="n">
        <f aca="false">1+A5</f>
        <v>4</v>
      </c>
      <c r="B6" s="1" t="n">
        <v>6.19225</v>
      </c>
      <c r="C6" s="1" t="n">
        <v>6.1579</v>
      </c>
      <c r="D6" s="1" t="n">
        <v>6.02196</v>
      </c>
      <c r="E6" s="1" t="n">
        <v>6.11339</v>
      </c>
      <c r="F6" s="1" t="n">
        <v>6.03774</v>
      </c>
      <c r="G6" s="1" t="n">
        <v>6.1709</v>
      </c>
      <c r="H6" s="1" t="n">
        <v>6.14739</v>
      </c>
      <c r="I6" s="1" t="n">
        <v>6.11949</v>
      </c>
      <c r="J6" s="1" t="n">
        <v>6.1727</v>
      </c>
      <c r="K6" s="1" t="n">
        <v>6.33652</v>
      </c>
      <c r="L6" s="1" t="n">
        <v>6.16872</v>
      </c>
      <c r="M6" s="1" t="n">
        <v>6.14125</v>
      </c>
      <c r="N6" s="1" t="n">
        <v>6.0169</v>
      </c>
      <c r="O6" s="1" t="n">
        <v>6.19072</v>
      </c>
      <c r="P6" s="1" t="n">
        <v>6.15912</v>
      </c>
      <c r="Q6" s="1" t="n">
        <v>6.15382</v>
      </c>
      <c r="R6" s="1" t="n">
        <v>6.20119</v>
      </c>
      <c r="S6" s="1" t="n">
        <v>6.16256</v>
      </c>
      <c r="T6" s="1" t="n">
        <v>6.14466</v>
      </c>
      <c r="U6" s="1" t="n">
        <v>6.18932</v>
      </c>
      <c r="V6" s="1" t="n">
        <v>6.19361</v>
      </c>
      <c r="W6" s="1" t="n">
        <v>6.17949</v>
      </c>
      <c r="X6" s="1" t="n">
        <v>6.19116</v>
      </c>
      <c r="Y6" s="1" t="n">
        <v>6.10723</v>
      </c>
      <c r="Z6" s="1" t="n">
        <v>5.88094</v>
      </c>
      <c r="AA6" s="1" t="n">
        <v>6.16796</v>
      </c>
      <c r="AB6" s="1" t="n">
        <v>5.97641</v>
      </c>
      <c r="AC6" s="1" t="n">
        <v>6.17036</v>
      </c>
      <c r="AD6" s="1" t="n">
        <v>6.14527</v>
      </c>
      <c r="AE6" s="1" t="n">
        <v>6.16611</v>
      </c>
      <c r="AF6" s="1" t="n">
        <v>6.14552</v>
      </c>
      <c r="AG6" s="1" t="n">
        <v>6.07462</v>
      </c>
      <c r="AH6" s="2"/>
      <c r="AI6" s="2" t="n">
        <f aca="false">(C6-$B6)*$A6</f>
        <v>-0.1374</v>
      </c>
      <c r="AJ6" s="2" t="n">
        <f aca="false">(D6-$B6)*$A6</f>
        <v>-0.681159999999998</v>
      </c>
      <c r="AK6" s="2" t="n">
        <f aca="false">(E6-$B6)*$A6</f>
        <v>-0.315439999999999</v>
      </c>
      <c r="AL6" s="2" t="n">
        <f aca="false">(F6-$B6)*$A6</f>
        <v>-0.618039999999997</v>
      </c>
      <c r="AM6" s="2" t="n">
        <f aca="false">(G6-$B6)*$A6</f>
        <v>-0.0853999999999999</v>
      </c>
      <c r="AN6" s="2" t="n">
        <f aca="false">(H6-$B6)*$A6</f>
        <v>-0.17944</v>
      </c>
      <c r="AO6" s="2" t="n">
        <f aca="false">(I6-$B6)*$A6</f>
        <v>-0.291039999999999</v>
      </c>
      <c r="AP6" s="2" t="n">
        <f aca="false">(J6-$B6)*$A6</f>
        <v>-0.0781999999999989</v>
      </c>
      <c r="AQ6" s="2" t="n">
        <f aca="false">(K6-$B6)*$A6</f>
        <v>0.577080000000002</v>
      </c>
      <c r="AR6" s="2" t="n">
        <f aca="false">(L6-$B6)*$A6</f>
        <v>-0.0941199999999967</v>
      </c>
      <c r="AS6" s="2" t="n">
        <f aca="false">(M6-$B6)*$A6</f>
        <v>-0.203999999999997</v>
      </c>
      <c r="AT6" s="2" t="n">
        <f aca="false">(N6-$B6)*$A6</f>
        <v>-0.7014</v>
      </c>
      <c r="AU6" s="2" t="n">
        <f aca="false">(O6-$B6)*$A6</f>
        <v>-0.00611999999999924</v>
      </c>
      <c r="AV6" s="2" t="n">
        <f aca="false">(P6-$B6)*$A6</f>
        <v>-0.13252</v>
      </c>
      <c r="AW6" s="2" t="n">
        <f aca="false">(Q6-$B6)*$A6</f>
        <v>-0.15372</v>
      </c>
      <c r="AX6" s="2" t="n">
        <f aca="false">(R6-$B6)*$A6</f>
        <v>0.0357600000000033</v>
      </c>
      <c r="AY6" s="2" t="n">
        <f aca="false">(S6-$B6)*$A6</f>
        <v>-0.118759999999998</v>
      </c>
      <c r="AZ6" s="2" t="n">
        <f aca="false">(T6-$B6)*$A6</f>
        <v>-0.190359999999998</v>
      </c>
      <c r="BA6" s="2" t="n">
        <f aca="false">(U6-$B6)*$A6</f>
        <v>-0.0117199999999968</v>
      </c>
      <c r="BB6" s="2" t="n">
        <f aca="false">(V6-$B6)*$A6</f>
        <v>0.00544000000000011</v>
      </c>
      <c r="BC6" s="2" t="n">
        <f aca="false">(W6-$B6)*$A6</f>
        <v>-0.0510399999999969</v>
      </c>
      <c r="BD6" s="2" t="n">
        <f aca="false">(X6-$B6)*$A6</f>
        <v>-0.00435999999999837</v>
      </c>
      <c r="BE6" s="2" t="n">
        <f aca="false">(Y6-$B6)*$A6</f>
        <v>-0.340079999999997</v>
      </c>
      <c r="BF6" s="2" t="n">
        <f aca="false">(Z6-$B6)*$A6</f>
        <v>-1.24524</v>
      </c>
      <c r="BG6" s="2" t="n">
        <f aca="false">(AA6-$B6)*$A6</f>
        <v>-0.0971599999999988</v>
      </c>
      <c r="BH6" s="2" t="n">
        <f aca="false">(AB6-$B6)*$A6</f>
        <v>-0.86336</v>
      </c>
      <c r="BI6" s="2" t="n">
        <f aca="false">(AC6-$B6)*$A6</f>
        <v>-0.0875599999999999</v>
      </c>
      <c r="BJ6" s="2" t="n">
        <f aca="false">(AD6-$B6)*$A6</f>
        <v>-0.187919999999998</v>
      </c>
      <c r="BK6" s="2" t="n">
        <f aca="false">(AE6-$B6)*$A6</f>
        <v>-0.104559999999999</v>
      </c>
      <c r="BL6" s="2" t="n">
        <f aca="false">(AF6-$B6)*$A6</f>
        <v>-0.186919999999997</v>
      </c>
      <c r="BM6" s="2" t="n">
        <f aca="false">(AG6-$B6)*$A6</f>
        <v>-0.470519999999997</v>
      </c>
    </row>
    <row r="7" customFormat="false" ht="13.8" hidden="false" customHeight="false" outlineLevel="0" collapsed="false">
      <c r="A7" s="1" t="n">
        <f aca="false">1+A6</f>
        <v>5</v>
      </c>
      <c r="B7" s="1" t="n">
        <v>4.6419</v>
      </c>
      <c r="C7" s="1" t="n">
        <v>4.60562</v>
      </c>
      <c r="D7" s="1" t="n">
        <v>4.51229</v>
      </c>
      <c r="E7" s="1" t="n">
        <v>4.58439</v>
      </c>
      <c r="F7" s="1" t="n">
        <v>4.53212</v>
      </c>
      <c r="G7" s="1" t="n">
        <v>4.61971</v>
      </c>
      <c r="H7" s="1" t="n">
        <v>4.61421</v>
      </c>
      <c r="I7" s="1" t="n">
        <v>4.57252</v>
      </c>
      <c r="J7" s="1" t="n">
        <v>4.62119</v>
      </c>
      <c r="K7" s="1" t="n">
        <v>4.7241</v>
      </c>
      <c r="L7" s="1" t="n">
        <v>4.62442</v>
      </c>
      <c r="M7" s="1" t="n">
        <v>4.61152</v>
      </c>
      <c r="N7" s="1" t="n">
        <v>4.51991</v>
      </c>
      <c r="O7" s="1" t="n">
        <v>4.64591</v>
      </c>
      <c r="P7" s="1" t="n">
        <v>4.61889</v>
      </c>
      <c r="Q7" s="1" t="n">
        <v>4.60865</v>
      </c>
      <c r="R7" s="1" t="n">
        <v>4.64389</v>
      </c>
      <c r="S7" s="1" t="n">
        <v>4.60899</v>
      </c>
      <c r="T7" s="1" t="n">
        <v>4.59679</v>
      </c>
      <c r="U7" s="1" t="n">
        <v>4.6387</v>
      </c>
      <c r="V7" s="1" t="n">
        <v>4.64701</v>
      </c>
      <c r="W7" s="1" t="n">
        <v>4.62396</v>
      </c>
      <c r="X7" s="1" t="n">
        <v>4.63985</v>
      </c>
      <c r="Y7" s="1" t="n">
        <v>4.57861</v>
      </c>
      <c r="Z7" s="1" t="n">
        <v>4.37273</v>
      </c>
      <c r="AA7" s="1" t="n">
        <v>4.58609</v>
      </c>
      <c r="AB7" s="1" t="n">
        <v>4.4701</v>
      </c>
      <c r="AC7" s="1" t="n">
        <v>4.61074</v>
      </c>
      <c r="AD7" s="1" t="n">
        <v>4.5976</v>
      </c>
      <c r="AE7" s="1" t="n">
        <v>4.60456</v>
      </c>
      <c r="AF7" s="1" t="n">
        <v>4.58562</v>
      </c>
      <c r="AG7" s="1" t="n">
        <v>4.52224</v>
      </c>
      <c r="AH7" s="2"/>
      <c r="AI7" s="2" t="n">
        <f aca="false">(C7-$B7)*$A7</f>
        <v>-0.181399999999998</v>
      </c>
      <c r="AJ7" s="2" t="n">
        <f aca="false">(D7-$B7)*$A7</f>
        <v>-0.648049999999998</v>
      </c>
      <c r="AK7" s="2" t="n">
        <f aca="false">(E7-$B7)*$A7</f>
        <v>-0.287549999999999</v>
      </c>
      <c r="AL7" s="2" t="n">
        <f aca="false">(F7-$B7)*$A7</f>
        <v>-0.548899999999999</v>
      </c>
      <c r="AM7" s="2" t="n">
        <f aca="false">(G7-$B7)*$A7</f>
        <v>-0.110949999999996</v>
      </c>
      <c r="AN7" s="2" t="n">
        <f aca="false">(H7-$B7)*$A7</f>
        <v>-0.138449999999999</v>
      </c>
      <c r="AO7" s="2" t="n">
        <f aca="false">(I7-$B7)*$A7</f>
        <v>-0.346899999999999</v>
      </c>
      <c r="AP7" s="2" t="n">
        <f aca="false">(J7-$B7)*$A7</f>
        <v>-0.103549999999997</v>
      </c>
      <c r="AQ7" s="2" t="n">
        <f aca="false">(K7-$B7)*$A7</f>
        <v>0.411000000000001</v>
      </c>
      <c r="AR7" s="2" t="n">
        <f aca="false">(L7-$B7)*$A7</f>
        <v>-0.0873999999999997</v>
      </c>
      <c r="AS7" s="2" t="n">
        <f aca="false">(M7-$B7)*$A7</f>
        <v>-0.1519</v>
      </c>
      <c r="AT7" s="2" t="n">
        <f aca="false">(N7-$B7)*$A7</f>
        <v>-0.609949999999997</v>
      </c>
      <c r="AU7" s="2" t="n">
        <f aca="false">(O7-$B7)*$A7</f>
        <v>0.0200500000000003</v>
      </c>
      <c r="AV7" s="2" t="n">
        <f aca="false">(P7-$B7)*$A7</f>
        <v>-0.115049999999997</v>
      </c>
      <c r="AW7" s="2" t="n">
        <f aca="false">(Q7-$B7)*$A7</f>
        <v>-0.166249999999999</v>
      </c>
      <c r="AX7" s="2" t="n">
        <f aca="false">(R7-$B7)*$A7</f>
        <v>0.00995000000000079</v>
      </c>
      <c r="AY7" s="2" t="n">
        <f aca="false">(S7-$B7)*$A7</f>
        <v>-0.164549999999997</v>
      </c>
      <c r="AZ7" s="2" t="n">
        <f aca="false">(T7-$B7)*$A7</f>
        <v>-0.225549999999997</v>
      </c>
      <c r="BA7" s="2" t="n">
        <f aca="false">(U7-$B7)*$A7</f>
        <v>-0.0159999999999982</v>
      </c>
      <c r="BB7" s="2" t="n">
        <f aca="false">(V7-$B7)*$A7</f>
        <v>0.0255500000000009</v>
      </c>
      <c r="BC7" s="2" t="n">
        <f aca="false">(W7-$B7)*$A7</f>
        <v>-0.089699999999997</v>
      </c>
      <c r="BD7" s="2" t="n">
        <f aca="false">(X7-$B7)*$A7</f>
        <v>-0.0102499999999983</v>
      </c>
      <c r="BE7" s="2" t="n">
        <f aca="false">(Y7-$B7)*$A7</f>
        <v>-0.316449999999997</v>
      </c>
      <c r="BF7" s="2" t="n">
        <f aca="false">(Z7-$B7)*$A7</f>
        <v>-1.34585</v>
      </c>
      <c r="BG7" s="2" t="n">
        <f aca="false">(AA7-$B7)*$A7</f>
        <v>-0.279049999999996</v>
      </c>
      <c r="BH7" s="2" t="n">
        <f aca="false">(AB7-$B7)*$A7</f>
        <v>-0.858999999999996</v>
      </c>
      <c r="BI7" s="2" t="n">
        <f aca="false">(AC7-$B7)*$A7</f>
        <v>-0.155799999999999</v>
      </c>
      <c r="BJ7" s="2" t="n">
        <f aca="false">(AD7-$B7)*$A7</f>
        <v>-0.221499999999999</v>
      </c>
      <c r="BK7" s="2" t="n">
        <f aca="false">(AE7-$B7)*$A7</f>
        <v>-0.186699999999997</v>
      </c>
      <c r="BL7" s="2" t="n">
        <f aca="false">(AF7-$B7)*$A7</f>
        <v>-0.281400000000001</v>
      </c>
      <c r="BM7" s="2" t="n">
        <f aca="false">(AG7-$B7)*$A7</f>
        <v>-0.598299999999998</v>
      </c>
    </row>
    <row r="8" customFormat="false" ht="13.8" hidden="false" customHeight="false" outlineLevel="0" collapsed="false">
      <c r="A8" s="1" t="n">
        <f aca="false">1+A7</f>
        <v>6</v>
      </c>
      <c r="B8" s="1" t="n">
        <v>3.54799</v>
      </c>
      <c r="C8" s="1" t="n">
        <v>3.52014</v>
      </c>
      <c r="D8" s="1" t="n">
        <v>3.45344</v>
      </c>
      <c r="E8" s="1" t="n">
        <v>3.50475</v>
      </c>
      <c r="F8" s="1" t="n">
        <v>3.46019</v>
      </c>
      <c r="G8" s="1" t="n">
        <v>3.53121</v>
      </c>
      <c r="H8" s="1" t="n">
        <v>3.53227</v>
      </c>
      <c r="I8" s="1" t="n">
        <v>3.49339</v>
      </c>
      <c r="J8" s="1" t="n">
        <v>3.53013</v>
      </c>
      <c r="K8" s="1" t="n">
        <v>3.60435</v>
      </c>
      <c r="L8" s="1" t="n">
        <v>3.53136</v>
      </c>
      <c r="M8" s="1" t="n">
        <v>3.52967</v>
      </c>
      <c r="N8" s="1" t="n">
        <v>3.46169</v>
      </c>
      <c r="O8" s="1" t="n">
        <v>3.55075</v>
      </c>
      <c r="P8" s="1" t="n">
        <v>3.53932</v>
      </c>
      <c r="Q8" s="1" t="n">
        <v>3.52598</v>
      </c>
      <c r="R8" s="1" t="n">
        <v>3.54601</v>
      </c>
      <c r="S8" s="1" t="n">
        <v>3.52079</v>
      </c>
      <c r="T8" s="1" t="n">
        <v>3.50868</v>
      </c>
      <c r="U8" s="1" t="n">
        <v>3.5425</v>
      </c>
      <c r="V8" s="1" t="n">
        <v>3.55792</v>
      </c>
      <c r="W8" s="1" t="n">
        <v>3.53068</v>
      </c>
      <c r="X8" s="1" t="n">
        <v>3.54369</v>
      </c>
      <c r="Y8" s="1" t="n">
        <v>3.49385</v>
      </c>
      <c r="Z8" s="1" t="n">
        <v>3.31689</v>
      </c>
      <c r="AA8" s="1" t="n">
        <v>3.49535</v>
      </c>
      <c r="AB8" s="1" t="n">
        <v>3.41144</v>
      </c>
      <c r="AC8" s="1" t="n">
        <v>3.51863</v>
      </c>
      <c r="AD8" s="1" t="n">
        <v>3.51235</v>
      </c>
      <c r="AE8" s="1" t="n">
        <v>3.51351</v>
      </c>
      <c r="AF8" s="1" t="n">
        <v>3.50419</v>
      </c>
      <c r="AG8" s="1" t="n">
        <v>3.44318</v>
      </c>
      <c r="AH8" s="2"/>
      <c r="AI8" s="2" t="n">
        <f aca="false">(C8-$B8)*$A8</f>
        <v>-0.1671</v>
      </c>
      <c r="AJ8" s="2" t="n">
        <f aca="false">(D8-$B8)*$A8</f>
        <v>-0.5673</v>
      </c>
      <c r="AK8" s="2" t="n">
        <f aca="false">(E8-$B8)*$A8</f>
        <v>-0.25944</v>
      </c>
      <c r="AL8" s="2" t="n">
        <f aca="false">(F8-$B8)*$A8</f>
        <v>-0.526800000000001</v>
      </c>
      <c r="AM8" s="2" t="n">
        <f aca="false">(G8-$B8)*$A8</f>
        <v>-0.100679999999999</v>
      </c>
      <c r="AN8" s="2" t="n">
        <f aca="false">(H8-$B8)*$A8</f>
        <v>-0.0943199999999997</v>
      </c>
      <c r="AO8" s="2" t="n">
        <f aca="false">(I8-$B8)*$A8</f>
        <v>-0.327599999999999</v>
      </c>
      <c r="AP8" s="2" t="n">
        <f aca="false">(J8-$B8)*$A8</f>
        <v>-0.107159999999999</v>
      </c>
      <c r="AQ8" s="2" t="n">
        <f aca="false">(K8-$B8)*$A8</f>
        <v>0.338160000000001</v>
      </c>
      <c r="AR8" s="2" t="n">
        <f aca="false">(L8-$B8)*$A8</f>
        <v>-0.0997800000000009</v>
      </c>
      <c r="AS8" s="2" t="n">
        <f aca="false">(M8-$B8)*$A8</f>
        <v>-0.109920000000001</v>
      </c>
      <c r="AT8" s="2" t="n">
        <f aca="false">(N8-$B8)*$A8</f>
        <v>-0.5178</v>
      </c>
      <c r="AU8" s="2" t="n">
        <f aca="false">(O8-$B8)*$A8</f>
        <v>0.0165599999999992</v>
      </c>
      <c r="AV8" s="2" t="n">
        <f aca="false">(P8-$B8)*$A8</f>
        <v>-0.0520199999999997</v>
      </c>
      <c r="AW8" s="2" t="n">
        <f aca="false">(Q8-$B8)*$A8</f>
        <v>-0.132059999999999</v>
      </c>
      <c r="AX8" s="2" t="n">
        <f aca="false">(R8-$B8)*$A8</f>
        <v>-0.0118800000000006</v>
      </c>
      <c r="AY8" s="2" t="n">
        <f aca="false">(S8-$B8)*$A8</f>
        <v>-0.163200000000001</v>
      </c>
      <c r="AZ8" s="2" t="n">
        <f aca="false">(T8-$B8)*$A8</f>
        <v>-0.23586</v>
      </c>
      <c r="BA8" s="2" t="n">
        <f aca="false">(U8-$B8)*$A8</f>
        <v>-0.03294</v>
      </c>
      <c r="BB8" s="2" t="n">
        <f aca="false">(V8-$B8)*$A8</f>
        <v>0.0595800000000013</v>
      </c>
      <c r="BC8" s="2" t="n">
        <f aca="false">(W8-$B8)*$A8</f>
        <v>-0.103860000000001</v>
      </c>
      <c r="BD8" s="2" t="n">
        <f aca="false">(X8-$B8)*$A8</f>
        <v>-0.0258000000000012</v>
      </c>
      <c r="BE8" s="2" t="n">
        <f aca="false">(Y8-$B8)*$A8</f>
        <v>-0.324839999999999</v>
      </c>
      <c r="BF8" s="2" t="n">
        <f aca="false">(Z8-$B8)*$A8</f>
        <v>-1.3866</v>
      </c>
      <c r="BG8" s="2" t="n">
        <f aca="false">(AA8-$B8)*$A8</f>
        <v>-0.315839999999999</v>
      </c>
      <c r="BH8" s="2" t="n">
        <f aca="false">(AB8-$B8)*$A8</f>
        <v>-0.819300000000001</v>
      </c>
      <c r="BI8" s="2" t="n">
        <f aca="false">(AC8-$B8)*$A8</f>
        <v>-0.17616</v>
      </c>
      <c r="BJ8" s="2" t="n">
        <f aca="false">(AD8-$B8)*$A8</f>
        <v>-0.213839999999999</v>
      </c>
      <c r="BK8" s="2" t="n">
        <f aca="false">(AE8-$B8)*$A8</f>
        <v>-0.206879999999999</v>
      </c>
      <c r="BL8" s="2" t="n">
        <f aca="false">(AF8-$B8)*$A8</f>
        <v>-0.2628</v>
      </c>
      <c r="BM8" s="2" t="n">
        <f aca="false">(AG8-$B8)*$A8</f>
        <v>-0.62886</v>
      </c>
    </row>
    <row r="9" customFormat="false" ht="13.8" hidden="false" customHeight="false" outlineLevel="0" collapsed="false">
      <c r="A9" s="1" t="n">
        <f aca="false">1+A8</f>
        <v>7</v>
      </c>
      <c r="B9" s="1" t="n">
        <v>2.90383</v>
      </c>
      <c r="C9" s="1" t="n">
        <v>2.87959</v>
      </c>
      <c r="D9" s="1" t="n">
        <v>2.82566</v>
      </c>
      <c r="E9" s="1" t="n">
        <v>2.87384</v>
      </c>
      <c r="F9" s="1" t="n">
        <v>2.83109</v>
      </c>
      <c r="G9" s="1" t="n">
        <v>2.88047</v>
      </c>
      <c r="H9" s="1" t="n">
        <v>2.88755</v>
      </c>
      <c r="I9" s="1" t="n">
        <v>2.86085</v>
      </c>
      <c r="J9" s="1" t="n">
        <v>2.88827</v>
      </c>
      <c r="K9" s="1" t="n">
        <v>2.9501</v>
      </c>
      <c r="L9" s="1" t="n">
        <v>2.89286</v>
      </c>
      <c r="M9" s="1" t="n">
        <v>2.88914</v>
      </c>
      <c r="N9" s="1" t="n">
        <v>2.83702</v>
      </c>
      <c r="O9" s="1" t="n">
        <v>2.90294</v>
      </c>
      <c r="P9" s="1" t="n">
        <v>2.89401</v>
      </c>
      <c r="Q9" s="1" t="n">
        <v>2.88008</v>
      </c>
      <c r="R9" s="1" t="n">
        <v>2.89741</v>
      </c>
      <c r="S9" s="1" t="n">
        <v>2.87265</v>
      </c>
      <c r="T9" s="1" t="n">
        <v>2.86864</v>
      </c>
      <c r="U9" s="1" t="n">
        <v>2.89619</v>
      </c>
      <c r="V9" s="1" t="n">
        <v>2.91004</v>
      </c>
      <c r="W9" s="1" t="n">
        <v>2.8822</v>
      </c>
      <c r="X9" s="1" t="n">
        <v>2.89435</v>
      </c>
      <c r="Y9" s="1" t="n">
        <v>2.85557</v>
      </c>
      <c r="Z9" s="1" t="n">
        <v>2.70491</v>
      </c>
      <c r="AA9" s="1" t="n">
        <v>2.86199</v>
      </c>
      <c r="AB9" s="1" t="n">
        <v>2.789</v>
      </c>
      <c r="AC9" s="1" t="n">
        <v>2.87265</v>
      </c>
      <c r="AD9" s="1" t="n">
        <v>2.87762</v>
      </c>
      <c r="AE9" s="1" t="n">
        <v>2.87018</v>
      </c>
      <c r="AF9" s="1" t="n">
        <v>2.86614</v>
      </c>
      <c r="AG9" s="1" t="n">
        <v>2.81106</v>
      </c>
      <c r="AH9" s="2"/>
      <c r="AI9" s="2" t="n">
        <f aca="false">(C9-$B9)*$A9</f>
        <v>-0.169680000000002</v>
      </c>
      <c r="AJ9" s="2" t="n">
        <f aca="false">(D9-$B9)*$A9</f>
        <v>-0.547190000000001</v>
      </c>
      <c r="AK9" s="2" t="n">
        <f aca="false">(E9-$B9)*$A9</f>
        <v>-0.209930000000001</v>
      </c>
      <c r="AL9" s="2" t="n">
        <f aca="false">(F9-$B9)*$A9</f>
        <v>-0.50918</v>
      </c>
      <c r="AM9" s="2" t="n">
        <f aca="false">(G9-$B9)*$A9</f>
        <v>-0.163520000000002</v>
      </c>
      <c r="AN9" s="2" t="n">
        <f aca="false">(H9-$B9)*$A9</f>
        <v>-0.113960000000001</v>
      </c>
      <c r="AO9" s="2" t="n">
        <f aca="false">(I9-$B9)*$A9</f>
        <v>-0.30086</v>
      </c>
      <c r="AP9" s="2" t="n">
        <f aca="false">(J9-$B9)*$A9</f>
        <v>-0.108920000000002</v>
      </c>
      <c r="AQ9" s="2" t="n">
        <f aca="false">(K9-$B9)*$A9</f>
        <v>0.323889999999999</v>
      </c>
      <c r="AR9" s="2" t="n">
        <f aca="false">(L9-$B9)*$A9</f>
        <v>-0.0767899999999995</v>
      </c>
      <c r="AS9" s="2" t="n">
        <f aca="false">(M9-$B9)*$A9</f>
        <v>-0.102830000000002</v>
      </c>
      <c r="AT9" s="2" t="n">
        <f aca="false">(N9-$B9)*$A9</f>
        <v>-0.467670000000002</v>
      </c>
      <c r="AU9" s="2" t="n">
        <f aca="false">(O9-$B9)*$A9</f>
        <v>-0.0062300000000004</v>
      </c>
      <c r="AV9" s="2" t="n">
        <f aca="false">(P9-$B9)*$A9</f>
        <v>-0.0687399999999996</v>
      </c>
      <c r="AW9" s="2" t="n">
        <f aca="false">(Q9-$B9)*$A9</f>
        <v>-0.166250000000001</v>
      </c>
      <c r="AX9" s="2" t="n">
        <f aca="false">(R9-$B9)*$A9</f>
        <v>-0.0449400000000022</v>
      </c>
      <c r="AY9" s="2" t="n">
        <f aca="false">(S9-$B9)*$A9</f>
        <v>-0.21826</v>
      </c>
      <c r="AZ9" s="2" t="n">
        <f aca="false">(T9-$B9)*$A9</f>
        <v>-0.24633</v>
      </c>
      <c r="BA9" s="2" t="n">
        <f aca="false">(U9-$B9)*$A9</f>
        <v>-0.0534800000000022</v>
      </c>
      <c r="BB9" s="2" t="n">
        <f aca="false">(V9-$B9)*$A9</f>
        <v>0.0434699999999988</v>
      </c>
      <c r="BC9" s="2" t="n">
        <f aca="false">(W9-$B9)*$A9</f>
        <v>-0.15141</v>
      </c>
      <c r="BD9" s="2" t="n">
        <f aca="false">(X9-$B9)*$A9</f>
        <v>-0.0663599999999995</v>
      </c>
      <c r="BE9" s="2" t="n">
        <f aca="false">(Y9-$B9)*$A9</f>
        <v>-0.33782</v>
      </c>
      <c r="BF9" s="2" t="n">
        <f aca="false">(Z9-$B9)*$A9</f>
        <v>-1.39244</v>
      </c>
      <c r="BG9" s="2" t="n">
        <f aca="false">(AA9-$B9)*$A9</f>
        <v>-0.292880000000001</v>
      </c>
      <c r="BH9" s="2" t="n">
        <f aca="false">(AB9-$B9)*$A9</f>
        <v>-0.80381</v>
      </c>
      <c r="BI9" s="2" t="n">
        <f aca="false">(AC9-$B9)*$A9</f>
        <v>-0.21826</v>
      </c>
      <c r="BJ9" s="2" t="n">
        <f aca="false">(AD9-$B9)*$A9</f>
        <v>-0.183470000000002</v>
      </c>
      <c r="BK9" s="2" t="n">
        <f aca="false">(AE9-$B9)*$A9</f>
        <v>-0.235550000000001</v>
      </c>
      <c r="BL9" s="2" t="n">
        <f aca="false">(AF9-$B9)*$A9</f>
        <v>-0.26383</v>
      </c>
      <c r="BM9" s="2" t="n">
        <f aca="false">(AG9-$B9)*$A9</f>
        <v>-0.649390000000002</v>
      </c>
    </row>
    <row r="10" customFormat="false" ht="13.8" hidden="false" customHeight="false" outlineLevel="0" collapsed="false">
      <c r="A10" s="1" t="n">
        <f aca="false">1+A9</f>
        <v>8</v>
      </c>
      <c r="B10" s="1" t="n">
        <v>2.43526</v>
      </c>
      <c r="C10" s="1" t="n">
        <v>2.41449</v>
      </c>
      <c r="D10" s="1" t="n">
        <v>2.37974</v>
      </c>
      <c r="E10" s="1" t="n">
        <v>2.42083</v>
      </c>
      <c r="F10" s="1" t="n">
        <v>2.37853</v>
      </c>
      <c r="G10" s="1" t="n">
        <v>2.41976</v>
      </c>
      <c r="H10" s="1" t="n">
        <v>2.4244</v>
      </c>
      <c r="I10" s="1" t="n">
        <v>2.40384</v>
      </c>
      <c r="J10" s="1" t="n">
        <v>2.42881</v>
      </c>
      <c r="K10" s="1" t="n">
        <v>2.46486</v>
      </c>
      <c r="L10" s="1" t="n">
        <v>2.43088</v>
      </c>
      <c r="M10" s="1" t="n">
        <v>2.4252</v>
      </c>
      <c r="N10" s="1" t="n">
        <v>2.39077</v>
      </c>
      <c r="O10" s="1" t="n">
        <v>2.43557</v>
      </c>
      <c r="P10" s="1" t="n">
        <v>2.42875</v>
      </c>
      <c r="Q10" s="1" t="n">
        <v>2.41939</v>
      </c>
      <c r="R10" s="1" t="n">
        <v>2.42949</v>
      </c>
      <c r="S10" s="1" t="n">
        <v>2.41125</v>
      </c>
      <c r="T10" s="1" t="n">
        <v>2.40783</v>
      </c>
      <c r="U10" s="1" t="n">
        <v>2.43405</v>
      </c>
      <c r="V10" s="1" t="n">
        <v>2.44515</v>
      </c>
      <c r="W10" s="1" t="n">
        <v>2.41845</v>
      </c>
      <c r="X10" s="1" t="n">
        <v>2.4293</v>
      </c>
      <c r="Y10" s="1" t="n">
        <v>2.40114</v>
      </c>
      <c r="Z10" s="1" t="n">
        <v>2.27906</v>
      </c>
      <c r="AA10" s="1" t="n">
        <v>2.39919</v>
      </c>
      <c r="AB10" s="1" t="n">
        <v>2.34987</v>
      </c>
      <c r="AC10" s="1" t="n">
        <v>2.41059</v>
      </c>
      <c r="AD10" s="1" t="n">
        <v>2.41781</v>
      </c>
      <c r="AE10" s="1" t="n">
        <v>2.41027</v>
      </c>
      <c r="AF10" s="1" t="n">
        <v>2.4124</v>
      </c>
      <c r="AG10" s="1" t="n">
        <v>2.36119</v>
      </c>
      <c r="AH10" s="2"/>
      <c r="AI10" s="2" t="n">
        <f aca="false">(C10-$B10)*$A10</f>
        <v>-0.166160000000001</v>
      </c>
      <c r="AJ10" s="2" t="n">
        <f aca="false">(D10-$B10)*$A10</f>
        <v>-0.44416</v>
      </c>
      <c r="AK10" s="2" t="n">
        <f aca="false">(E10-$B10)*$A10</f>
        <v>-0.11544</v>
      </c>
      <c r="AL10" s="2" t="n">
        <f aca="false">(F10-$B10)*$A10</f>
        <v>-0.45384</v>
      </c>
      <c r="AM10" s="2" t="n">
        <f aca="false">(G10-$B10)*$A10</f>
        <v>-0.123999999999999</v>
      </c>
      <c r="AN10" s="2" t="n">
        <f aca="false">(H10-$B10)*$A10</f>
        <v>-0.0868800000000007</v>
      </c>
      <c r="AO10" s="2" t="n">
        <f aca="false">(I10-$B10)*$A10</f>
        <v>-0.251359999999998</v>
      </c>
      <c r="AP10" s="2" t="n">
        <f aca="false">(J10-$B10)*$A10</f>
        <v>-0.0516000000000005</v>
      </c>
      <c r="AQ10" s="2" t="n">
        <f aca="false">(K10-$B10)*$A10</f>
        <v>0.236799999999999</v>
      </c>
      <c r="AR10" s="2" t="n">
        <f aca="false">(L10-$B10)*$A10</f>
        <v>-0.0350399999999986</v>
      </c>
      <c r="AS10" s="2" t="n">
        <f aca="false">(M10-$B10)*$A10</f>
        <v>-0.0804800000000014</v>
      </c>
      <c r="AT10" s="2" t="n">
        <f aca="false">(N10-$B10)*$A10</f>
        <v>-0.355920000000001</v>
      </c>
      <c r="AU10" s="2" t="n">
        <f aca="false">(O10-$B10)*$A10</f>
        <v>0.00247999999999848</v>
      </c>
      <c r="AV10" s="2" t="n">
        <f aca="false">(P10-$B10)*$A10</f>
        <v>-0.0520800000000001</v>
      </c>
      <c r="AW10" s="2" t="n">
        <f aca="false">(Q10-$B10)*$A10</f>
        <v>-0.12696</v>
      </c>
      <c r="AX10" s="2" t="n">
        <f aca="false">(R10-$B10)*$A10</f>
        <v>-0.0461600000000004</v>
      </c>
      <c r="AY10" s="2" t="n">
        <f aca="false">(S10-$B10)*$A10</f>
        <v>-0.192080000000001</v>
      </c>
      <c r="AZ10" s="2" t="n">
        <f aca="false">(T10-$B10)*$A10</f>
        <v>-0.219439999999999</v>
      </c>
      <c r="BA10" s="2" t="n">
        <f aca="false">(U10-$B10)*$A10</f>
        <v>-0.00967999999999947</v>
      </c>
      <c r="BB10" s="2" t="n">
        <f aca="false">(V10-$B10)*$A10</f>
        <v>0.0791199999999996</v>
      </c>
      <c r="BC10" s="2" t="n">
        <f aca="false">(W10-$B10)*$A10</f>
        <v>-0.13448</v>
      </c>
      <c r="BD10" s="2" t="n">
        <f aca="false">(X10-$B10)*$A10</f>
        <v>-0.0476799999999997</v>
      </c>
      <c r="BE10" s="2" t="n">
        <f aca="false">(Y10-$B10)*$A10</f>
        <v>-0.272960000000001</v>
      </c>
      <c r="BF10" s="2" t="n">
        <f aca="false">(Z10-$B10)*$A10</f>
        <v>-1.2496</v>
      </c>
      <c r="BG10" s="2" t="n">
        <f aca="false">(AA10-$B10)*$A10</f>
        <v>-0.28856</v>
      </c>
      <c r="BH10" s="2" t="n">
        <f aca="false">(AB10-$B10)*$A10</f>
        <v>-0.683119999999999</v>
      </c>
      <c r="BI10" s="2" t="n">
        <f aca="false">(AC10-$B10)*$A10</f>
        <v>-0.19736</v>
      </c>
      <c r="BJ10" s="2" t="n">
        <f aca="false">(AD10-$B10)*$A10</f>
        <v>-0.139600000000002</v>
      </c>
      <c r="BK10" s="2" t="n">
        <f aca="false">(AE10-$B10)*$A10</f>
        <v>-0.199919999999999</v>
      </c>
      <c r="BL10" s="2" t="n">
        <f aca="false">(AF10-$B10)*$A10</f>
        <v>-0.182880000000001</v>
      </c>
      <c r="BM10" s="2" t="n">
        <f aca="false">(AG10-$B10)*$A10</f>
        <v>-0.592559999999999</v>
      </c>
    </row>
    <row r="11" customFormat="false" ht="13.8" hidden="false" customHeight="false" outlineLevel="0" collapsed="false">
      <c r="A11" s="1" t="n">
        <f aca="false">1+A10</f>
        <v>9</v>
      </c>
      <c r="B11" s="1" t="n">
        <v>1.97486</v>
      </c>
      <c r="C11" s="1" t="n">
        <v>1.9567</v>
      </c>
      <c r="D11" s="1" t="n">
        <v>1.93408</v>
      </c>
      <c r="E11" s="1" t="n">
        <v>1.96411</v>
      </c>
      <c r="F11" s="1" t="n">
        <v>1.93035</v>
      </c>
      <c r="G11" s="1" t="n">
        <v>1.96615</v>
      </c>
      <c r="H11" s="1" t="n">
        <v>1.96581</v>
      </c>
      <c r="I11" s="1" t="n">
        <v>1.94766</v>
      </c>
      <c r="J11" s="1" t="n">
        <v>1.96836</v>
      </c>
      <c r="K11" s="1" t="n">
        <v>1.98666</v>
      </c>
      <c r="L11" s="1" t="n">
        <v>1.9696</v>
      </c>
      <c r="M11" s="1" t="n">
        <v>1.96772</v>
      </c>
      <c r="N11" s="1" t="n">
        <v>1.94858</v>
      </c>
      <c r="O11" s="1" t="n">
        <v>1.97354</v>
      </c>
      <c r="P11" s="1" t="n">
        <v>1.96704</v>
      </c>
      <c r="Q11" s="1" t="n">
        <v>1.95987</v>
      </c>
      <c r="R11" s="1" t="n">
        <v>1.97164</v>
      </c>
      <c r="S11" s="1" t="n">
        <v>1.95502</v>
      </c>
      <c r="T11" s="1" t="n">
        <v>1.94751</v>
      </c>
      <c r="U11" s="1" t="n">
        <v>1.97689</v>
      </c>
      <c r="V11" s="1" t="n">
        <v>1.98354</v>
      </c>
      <c r="W11" s="1" t="n">
        <v>1.95883</v>
      </c>
      <c r="X11" s="1" t="n">
        <v>1.97465</v>
      </c>
      <c r="Y11" s="1" t="n">
        <v>1.94791</v>
      </c>
      <c r="Z11" s="1" t="n">
        <v>1.86265</v>
      </c>
      <c r="AA11" s="1" t="n">
        <v>1.94572</v>
      </c>
      <c r="AB11" s="1" t="n">
        <v>1.91369</v>
      </c>
      <c r="AC11" s="1" t="n">
        <v>1.95876</v>
      </c>
      <c r="AD11" s="1" t="n">
        <v>1.96085</v>
      </c>
      <c r="AE11" s="1" t="n">
        <v>1.95821</v>
      </c>
      <c r="AF11" s="1" t="n">
        <v>1.96285</v>
      </c>
      <c r="AG11" s="1" t="n">
        <v>1.92105</v>
      </c>
      <c r="AH11" s="2"/>
      <c r="AI11" s="2" t="n">
        <f aca="false">(C11-$B11)*$A11</f>
        <v>-0.16344</v>
      </c>
      <c r="AJ11" s="2" t="n">
        <f aca="false">(D11-$B11)*$A11</f>
        <v>-0.36702</v>
      </c>
      <c r="AK11" s="2" t="n">
        <f aca="false">(E11-$B11)*$A11</f>
        <v>-0.0967500000000003</v>
      </c>
      <c r="AL11" s="2" t="n">
        <f aca="false">(F11-$B11)*$A11</f>
        <v>-0.40059</v>
      </c>
      <c r="AM11" s="2" t="n">
        <f aca="false">(G11-$B11)*$A11</f>
        <v>-0.07839</v>
      </c>
      <c r="AN11" s="2" t="n">
        <f aca="false">(H11-$B11)*$A11</f>
        <v>-0.08145</v>
      </c>
      <c r="AO11" s="2" t="n">
        <f aca="false">(I11-$B11)*$A11</f>
        <v>-0.244800000000001</v>
      </c>
      <c r="AP11" s="2" t="n">
        <f aca="false">(J11-$B11)*$A11</f>
        <v>-0.0584999999999996</v>
      </c>
      <c r="AQ11" s="2" t="n">
        <f aca="false">(K11-$B11)*$A11</f>
        <v>0.1062</v>
      </c>
      <c r="AR11" s="2" t="n">
        <f aca="false">(L11-$B11)*$A11</f>
        <v>-0.0473400000000004</v>
      </c>
      <c r="AS11" s="2" t="n">
        <f aca="false">(M11-$B11)*$A11</f>
        <v>-0.0642600000000013</v>
      </c>
      <c r="AT11" s="2" t="n">
        <f aca="false">(N11-$B11)*$A11</f>
        <v>-0.236520000000001</v>
      </c>
      <c r="AU11" s="2" t="n">
        <f aca="false">(O11-$B11)*$A11</f>
        <v>-0.0118799999999999</v>
      </c>
      <c r="AV11" s="2" t="n">
        <f aca="false">(P11-$B11)*$A11</f>
        <v>-0.0703800000000014</v>
      </c>
      <c r="AW11" s="2" t="n">
        <f aca="false">(Q11-$B11)*$A11</f>
        <v>-0.134910000000001</v>
      </c>
      <c r="AX11" s="2" t="n">
        <f aca="false">(R11-$B11)*$A11</f>
        <v>-0.02898</v>
      </c>
      <c r="AY11" s="2" t="n">
        <f aca="false">(S11-$B11)*$A11</f>
        <v>-0.178560000000001</v>
      </c>
      <c r="AZ11" s="2" t="n">
        <f aca="false">(T11-$B11)*$A11</f>
        <v>-0.24615</v>
      </c>
      <c r="BA11" s="2" t="n">
        <f aca="false">(U11-$B11)*$A11</f>
        <v>0.0182699999999998</v>
      </c>
      <c r="BB11" s="2" t="n">
        <f aca="false">(V11-$B11)*$A11</f>
        <v>0.0781200000000002</v>
      </c>
      <c r="BC11" s="2" t="n">
        <f aca="false">(W11-$B11)*$A11</f>
        <v>-0.14427</v>
      </c>
      <c r="BD11" s="2" t="n">
        <f aca="false">(X11-$B11)*$A11</f>
        <v>-0.00189000000000039</v>
      </c>
      <c r="BE11" s="2" t="n">
        <f aca="false">(Y11-$B11)*$A11</f>
        <v>-0.24255</v>
      </c>
      <c r="BF11" s="2" t="n">
        <f aca="false">(Z11-$B11)*$A11</f>
        <v>-1.00989</v>
      </c>
      <c r="BG11" s="2" t="n">
        <f aca="false">(AA11-$B11)*$A11</f>
        <v>-0.262260000000002</v>
      </c>
      <c r="BH11" s="2" t="n">
        <f aca="false">(AB11-$B11)*$A11</f>
        <v>-0.550530000000002</v>
      </c>
      <c r="BI11" s="2" t="n">
        <f aca="false">(AC11-$B11)*$A11</f>
        <v>-0.1449</v>
      </c>
      <c r="BJ11" s="2" t="n">
        <f aca="false">(AD11-$B11)*$A11</f>
        <v>-0.126090000000001</v>
      </c>
      <c r="BK11" s="2" t="n">
        <f aca="false">(AE11-$B11)*$A11</f>
        <v>-0.14985</v>
      </c>
      <c r="BL11" s="2" t="n">
        <f aca="false">(AF11-$B11)*$A11</f>
        <v>-0.108090000000001</v>
      </c>
      <c r="BM11" s="2" t="n">
        <f aca="false">(AG11-$B11)*$A11</f>
        <v>-0.484290000000001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1.57132</v>
      </c>
      <c r="C12" s="1" t="n">
        <v>1.55524</v>
      </c>
      <c r="D12" s="1" t="n">
        <v>1.54677</v>
      </c>
      <c r="E12" s="1" t="n">
        <v>1.57405</v>
      </c>
      <c r="F12" s="1" t="n">
        <v>1.53883</v>
      </c>
      <c r="G12" s="1" t="n">
        <v>1.56231</v>
      </c>
      <c r="H12" s="1" t="n">
        <v>1.56814</v>
      </c>
      <c r="I12" s="1" t="n">
        <v>1.55007</v>
      </c>
      <c r="J12" s="1" t="n">
        <v>1.56957</v>
      </c>
      <c r="K12" s="1" t="n">
        <v>1.57143</v>
      </c>
      <c r="L12" s="1" t="n">
        <v>1.56716</v>
      </c>
      <c r="M12" s="1" t="n">
        <v>1.56614</v>
      </c>
      <c r="N12" s="1" t="n">
        <v>1.55602</v>
      </c>
      <c r="O12" s="1" t="n">
        <v>1.56648</v>
      </c>
      <c r="P12" s="1" t="n">
        <v>1.56709</v>
      </c>
      <c r="Q12" s="1" t="n">
        <v>1.55804</v>
      </c>
      <c r="R12" s="1" t="n">
        <v>1.56812</v>
      </c>
      <c r="S12" s="1" t="n">
        <v>1.55479</v>
      </c>
      <c r="T12" s="1" t="n">
        <v>1.55108</v>
      </c>
      <c r="U12" s="1" t="n">
        <v>1.57096</v>
      </c>
      <c r="V12" s="1" t="n">
        <v>1.57886</v>
      </c>
      <c r="W12" s="1" t="n">
        <v>1.55954</v>
      </c>
      <c r="X12" s="1" t="n">
        <v>1.5717</v>
      </c>
      <c r="Y12" s="1" t="n">
        <v>1.55065</v>
      </c>
      <c r="Z12" s="1" t="n">
        <v>1.49712</v>
      </c>
      <c r="AA12" s="1" t="n">
        <v>1.54972</v>
      </c>
      <c r="AB12" s="1" t="n">
        <v>1.53148</v>
      </c>
      <c r="AC12" s="1" t="n">
        <v>1.56218</v>
      </c>
      <c r="AD12" s="1" t="n">
        <v>1.55973</v>
      </c>
      <c r="AE12" s="1" t="n">
        <v>1.55643</v>
      </c>
      <c r="AF12" s="1" t="n">
        <v>1.56982</v>
      </c>
      <c r="AG12" s="1" t="n">
        <v>1.53597</v>
      </c>
      <c r="AH12" s="2"/>
      <c r="AI12" s="2" t="n">
        <f aca="false">(C12-$B12)*$A12</f>
        <v>-0.160800000000001</v>
      </c>
      <c r="AJ12" s="2" t="n">
        <f aca="false">(D12-$B12)*$A12</f>
        <v>-0.245500000000001</v>
      </c>
      <c r="AK12" s="2" t="n">
        <f aca="false">(E12-$B12)*$A12</f>
        <v>0.027299999999999</v>
      </c>
      <c r="AL12" s="2" t="n">
        <f aca="false">(F12-$B12)*$A12</f>
        <v>-0.324900000000001</v>
      </c>
      <c r="AM12" s="2" t="n">
        <f aca="false">(G12-$B12)*$A12</f>
        <v>-0.0900999999999996</v>
      </c>
      <c r="AN12" s="2" t="n">
        <f aca="false">(H12-$B12)*$A12</f>
        <v>-0.0317999999999996</v>
      </c>
      <c r="AO12" s="2" t="n">
        <f aca="false">(I12-$B12)*$A12</f>
        <v>-0.2125</v>
      </c>
      <c r="AP12" s="2" t="n">
        <f aca="false">(J12-$B12)*$A12</f>
        <v>-0.0175000000000014</v>
      </c>
      <c r="AQ12" s="2" t="n">
        <f aca="false">(K12-$B12)*$A12</f>
        <v>0.00110000000000055</v>
      </c>
      <c r="AR12" s="2" t="n">
        <f aca="false">(L12-$B12)*$A12</f>
        <v>-0.0415999999999994</v>
      </c>
      <c r="AS12" s="2" t="n">
        <f aca="false">(M12-$B12)*$A12</f>
        <v>-0.0517999999999996</v>
      </c>
      <c r="AT12" s="2" t="n">
        <f aca="false">(N12-$B12)*$A12</f>
        <v>-0.153000000000001</v>
      </c>
      <c r="AU12" s="2" t="n">
        <f aca="false">(O12-$B12)*$A12</f>
        <v>-0.0483999999999996</v>
      </c>
      <c r="AV12" s="2" t="n">
        <f aca="false">(P12-$B12)*$A12</f>
        <v>-0.0422999999999996</v>
      </c>
      <c r="AW12" s="2" t="n">
        <f aca="false">(Q12-$B12)*$A12</f>
        <v>-0.1328</v>
      </c>
      <c r="AX12" s="2" t="n">
        <f aca="false">(R12-$B12)*$A12</f>
        <v>-0.0320000000000009</v>
      </c>
      <c r="AY12" s="2" t="n">
        <f aca="false">(S12-$B12)*$A12</f>
        <v>-0.165300000000002</v>
      </c>
      <c r="AZ12" s="2" t="n">
        <f aca="false">(T12-$B12)*$A12</f>
        <v>-0.2024</v>
      </c>
      <c r="BA12" s="2" t="n">
        <f aca="false">(U12-$B12)*$A12</f>
        <v>-0.00360000000000138</v>
      </c>
      <c r="BB12" s="2" t="n">
        <f aca="false">(V12-$B12)*$A12</f>
        <v>0.0753999999999988</v>
      </c>
      <c r="BC12" s="2" t="n">
        <f aca="false">(W12-$B12)*$A12</f>
        <v>-0.117800000000001</v>
      </c>
      <c r="BD12" s="2" t="n">
        <f aca="false">(X12-$B12)*$A12</f>
        <v>0.00380000000000047</v>
      </c>
      <c r="BE12" s="2" t="n">
        <f aca="false">(Y12-$B12)*$A12</f>
        <v>-0.2067</v>
      </c>
      <c r="BF12" s="2" t="n">
        <f aca="false">(Z12-$B12)*$A12</f>
        <v>-0.742</v>
      </c>
      <c r="BG12" s="2" t="n">
        <f aca="false">(AA12-$B12)*$A12</f>
        <v>-0.216000000000001</v>
      </c>
      <c r="BH12" s="2" t="n">
        <f aca="false">(AB12-$B12)*$A12</f>
        <v>-0.398400000000001</v>
      </c>
      <c r="BI12" s="2" t="n">
        <f aca="false">(AC12-$B12)*$A12</f>
        <v>-0.0914000000000015</v>
      </c>
      <c r="BJ12" s="2" t="n">
        <f aca="false">(AD12-$B12)*$A12</f>
        <v>-0.1159</v>
      </c>
      <c r="BK12" s="2" t="n">
        <f aca="false">(AE12-$B12)*$A12</f>
        <v>-0.148900000000001</v>
      </c>
      <c r="BL12" s="2" t="n">
        <f aca="false">(AF12-$B12)*$A12</f>
        <v>-0.0150000000000006</v>
      </c>
      <c r="BM12" s="2" t="n">
        <f aca="false">(AG12-$B12)*$A12</f>
        <v>-0.3535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1.19444</v>
      </c>
      <c r="C13" s="1" t="n">
        <v>1.18582</v>
      </c>
      <c r="D13" s="1" t="n">
        <v>1.18079</v>
      </c>
      <c r="E13" s="1" t="n">
        <v>1.20276</v>
      </c>
      <c r="F13" s="1" t="n">
        <v>1.17312</v>
      </c>
      <c r="G13" s="1" t="n">
        <v>1.18952</v>
      </c>
      <c r="H13" s="1" t="n">
        <v>1.19596</v>
      </c>
      <c r="I13" s="1" t="n">
        <v>1.17913</v>
      </c>
      <c r="J13" s="1" t="n">
        <v>1.19478</v>
      </c>
      <c r="K13" s="1" t="n">
        <v>1.19532</v>
      </c>
      <c r="L13" s="1" t="n">
        <v>1.19755</v>
      </c>
      <c r="M13" s="1" t="n">
        <v>1.19419</v>
      </c>
      <c r="N13" s="1" t="n">
        <v>1.19356</v>
      </c>
      <c r="O13" s="1" t="n">
        <v>1.19333</v>
      </c>
      <c r="P13" s="1" t="n">
        <v>1.19374</v>
      </c>
      <c r="Q13" s="1" t="n">
        <v>1.18453</v>
      </c>
      <c r="R13" s="1" t="n">
        <v>1.19722</v>
      </c>
      <c r="S13" s="1" t="n">
        <v>1.18256</v>
      </c>
      <c r="T13" s="1" t="n">
        <v>1.1825</v>
      </c>
      <c r="U13" s="1" t="n">
        <v>1.19768</v>
      </c>
      <c r="V13" s="1" t="n">
        <v>1.20006</v>
      </c>
      <c r="W13" s="1" t="n">
        <v>1.18586</v>
      </c>
      <c r="X13" s="1" t="n">
        <v>1.20054</v>
      </c>
      <c r="Y13" s="1" t="n">
        <v>1.18138</v>
      </c>
      <c r="Z13" s="1" t="n">
        <v>1.15026</v>
      </c>
      <c r="AA13" s="1" t="n">
        <v>1.18152</v>
      </c>
      <c r="AB13" s="1" t="n">
        <v>1.176</v>
      </c>
      <c r="AC13" s="1" t="n">
        <v>1.19994</v>
      </c>
      <c r="AD13" s="1" t="n">
        <v>1.19231</v>
      </c>
      <c r="AE13" s="1" t="n">
        <v>1.18357</v>
      </c>
      <c r="AF13" s="1" t="n">
        <v>1.19523</v>
      </c>
      <c r="AG13" s="1" t="n">
        <v>1.17382</v>
      </c>
      <c r="AH13" s="2"/>
      <c r="AI13" s="2" t="n">
        <f aca="false">(C13-$B13)*$A13</f>
        <v>-0.0948199999999984</v>
      </c>
      <c r="AJ13" s="2" t="n">
        <f aca="false">(D13-$B13)*$A13</f>
        <v>-0.150149999999999</v>
      </c>
      <c r="AK13" s="2" t="n">
        <f aca="false">(E13-$B13)*$A13</f>
        <v>0.0915200000000012</v>
      </c>
      <c r="AL13" s="2" t="n">
        <f aca="false">(F13-$B13)*$A13</f>
        <v>-0.23452</v>
      </c>
      <c r="AM13" s="2" t="n">
        <f aca="false">(G13-$B13)*$A13</f>
        <v>-0.0541200000000004</v>
      </c>
      <c r="AN13" s="2" t="n">
        <f aca="false">(H13-$B13)*$A13</f>
        <v>0.0167199999999996</v>
      </c>
      <c r="AO13" s="2" t="n">
        <f aca="false">(I13-$B13)*$A13</f>
        <v>-0.168409999999999</v>
      </c>
      <c r="AP13" s="2" t="n">
        <f aca="false">(J13-$B13)*$A13</f>
        <v>0.00374000000000008</v>
      </c>
      <c r="AQ13" s="2" t="n">
        <f aca="false">(K13-$B13)*$A13</f>
        <v>0.00967999999999991</v>
      </c>
      <c r="AR13" s="2" t="n">
        <f aca="false">(L13-$B13)*$A13</f>
        <v>0.0342099999999994</v>
      </c>
      <c r="AS13" s="2" t="n">
        <f aca="false">(M13-$B13)*$A13</f>
        <v>-0.00274999999999848</v>
      </c>
      <c r="AT13" s="2" t="n">
        <f aca="false">(N13-$B13)*$A13</f>
        <v>-0.00967999999999991</v>
      </c>
      <c r="AU13" s="2" t="n">
        <f aca="false">(O13-$B13)*$A13</f>
        <v>-0.0122099999999994</v>
      </c>
      <c r="AV13" s="2" t="n">
        <f aca="false">(P13-$B13)*$A13</f>
        <v>-0.00769999999999915</v>
      </c>
      <c r="AW13" s="2" t="n">
        <f aca="false">(Q13-$B13)*$A13</f>
        <v>-0.109009999999999</v>
      </c>
      <c r="AX13" s="2" t="n">
        <f aca="false">(R13-$B13)*$A13</f>
        <v>0.0305800000000001</v>
      </c>
      <c r="AY13" s="2" t="n">
        <f aca="false">(S13-$B13)*$A13</f>
        <v>-0.130679999999999</v>
      </c>
      <c r="AZ13" s="2" t="n">
        <f aca="false">(T13-$B13)*$A13</f>
        <v>-0.131339999999998</v>
      </c>
      <c r="BA13" s="2" t="n">
        <f aca="false">(U13-$B13)*$A13</f>
        <v>0.0356400000000015</v>
      </c>
      <c r="BB13" s="2" t="n">
        <f aca="false">(V13-$B13)*$A13</f>
        <v>0.0618199999999995</v>
      </c>
      <c r="BC13" s="2" t="n">
        <f aca="false">(W13-$B13)*$A13</f>
        <v>-0.0943800000000004</v>
      </c>
      <c r="BD13" s="2" t="n">
        <f aca="false">(X13-$B13)*$A13</f>
        <v>0.0670999999999999</v>
      </c>
      <c r="BE13" s="2" t="n">
        <f aca="false">(Y13-$B13)*$A13</f>
        <v>-0.143659999999998</v>
      </c>
      <c r="BF13" s="2" t="n">
        <f aca="false">(Z13-$B13)*$A13</f>
        <v>-0.485979999999999</v>
      </c>
      <c r="BG13" s="2" t="n">
        <f aca="false">(AA13-$B13)*$A13</f>
        <v>-0.14212</v>
      </c>
      <c r="BH13" s="2" t="n">
        <f aca="false">(AB13-$B13)*$A13</f>
        <v>-0.20284</v>
      </c>
      <c r="BI13" s="2" t="n">
        <f aca="false">(AC13-$B13)*$A13</f>
        <v>0.0605000000000007</v>
      </c>
      <c r="BJ13" s="2" t="n">
        <f aca="false">(AD13-$B13)*$A13</f>
        <v>-0.0234299999999996</v>
      </c>
      <c r="BK13" s="2" t="n">
        <f aca="false">(AE13-$B13)*$A13</f>
        <v>-0.119569999999999</v>
      </c>
      <c r="BL13" s="2" t="n">
        <f aca="false">(AF13-$B13)*$A13</f>
        <v>0.00869000000000075</v>
      </c>
      <c r="BM13" s="2" t="n">
        <f aca="false">(AG13-$B13)*$A13</f>
        <v>-0.226819999999998</v>
      </c>
    </row>
    <row r="14" customFormat="false" ht="13.8" hidden="false" customHeight="false" outlineLevel="0" collapsed="false">
      <c r="A14" s="1" t="n">
        <f aca="false">1+A13</f>
        <v>12</v>
      </c>
      <c r="B14" s="1" t="n">
        <v>0.884663</v>
      </c>
      <c r="C14" s="1" t="n">
        <v>0.876976</v>
      </c>
      <c r="D14" s="1" t="n">
        <v>0.878017</v>
      </c>
      <c r="E14" s="1" t="n">
        <v>0.891584</v>
      </c>
      <c r="F14" s="1" t="n">
        <v>0.869943</v>
      </c>
      <c r="G14" s="1" t="n">
        <v>0.882074</v>
      </c>
      <c r="H14" s="1" t="n">
        <v>0.88839</v>
      </c>
      <c r="I14" s="1" t="n">
        <v>0.873567</v>
      </c>
      <c r="J14" s="1" t="n">
        <v>0.885629</v>
      </c>
      <c r="K14" s="1" t="n">
        <v>0.881519</v>
      </c>
      <c r="L14" s="1" t="n">
        <v>0.885949</v>
      </c>
      <c r="M14" s="1" t="n">
        <v>0.884998</v>
      </c>
      <c r="N14" s="1" t="n">
        <v>0.892034</v>
      </c>
      <c r="O14" s="1" t="n">
        <v>0.883274</v>
      </c>
      <c r="P14" s="1" t="n">
        <v>0.884155</v>
      </c>
      <c r="Q14" s="1" t="n">
        <v>0.879075</v>
      </c>
      <c r="R14" s="1" t="n">
        <v>0.888513</v>
      </c>
      <c r="S14" s="1" t="n">
        <v>0.875313</v>
      </c>
      <c r="T14" s="1" t="n">
        <v>0.876385</v>
      </c>
      <c r="U14" s="1" t="n">
        <v>0.888241</v>
      </c>
      <c r="V14" s="1" t="n">
        <v>0.887812</v>
      </c>
      <c r="W14" s="1" t="n">
        <v>0.881379</v>
      </c>
      <c r="X14" s="1" t="n">
        <v>0.888504</v>
      </c>
      <c r="Y14" s="1" t="n">
        <v>0.87516</v>
      </c>
      <c r="Z14" s="1" t="n">
        <v>0.856823</v>
      </c>
      <c r="AA14" s="1" t="n">
        <v>0.875849</v>
      </c>
      <c r="AB14" s="1" t="n">
        <v>0.876144</v>
      </c>
      <c r="AC14" s="1" t="n">
        <v>0.892643</v>
      </c>
      <c r="AD14" s="1" t="n">
        <v>0.885464</v>
      </c>
      <c r="AE14" s="1" t="n">
        <v>0.87989</v>
      </c>
      <c r="AF14" s="1" t="n">
        <v>0.884793</v>
      </c>
      <c r="AG14" s="1" t="n">
        <v>0.870242</v>
      </c>
      <c r="AH14" s="2"/>
      <c r="AI14" s="2" t="n">
        <f aca="false">(C14-$B14)*$A14</f>
        <v>-0.092244</v>
      </c>
      <c r="AJ14" s="2" t="n">
        <f aca="false">(D14-$B14)*$A14</f>
        <v>-0.0797519999999992</v>
      </c>
      <c r="AK14" s="2" t="n">
        <f aca="false">(E14-$B14)*$A14</f>
        <v>0.0830520000000008</v>
      </c>
      <c r="AL14" s="2" t="n">
        <f aca="false">(F14-$B14)*$A14</f>
        <v>-0.176639999999999</v>
      </c>
      <c r="AM14" s="2" t="n">
        <f aca="false">(G14-$B14)*$A14</f>
        <v>-0.0310679999999994</v>
      </c>
      <c r="AN14" s="2" t="n">
        <f aca="false">(H14-$B14)*$A14</f>
        <v>0.0447240000000004</v>
      </c>
      <c r="AO14" s="2" t="n">
        <f aca="false">(I14-$B14)*$A14</f>
        <v>-0.133152</v>
      </c>
      <c r="AP14" s="2" t="n">
        <f aca="false">(J14-$B14)*$A14</f>
        <v>0.0115920000000003</v>
      </c>
      <c r="AQ14" s="2" t="n">
        <f aca="false">(K14-$B14)*$A14</f>
        <v>-0.0377279999999991</v>
      </c>
      <c r="AR14" s="2" t="n">
        <f aca="false">(L14-$B14)*$A14</f>
        <v>0.0154320000000001</v>
      </c>
      <c r="AS14" s="2" t="n">
        <f aca="false">(M14-$B14)*$A14</f>
        <v>0.00401999999999969</v>
      </c>
      <c r="AT14" s="2" t="n">
        <f aca="false">(N14-$B14)*$A14</f>
        <v>0.0884520000000002</v>
      </c>
      <c r="AU14" s="2" t="n">
        <f aca="false">(O14-$B14)*$A14</f>
        <v>-0.0166679999999997</v>
      </c>
      <c r="AV14" s="2" t="n">
        <f aca="false">(P14-$B14)*$A14</f>
        <v>-0.00609599999999944</v>
      </c>
      <c r="AW14" s="2" t="n">
        <f aca="false">(Q14-$B14)*$A14</f>
        <v>-0.0670559999999991</v>
      </c>
      <c r="AX14" s="2" t="n">
        <f aca="false">(R14-$B14)*$A14</f>
        <v>0.0462000000000002</v>
      </c>
      <c r="AY14" s="2" t="n">
        <f aca="false">(S14-$B14)*$A14</f>
        <v>-0.1122</v>
      </c>
      <c r="AZ14" s="2" t="n">
        <f aca="false">(T14-$B14)*$A14</f>
        <v>-0.0993360000000001</v>
      </c>
      <c r="BA14" s="2" t="n">
        <f aca="false">(U14-$B14)*$A14</f>
        <v>0.0429359999999996</v>
      </c>
      <c r="BB14" s="2" t="n">
        <f aca="false">(V14-$B14)*$A14</f>
        <v>0.0377880000000008</v>
      </c>
      <c r="BC14" s="2" t="n">
        <f aca="false">(W14-$B14)*$A14</f>
        <v>-0.0394079999999994</v>
      </c>
      <c r="BD14" s="2" t="n">
        <f aca="false">(X14-$B14)*$A14</f>
        <v>0.0460919999999998</v>
      </c>
      <c r="BE14" s="2" t="n">
        <f aca="false">(Y14-$B14)*$A14</f>
        <v>-0.114035999999999</v>
      </c>
      <c r="BF14" s="2" t="n">
        <f aca="false">(Z14-$B14)*$A14</f>
        <v>-0.33408</v>
      </c>
      <c r="BG14" s="2" t="n">
        <f aca="false">(AA14-$B14)*$A14</f>
        <v>-0.105768</v>
      </c>
      <c r="BH14" s="2" t="n">
        <f aca="false">(AB14-$B14)*$A14</f>
        <v>-0.102227999999999</v>
      </c>
      <c r="BI14" s="2" t="n">
        <f aca="false">(AC14-$B14)*$A14</f>
        <v>0.0957599999999999</v>
      </c>
      <c r="BJ14" s="2" t="n">
        <f aca="false">(AD14-$B14)*$A14</f>
        <v>0.00961200000000062</v>
      </c>
      <c r="BK14" s="2" t="n">
        <f aca="false">(AE14-$B14)*$A14</f>
        <v>-0.0572760000000003</v>
      </c>
      <c r="BL14" s="2" t="n">
        <f aca="false">(AF14-$B14)*$A14</f>
        <v>0.00156000000000089</v>
      </c>
      <c r="BM14" s="2" t="n">
        <f aca="false">(AG14-$B14)*$A14</f>
        <v>-0.173052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0.619558</v>
      </c>
      <c r="C15" s="1" t="n">
        <v>0.616943</v>
      </c>
      <c r="D15" s="1" t="n">
        <v>0.614709</v>
      </c>
      <c r="E15" s="1" t="n">
        <v>0.626862</v>
      </c>
      <c r="F15" s="1" t="n">
        <v>0.610863</v>
      </c>
      <c r="G15" s="1" t="n">
        <v>0.61538</v>
      </c>
      <c r="H15" s="1" t="n">
        <v>0.624642</v>
      </c>
      <c r="I15" s="1" t="n">
        <v>0.610533</v>
      </c>
      <c r="J15" s="1" t="n">
        <v>0.621079</v>
      </c>
      <c r="K15" s="1" t="n">
        <v>0.617764</v>
      </c>
      <c r="L15" s="1" t="n">
        <v>0.621423</v>
      </c>
      <c r="M15" s="1" t="n">
        <v>0.620236</v>
      </c>
      <c r="N15" s="1" t="n">
        <v>0.629659</v>
      </c>
      <c r="O15" s="1" t="n">
        <v>0.616934</v>
      </c>
      <c r="P15" s="1" t="n">
        <v>0.619445</v>
      </c>
      <c r="Q15" s="1" t="n">
        <v>0.614755</v>
      </c>
      <c r="R15" s="1" t="n">
        <v>0.624044</v>
      </c>
      <c r="S15" s="1" t="n">
        <v>0.609883</v>
      </c>
      <c r="T15" s="1" t="n">
        <v>0.612749</v>
      </c>
      <c r="U15" s="1" t="n">
        <v>0.623154</v>
      </c>
      <c r="V15" s="1" t="n">
        <v>0.622031</v>
      </c>
      <c r="W15" s="1" t="n">
        <v>0.617574</v>
      </c>
      <c r="X15" s="1" t="n">
        <v>0.624731</v>
      </c>
      <c r="Y15" s="1" t="n">
        <v>0.612619</v>
      </c>
      <c r="Z15" s="1" t="n">
        <v>0.601323</v>
      </c>
      <c r="AA15" s="1" t="n">
        <v>0.612119</v>
      </c>
      <c r="AB15" s="1" t="n">
        <v>0.617238</v>
      </c>
      <c r="AC15" s="1" t="n">
        <v>0.626137</v>
      </c>
      <c r="AD15" s="1" t="n">
        <v>0.621525</v>
      </c>
      <c r="AE15" s="1" t="n">
        <v>0.615034</v>
      </c>
      <c r="AF15" s="1" t="n">
        <v>0.620365</v>
      </c>
      <c r="AG15" s="1" t="n">
        <v>0.610557</v>
      </c>
      <c r="AH15" s="2"/>
      <c r="AI15" s="2" t="n">
        <f aca="false">(C15-$B15)*$A15</f>
        <v>-0.0339950000000004</v>
      </c>
      <c r="AJ15" s="2" t="n">
        <f aca="false">(D15-$B15)*$A15</f>
        <v>-0.0630370000000013</v>
      </c>
      <c r="AK15" s="2" t="n">
        <f aca="false">(E15-$B15)*$A15</f>
        <v>0.0949519999999997</v>
      </c>
      <c r="AL15" s="2" t="n">
        <f aca="false">(F15-$B15)*$A15</f>
        <v>-0.113035</v>
      </c>
      <c r="AM15" s="2" t="n">
        <f aca="false">(G15-$B15)*$A15</f>
        <v>-0.0543140000000002</v>
      </c>
      <c r="AN15" s="2" t="n">
        <f aca="false">(H15-$B15)*$A15</f>
        <v>0.0660919999999997</v>
      </c>
      <c r="AO15" s="2" t="n">
        <f aca="false">(I15-$B15)*$A15</f>
        <v>-0.117325000000001</v>
      </c>
      <c r="AP15" s="2" t="n">
        <f aca="false">(J15-$B15)*$A15</f>
        <v>0.0197729999999999</v>
      </c>
      <c r="AQ15" s="2" t="n">
        <f aca="false">(K15-$B15)*$A15</f>
        <v>-0.023322000000001</v>
      </c>
      <c r="AR15" s="2" t="n">
        <f aca="false">(L15-$B15)*$A15</f>
        <v>0.0242449999999986</v>
      </c>
      <c r="AS15" s="2" t="n">
        <f aca="false">(M15-$B15)*$A15</f>
        <v>0.00881399999999943</v>
      </c>
      <c r="AT15" s="2" t="n">
        <f aca="false">(N15-$B15)*$A15</f>
        <v>0.131312999999999</v>
      </c>
      <c r="AU15" s="2" t="n">
        <f aca="false">(O15-$B15)*$A15</f>
        <v>-0.0341120000000009</v>
      </c>
      <c r="AV15" s="2" t="n">
        <f aca="false">(P15-$B15)*$A15</f>
        <v>-0.00146900000000039</v>
      </c>
      <c r="AW15" s="2" t="n">
        <f aca="false">(Q15-$B15)*$A15</f>
        <v>-0.062439</v>
      </c>
      <c r="AX15" s="2" t="n">
        <f aca="false">(R15-$B15)*$A15</f>
        <v>0.0583179999999999</v>
      </c>
      <c r="AY15" s="2" t="n">
        <f aca="false">(S15-$B15)*$A15</f>
        <v>-0.125775000000001</v>
      </c>
      <c r="AZ15" s="2" t="n">
        <f aca="false">(T15-$B15)*$A15</f>
        <v>-0.0885170000000009</v>
      </c>
      <c r="BA15" s="2" t="n">
        <f aca="false">(U15-$B15)*$A15</f>
        <v>0.0467479999999991</v>
      </c>
      <c r="BB15" s="2" t="n">
        <f aca="false">(V15-$B15)*$A15</f>
        <v>0.0321489999999993</v>
      </c>
      <c r="BC15" s="2" t="n">
        <f aca="false">(W15-$B15)*$A15</f>
        <v>-0.0257920000000013</v>
      </c>
      <c r="BD15" s="2" t="n">
        <f aca="false">(X15-$B15)*$A15</f>
        <v>0.0672489999999998</v>
      </c>
      <c r="BE15" s="2" t="n">
        <f aca="false">(Y15-$B15)*$A15</f>
        <v>-0.0902070000000004</v>
      </c>
      <c r="BF15" s="2" t="n">
        <f aca="false">(Z15-$B15)*$A15</f>
        <v>-0.237055</v>
      </c>
      <c r="BG15" s="2" t="n">
        <f aca="false">(AA15-$B15)*$A15</f>
        <v>-0.0967070000000011</v>
      </c>
      <c r="BH15" s="2" t="n">
        <f aca="false">(AB15-$B15)*$A15</f>
        <v>-0.0301600000000013</v>
      </c>
      <c r="BI15" s="2" t="n">
        <f aca="false">(AC15-$B15)*$A15</f>
        <v>0.085527</v>
      </c>
      <c r="BJ15" s="2" t="n">
        <f aca="false">(AD15-$B15)*$A15</f>
        <v>0.0255709999999992</v>
      </c>
      <c r="BK15" s="2" t="n">
        <f aca="false">(AE15-$B15)*$A15</f>
        <v>-0.0588120000000011</v>
      </c>
      <c r="BL15" s="2" t="n">
        <f aca="false">(AF15-$B15)*$A15</f>
        <v>0.010491</v>
      </c>
      <c r="BM15" s="2" t="n">
        <f aca="false">(AG15-$B15)*$A15</f>
        <v>-0.117013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0.420841</v>
      </c>
      <c r="C16" s="1" t="n">
        <v>0.419075</v>
      </c>
      <c r="D16" s="1" t="n">
        <v>0.418961</v>
      </c>
      <c r="E16" s="1" t="n">
        <v>0.42614</v>
      </c>
      <c r="F16" s="1" t="n">
        <v>0.416551</v>
      </c>
      <c r="G16" s="1" t="n">
        <v>0.41629</v>
      </c>
      <c r="H16" s="1" t="n">
        <v>0.424993</v>
      </c>
      <c r="I16" s="1" t="n">
        <v>0.413505</v>
      </c>
      <c r="J16" s="1" t="n">
        <v>0.423092</v>
      </c>
      <c r="K16" s="1" t="n">
        <v>0.418013</v>
      </c>
      <c r="L16" s="1" t="n">
        <v>0.422307</v>
      </c>
      <c r="M16" s="1" t="n">
        <v>0.422026</v>
      </c>
      <c r="N16" s="1" t="n">
        <v>0.431382</v>
      </c>
      <c r="O16" s="1" t="n">
        <v>0.417431</v>
      </c>
      <c r="P16" s="1" t="n">
        <v>0.420105</v>
      </c>
      <c r="Q16" s="1" t="n">
        <v>0.416414</v>
      </c>
      <c r="R16" s="1" t="n">
        <v>0.42585</v>
      </c>
      <c r="S16" s="1" t="n">
        <v>0.413532</v>
      </c>
      <c r="T16" s="1" t="n">
        <v>0.415666</v>
      </c>
      <c r="U16" s="1" t="n">
        <v>0.422867</v>
      </c>
      <c r="V16" s="1" t="n">
        <v>0.421698</v>
      </c>
      <c r="W16" s="1" t="n">
        <v>0.419828</v>
      </c>
      <c r="X16" s="1" t="n">
        <v>0.427523</v>
      </c>
      <c r="Y16" s="1" t="n">
        <v>0.416832</v>
      </c>
      <c r="Z16" s="1" t="n">
        <v>0.409651</v>
      </c>
      <c r="AA16" s="1" t="n">
        <v>0.415049</v>
      </c>
      <c r="AB16" s="1" t="n">
        <v>0.42407</v>
      </c>
      <c r="AC16" s="1" t="n">
        <v>0.426622</v>
      </c>
      <c r="AD16" s="1" t="n">
        <v>0.425101</v>
      </c>
      <c r="AE16" s="1" t="n">
        <v>0.41935</v>
      </c>
      <c r="AF16" s="1" t="n">
        <v>0.421531</v>
      </c>
      <c r="AG16" s="1" t="n">
        <v>0.41386</v>
      </c>
      <c r="AH16" s="2"/>
      <c r="AI16" s="2" t="n">
        <f aca="false">(C16-$B16)*$A16</f>
        <v>-0.0247240000000006</v>
      </c>
      <c r="AJ16" s="2" t="n">
        <f aca="false">(D16-$B16)*$A16</f>
        <v>-0.0263200000000007</v>
      </c>
      <c r="AK16" s="2" t="n">
        <f aca="false">(E16-$B16)*$A16</f>
        <v>0.074186</v>
      </c>
      <c r="AL16" s="2" t="n">
        <f aca="false">(F16-$B16)*$A16</f>
        <v>-0.0600600000000002</v>
      </c>
      <c r="AM16" s="2" t="n">
        <f aca="false">(G16-$B16)*$A16</f>
        <v>-0.0637140000000004</v>
      </c>
      <c r="AN16" s="2" t="n">
        <f aca="false">(H16-$B16)*$A16</f>
        <v>0.0581279999999998</v>
      </c>
      <c r="AO16" s="2" t="n">
        <f aca="false">(I16-$B16)*$A16</f>
        <v>-0.102704</v>
      </c>
      <c r="AP16" s="2" t="n">
        <f aca="false">(J16-$B16)*$A16</f>
        <v>0.031514</v>
      </c>
      <c r="AQ16" s="2" t="n">
        <f aca="false">(K16-$B16)*$A16</f>
        <v>-0.039592</v>
      </c>
      <c r="AR16" s="2" t="n">
        <f aca="false">(L16-$B16)*$A16</f>
        <v>0.0205239999999995</v>
      </c>
      <c r="AS16" s="2" t="n">
        <f aca="false">(M16-$B16)*$A16</f>
        <v>0.0165899999999999</v>
      </c>
      <c r="AT16" s="2" t="n">
        <f aca="false">(N16-$B16)*$A16</f>
        <v>0.147574</v>
      </c>
      <c r="AU16" s="2" t="n">
        <f aca="false">(O16-$B16)*$A16</f>
        <v>-0.0477400000000003</v>
      </c>
      <c r="AV16" s="2" t="n">
        <f aca="false">(P16-$B16)*$A16</f>
        <v>-0.0103040000000002</v>
      </c>
      <c r="AW16" s="2" t="n">
        <f aca="false">(Q16-$B16)*$A16</f>
        <v>-0.0619780000000002</v>
      </c>
      <c r="AX16" s="2" t="n">
        <f aca="false">(R16-$B16)*$A16</f>
        <v>0.0701259999999998</v>
      </c>
      <c r="AY16" s="2" t="n">
        <f aca="false">(S16-$B16)*$A16</f>
        <v>-0.102326</v>
      </c>
      <c r="AZ16" s="2" t="n">
        <f aca="false">(T16-$B16)*$A16</f>
        <v>-0.0724500000000006</v>
      </c>
      <c r="BA16" s="2" t="n">
        <f aca="false">(U16-$B16)*$A16</f>
        <v>0.0283639999999996</v>
      </c>
      <c r="BB16" s="2" t="n">
        <f aca="false">(V16-$B16)*$A16</f>
        <v>0.011998</v>
      </c>
      <c r="BC16" s="2" t="n">
        <f aca="false">(W16-$B16)*$A16</f>
        <v>-0.0141820000000006</v>
      </c>
      <c r="BD16" s="2" t="n">
        <f aca="false">(X16-$B16)*$A16</f>
        <v>0.0935479999999995</v>
      </c>
      <c r="BE16" s="2" t="n">
        <f aca="false">(Y16-$B16)*$A16</f>
        <v>-0.0561260000000006</v>
      </c>
      <c r="BF16" s="2" t="n">
        <f aca="false">(Z16-$B16)*$A16</f>
        <v>-0.15666</v>
      </c>
      <c r="BG16" s="2" t="n">
        <f aca="false">(AA16-$B16)*$A16</f>
        <v>-0.0810880000000003</v>
      </c>
      <c r="BH16" s="2" t="n">
        <f aca="false">(AB16-$B16)*$A16</f>
        <v>0.0452059999999997</v>
      </c>
      <c r="BI16" s="2" t="n">
        <f aca="false">(AC16-$B16)*$A16</f>
        <v>0.0809339999999997</v>
      </c>
      <c r="BJ16" s="2" t="n">
        <f aca="false">(AD16-$B16)*$A16</f>
        <v>0.0596399999999998</v>
      </c>
      <c r="BK16" s="2" t="n">
        <f aca="false">(AE16-$B16)*$A16</f>
        <v>-0.0208740000000003</v>
      </c>
      <c r="BL16" s="2" t="n">
        <f aca="false">(AF16-$B16)*$A16</f>
        <v>0.00965999999999956</v>
      </c>
      <c r="BM16" s="2" t="n">
        <f aca="false">(AG16-$B16)*$A16</f>
        <v>-0.0977340000000002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0.273577</v>
      </c>
      <c r="C17" s="1" t="n">
        <v>0.273271</v>
      </c>
      <c r="D17" s="1" t="n">
        <v>0.272827</v>
      </c>
      <c r="E17" s="1" t="n">
        <v>0.278388</v>
      </c>
      <c r="F17" s="1" t="n">
        <v>0.271035</v>
      </c>
      <c r="G17" s="1" t="n">
        <v>0.270029</v>
      </c>
      <c r="H17" s="1" t="n">
        <v>0.277493</v>
      </c>
      <c r="I17" s="1" t="n">
        <v>0.267938</v>
      </c>
      <c r="J17" s="1" t="n">
        <v>0.276671</v>
      </c>
      <c r="K17" s="1" t="n">
        <v>0.272589</v>
      </c>
      <c r="L17" s="1" t="n">
        <v>0.274594</v>
      </c>
      <c r="M17" s="1" t="n">
        <v>0.276502</v>
      </c>
      <c r="N17" s="1" t="n">
        <v>0.284681</v>
      </c>
      <c r="O17" s="1" t="n">
        <v>0.269653</v>
      </c>
      <c r="P17" s="1" t="n">
        <v>0.27484</v>
      </c>
      <c r="Q17" s="1" t="n">
        <v>0.270588</v>
      </c>
      <c r="R17" s="1" t="n">
        <v>0.276581</v>
      </c>
      <c r="S17" s="1" t="n">
        <v>0.267167</v>
      </c>
      <c r="T17" s="1" t="n">
        <v>0.2704</v>
      </c>
      <c r="U17" s="1" t="n">
        <v>0.274874</v>
      </c>
      <c r="V17" s="1" t="n">
        <v>0.274151</v>
      </c>
      <c r="W17" s="1" t="n">
        <v>0.272355</v>
      </c>
      <c r="X17" s="1" t="n">
        <v>0.279378</v>
      </c>
      <c r="Y17" s="1" t="n">
        <v>0.270721</v>
      </c>
      <c r="Z17" s="1" t="n">
        <v>0.268254</v>
      </c>
      <c r="AA17" s="1" t="n">
        <v>0.269795</v>
      </c>
      <c r="AB17" s="1" t="n">
        <v>0.279703</v>
      </c>
      <c r="AC17" s="1" t="n">
        <v>0.278502</v>
      </c>
      <c r="AD17" s="1" t="n">
        <v>0.27891</v>
      </c>
      <c r="AE17" s="1" t="n">
        <v>0.272981</v>
      </c>
      <c r="AF17" s="1" t="n">
        <v>0.275091</v>
      </c>
      <c r="AG17" s="1" t="n">
        <v>0.270076</v>
      </c>
      <c r="AH17" s="2"/>
      <c r="AI17" s="2" t="n">
        <f aca="false">(C17-$B17)*$A17</f>
        <v>-0.00459000000000043</v>
      </c>
      <c r="AJ17" s="2" t="n">
        <f aca="false">(D17-$B17)*$A17</f>
        <v>-0.0112500000000004</v>
      </c>
      <c r="AK17" s="2" t="n">
        <f aca="false">(E17-$B17)*$A17</f>
        <v>0.0721650000000002</v>
      </c>
      <c r="AL17" s="2" t="n">
        <f aca="false">(F17-$B17)*$A17</f>
        <v>-0.0381299999999998</v>
      </c>
      <c r="AM17" s="2" t="n">
        <f aca="false">(G17-$B17)*$A17</f>
        <v>-0.0532199999999999</v>
      </c>
      <c r="AN17" s="2" t="n">
        <f aca="false">(H17-$B17)*$A17</f>
        <v>0.0587399999999996</v>
      </c>
      <c r="AO17" s="2" t="n">
        <f aca="false">(I17-$B17)*$A17</f>
        <v>-0.0845850000000001</v>
      </c>
      <c r="AP17" s="2" t="n">
        <f aca="false">(J17-$B17)*$A17</f>
        <v>0.0464099999999998</v>
      </c>
      <c r="AQ17" s="2" t="n">
        <f aca="false">(K17-$B17)*$A17</f>
        <v>-0.0148199999999998</v>
      </c>
      <c r="AR17" s="2" t="n">
        <f aca="false">(L17-$B17)*$A17</f>
        <v>0.0152549999999999</v>
      </c>
      <c r="AS17" s="2" t="n">
        <f aca="false">(M17-$B17)*$A17</f>
        <v>0.0438750000000002</v>
      </c>
      <c r="AT17" s="2" t="n">
        <f aca="false">(N17-$B17)*$A17</f>
        <v>0.16656</v>
      </c>
      <c r="AU17" s="2" t="n">
        <f aca="false">(O17-$B17)*$A17</f>
        <v>-0.0588600000000006</v>
      </c>
      <c r="AV17" s="2" t="n">
        <f aca="false">(P17-$B17)*$A17</f>
        <v>0.0189449999999994</v>
      </c>
      <c r="AW17" s="2" t="n">
        <f aca="false">(Q17-$B17)*$A17</f>
        <v>-0.0448350000000003</v>
      </c>
      <c r="AX17" s="2" t="n">
        <f aca="false">(R17-$B17)*$A17</f>
        <v>0.0450600000000001</v>
      </c>
      <c r="AY17" s="2" t="n">
        <f aca="false">(S17-$B17)*$A17</f>
        <v>-0.0961500000000004</v>
      </c>
      <c r="AZ17" s="2" t="n">
        <f aca="false">(T17-$B17)*$A17</f>
        <v>-0.0476550000000006</v>
      </c>
      <c r="BA17" s="2" t="n">
        <f aca="false">(U17-$B17)*$A17</f>
        <v>0.0194549999999999</v>
      </c>
      <c r="BB17" s="2" t="n">
        <f aca="false">(V17-$B17)*$A17</f>
        <v>0.00860999999999945</v>
      </c>
      <c r="BC17" s="2" t="n">
        <f aca="false">(W17-$B17)*$A17</f>
        <v>-0.01833</v>
      </c>
      <c r="BD17" s="2" t="n">
        <f aca="false">(X17-$B17)*$A17</f>
        <v>0.087015</v>
      </c>
      <c r="BE17" s="2" t="n">
        <f aca="false">(Y17-$B17)*$A17</f>
        <v>-0.0428400000000004</v>
      </c>
      <c r="BF17" s="2" t="n">
        <f aca="false">(Z17-$B17)*$A17</f>
        <v>-0.0798450000000003</v>
      </c>
      <c r="BG17" s="2" t="n">
        <f aca="false">(AA17-$B17)*$A17</f>
        <v>-0.0567300000000001</v>
      </c>
      <c r="BH17" s="2" t="n">
        <f aca="false">(AB17-$B17)*$A17</f>
        <v>0.0918899999999995</v>
      </c>
      <c r="BI17" s="2" t="n">
        <f aca="false">(AC17-$B17)*$A17</f>
        <v>0.0738750000000002</v>
      </c>
      <c r="BJ17" s="2" t="n">
        <f aca="false">(AD17-$B17)*$A17</f>
        <v>0.0799949999999997</v>
      </c>
      <c r="BK17" s="2" t="n">
        <f aca="false">(AE17-$B17)*$A17</f>
        <v>-0.00894000000000061</v>
      </c>
      <c r="BL17" s="2" t="n">
        <f aca="false">(AF17-$B17)*$A17</f>
        <v>0.0227099999999994</v>
      </c>
      <c r="BM17" s="2" t="n">
        <f aca="false">(AG17-$B17)*$A17</f>
        <v>-0.0525150000000005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0.172269</v>
      </c>
      <c r="C18" s="1" t="n">
        <v>0.173523</v>
      </c>
      <c r="D18" s="1" t="n">
        <v>0.173271</v>
      </c>
      <c r="E18" s="1" t="n">
        <v>0.17675</v>
      </c>
      <c r="F18" s="1" t="n">
        <v>0.173001</v>
      </c>
      <c r="G18" s="1" t="n">
        <v>0.170066</v>
      </c>
      <c r="H18" s="1" t="n">
        <v>0.176271</v>
      </c>
      <c r="I18" s="1" t="n">
        <v>0.168963</v>
      </c>
      <c r="J18" s="1" t="n">
        <v>0.175638</v>
      </c>
      <c r="K18" s="1" t="n">
        <v>0.173344</v>
      </c>
      <c r="L18" s="1" t="n">
        <v>0.174877</v>
      </c>
      <c r="M18" s="1" t="n">
        <v>0.177081</v>
      </c>
      <c r="N18" s="1" t="n">
        <v>0.184154</v>
      </c>
      <c r="O18" s="1" t="n">
        <v>0.168815</v>
      </c>
      <c r="P18" s="1" t="n">
        <v>0.174251</v>
      </c>
      <c r="Q18" s="1" t="n">
        <v>0.170674</v>
      </c>
      <c r="R18" s="1" t="n">
        <v>0.176328</v>
      </c>
      <c r="S18" s="1" t="n">
        <v>0.167307</v>
      </c>
      <c r="T18" s="1" t="n">
        <v>0.170409</v>
      </c>
      <c r="U18" s="1" t="n">
        <v>0.173816</v>
      </c>
      <c r="V18" s="1" t="n">
        <v>0.173073</v>
      </c>
      <c r="W18" s="1" t="n">
        <v>0.172093</v>
      </c>
      <c r="X18" s="1" t="n">
        <v>0.178811</v>
      </c>
      <c r="Y18" s="1" t="n">
        <v>0.171819</v>
      </c>
      <c r="Z18" s="1" t="n">
        <v>0.170482</v>
      </c>
      <c r="AA18" s="1" t="n">
        <v>0.171116</v>
      </c>
      <c r="AB18" s="1" t="n">
        <v>0.178781</v>
      </c>
      <c r="AC18" s="1" t="n">
        <v>0.176013</v>
      </c>
      <c r="AD18" s="1" t="n">
        <v>0.178751</v>
      </c>
      <c r="AE18" s="1" t="n">
        <v>0.172423</v>
      </c>
      <c r="AF18" s="1" t="n">
        <v>0.17346</v>
      </c>
      <c r="AG18" s="1" t="n">
        <v>0.171037</v>
      </c>
      <c r="AH18" s="2"/>
      <c r="AI18" s="2" t="n">
        <f aca="false">(C18-$B18)*$A18</f>
        <v>0.0200640000000001</v>
      </c>
      <c r="AJ18" s="2" t="n">
        <f aca="false">(D18-$B18)*$A18</f>
        <v>0.016032</v>
      </c>
      <c r="AK18" s="2" t="n">
        <f aca="false">(E18-$B18)*$A18</f>
        <v>0.0716959999999998</v>
      </c>
      <c r="AL18" s="2" t="n">
        <f aca="false">(F18-$B18)*$A18</f>
        <v>0.0117119999999997</v>
      </c>
      <c r="AM18" s="2" t="n">
        <f aca="false">(G18-$B18)*$A18</f>
        <v>-0.0352480000000002</v>
      </c>
      <c r="AN18" s="2" t="n">
        <f aca="false">(H18-$B18)*$A18</f>
        <v>0.0640320000000001</v>
      </c>
      <c r="AO18" s="2" t="n">
        <f aca="false">(I18-$B18)*$A18</f>
        <v>-0.0528960000000001</v>
      </c>
      <c r="AP18" s="2" t="n">
        <f aca="false">(J18-$B18)*$A18</f>
        <v>0.0539039999999997</v>
      </c>
      <c r="AQ18" s="2" t="n">
        <f aca="false">(K18-$B18)*$A18</f>
        <v>0.0171999999999999</v>
      </c>
      <c r="AR18" s="2" t="n">
        <f aca="false">(L18-$B18)*$A18</f>
        <v>0.041728</v>
      </c>
      <c r="AS18" s="2" t="n">
        <f aca="false">(M18-$B18)*$A18</f>
        <v>0.0769919999999997</v>
      </c>
      <c r="AT18" s="2" t="n">
        <f aca="false">(N18-$B18)*$A18</f>
        <v>0.19016</v>
      </c>
      <c r="AU18" s="2" t="n">
        <f aca="false">(O18-$B18)*$A18</f>
        <v>-0.0552640000000002</v>
      </c>
      <c r="AV18" s="2" t="n">
        <f aca="false">(P18-$B18)*$A18</f>
        <v>0.0317119999999997</v>
      </c>
      <c r="AW18" s="2" t="n">
        <f aca="false">(Q18-$B18)*$A18</f>
        <v>-0.0255200000000002</v>
      </c>
      <c r="AX18" s="2" t="n">
        <f aca="false">(R18-$B18)*$A18</f>
        <v>0.0649440000000001</v>
      </c>
      <c r="AY18" s="2" t="n">
        <f aca="false">(S18-$B18)*$A18</f>
        <v>-0.0793919999999999</v>
      </c>
      <c r="AZ18" s="2" t="n">
        <f aca="false">(T18-$B18)*$A18</f>
        <v>-0.02976</v>
      </c>
      <c r="BA18" s="2" t="n">
        <f aca="false">(U18-$B18)*$A18</f>
        <v>0.0247519999999999</v>
      </c>
      <c r="BB18" s="2" t="n">
        <f aca="false">(V18-$B18)*$A18</f>
        <v>0.012864</v>
      </c>
      <c r="BC18" s="2" t="n">
        <f aca="false">(W18-$B18)*$A18</f>
        <v>-0.00281600000000015</v>
      </c>
      <c r="BD18" s="2" t="n">
        <f aca="false">(X18-$B18)*$A18</f>
        <v>0.104672</v>
      </c>
      <c r="BE18" s="2" t="n">
        <f aca="false">(Y18-$B18)*$A18</f>
        <v>-0.0072000000000001</v>
      </c>
      <c r="BF18" s="2" t="n">
        <f aca="false">(Z18-$B18)*$A18</f>
        <v>-0.0285920000000002</v>
      </c>
      <c r="BG18" s="2" t="n">
        <f aca="false">(AA18-$B18)*$A18</f>
        <v>-0.0184480000000002</v>
      </c>
      <c r="BH18" s="2" t="n">
        <f aca="false">(AB18-$B18)*$A18</f>
        <v>0.104192</v>
      </c>
      <c r="BI18" s="2" t="n">
        <f aca="false">(AC18-$B18)*$A18</f>
        <v>0.059904</v>
      </c>
      <c r="BJ18" s="2" t="n">
        <f aca="false">(AD18-$B18)*$A18</f>
        <v>0.103712</v>
      </c>
      <c r="BK18" s="2" t="n">
        <f aca="false">(AE18-$B18)*$A18</f>
        <v>0.0024639999999998</v>
      </c>
      <c r="BL18" s="2" t="n">
        <f aca="false">(AF18-$B18)*$A18</f>
        <v>0.019056</v>
      </c>
      <c r="BM18" s="2" t="n">
        <f aca="false">(AG18-$B18)*$A18</f>
        <v>-0.0197120000000002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0.105007</v>
      </c>
      <c r="C19" s="1" t="n">
        <v>0.106305</v>
      </c>
      <c r="D19" s="1" t="n">
        <v>0.106393</v>
      </c>
      <c r="E19" s="1" t="n">
        <v>0.107937</v>
      </c>
      <c r="F19" s="1" t="n">
        <v>0.105329</v>
      </c>
      <c r="G19" s="1" t="n">
        <v>0.102972</v>
      </c>
      <c r="H19" s="1" t="n">
        <v>0.107595</v>
      </c>
      <c r="I19" s="1" t="n">
        <v>0.103422</v>
      </c>
      <c r="J19" s="1" t="n">
        <v>0.108345</v>
      </c>
      <c r="K19" s="1" t="n">
        <v>0.106376</v>
      </c>
      <c r="L19" s="1" t="n">
        <v>0.106688</v>
      </c>
      <c r="M19" s="1" t="n">
        <v>0.110117</v>
      </c>
      <c r="N19" s="1" t="n">
        <v>0.115748</v>
      </c>
      <c r="O19" s="1" t="n">
        <v>0.101797</v>
      </c>
      <c r="P19" s="1" t="n">
        <v>0.106533</v>
      </c>
      <c r="Q19" s="1" t="n">
        <v>0.103674</v>
      </c>
      <c r="R19" s="1" t="n">
        <v>0.107705</v>
      </c>
      <c r="S19" s="1" t="n">
        <v>0.100776</v>
      </c>
      <c r="T19" s="1" t="n">
        <v>0.104165</v>
      </c>
      <c r="U19" s="1" t="n">
        <v>0.105846</v>
      </c>
      <c r="V19" s="1" t="n">
        <v>0.105209</v>
      </c>
      <c r="W19" s="1" t="n">
        <v>0.10427</v>
      </c>
      <c r="X19" s="1" t="n">
        <v>0.110783</v>
      </c>
      <c r="Y19" s="1" t="n">
        <v>0.105297</v>
      </c>
      <c r="Z19" s="1" t="n">
        <v>0.104159</v>
      </c>
      <c r="AA19" s="1" t="n">
        <v>0.104645</v>
      </c>
      <c r="AB19" s="1" t="n">
        <v>0.111226</v>
      </c>
      <c r="AC19" s="1" t="n">
        <v>0.107371</v>
      </c>
      <c r="AD19" s="1" t="n">
        <v>0.110693</v>
      </c>
      <c r="AE19" s="1" t="n">
        <v>0.104913</v>
      </c>
      <c r="AF19" s="1" t="n">
        <v>0.105673</v>
      </c>
      <c r="AG19" s="1" t="n">
        <v>0.104047</v>
      </c>
      <c r="AH19" s="2"/>
      <c r="AI19" s="2" t="n">
        <f aca="false">(C19-$B19)*$A19</f>
        <v>0.0220659999999999</v>
      </c>
      <c r="AJ19" s="2" t="n">
        <f aca="false">(D19-$B19)*$A19</f>
        <v>0.023562</v>
      </c>
      <c r="AK19" s="2" t="n">
        <f aca="false">(E19-$B19)*$A19</f>
        <v>0.04981</v>
      </c>
      <c r="AL19" s="2" t="n">
        <f aca="false">(F19-$B19)*$A19</f>
        <v>0.00547400000000005</v>
      </c>
      <c r="AM19" s="2" t="n">
        <f aca="false">(G19-$B19)*$A19</f>
        <v>-0.0345950000000002</v>
      </c>
      <c r="AN19" s="2" t="n">
        <f aca="false">(H19-$B19)*$A19</f>
        <v>0.0439959999999999</v>
      </c>
      <c r="AO19" s="2" t="n">
        <f aca="false">(I19-$B19)*$A19</f>
        <v>-0.0269450000000001</v>
      </c>
      <c r="AP19" s="2" t="n">
        <f aca="false">(J19-$B19)*$A19</f>
        <v>0.0567459999999999</v>
      </c>
      <c r="AQ19" s="2" t="n">
        <f aca="false">(K19-$B19)*$A19</f>
        <v>0.0232729999999999</v>
      </c>
      <c r="AR19" s="2" t="n">
        <f aca="false">(L19-$B19)*$A19</f>
        <v>0.028577</v>
      </c>
      <c r="AS19" s="2" t="n">
        <f aca="false">(M19-$B19)*$A19</f>
        <v>0.0868700000000001</v>
      </c>
      <c r="AT19" s="2" t="n">
        <f aca="false">(N19-$B19)*$A19</f>
        <v>0.182597</v>
      </c>
      <c r="AU19" s="2" t="n">
        <f aca="false">(O19-$B19)*$A19</f>
        <v>-0.0545700000000001</v>
      </c>
      <c r="AV19" s="2" t="n">
        <f aca="false">(P19-$B19)*$A19</f>
        <v>0.025942</v>
      </c>
      <c r="AW19" s="2" t="n">
        <f aca="false">(Q19-$B19)*$A19</f>
        <v>-0.022661</v>
      </c>
      <c r="AX19" s="2" t="n">
        <f aca="false">(R19-$B19)*$A19</f>
        <v>0.0458659999999999</v>
      </c>
      <c r="AY19" s="2" t="n">
        <f aca="false">(S19-$B19)*$A19</f>
        <v>-0.071927</v>
      </c>
      <c r="AZ19" s="2" t="n">
        <f aca="false">(T19-$B19)*$A19</f>
        <v>-0.0143140000000002</v>
      </c>
      <c r="BA19" s="2" t="n">
        <f aca="false">(U19-$B19)*$A19</f>
        <v>0.0142629999999999</v>
      </c>
      <c r="BB19" s="2" t="n">
        <f aca="false">(V19-$B19)*$A19</f>
        <v>0.0034339999999999</v>
      </c>
      <c r="BC19" s="2" t="n">
        <f aca="false">(W19-$B19)*$A19</f>
        <v>-0.012529</v>
      </c>
      <c r="BD19" s="2" t="n">
        <f aca="false">(X19-$B19)*$A19</f>
        <v>0.0981920000000001</v>
      </c>
      <c r="BE19" s="2" t="n">
        <f aca="false">(Y19-$B19)*$A19</f>
        <v>0.00492999999999998</v>
      </c>
      <c r="BF19" s="2" t="n">
        <f aca="false">(Z19-$B19)*$A19</f>
        <v>-0.014416</v>
      </c>
      <c r="BG19" s="2" t="n">
        <f aca="false">(AA19-$B19)*$A19</f>
        <v>-0.00615400000000002</v>
      </c>
      <c r="BH19" s="2" t="n">
        <f aca="false">(AB19-$B19)*$A19</f>
        <v>0.105723</v>
      </c>
      <c r="BI19" s="2" t="n">
        <f aca="false">(AC19-$B19)*$A19</f>
        <v>0.0401879999999999</v>
      </c>
      <c r="BJ19" s="2" t="n">
        <f aca="false">(AD19-$B19)*$A19</f>
        <v>0.0966619999999999</v>
      </c>
      <c r="BK19" s="2" t="n">
        <f aca="false">(AE19-$B19)*$A19</f>
        <v>-0.00159799999999995</v>
      </c>
      <c r="BL19" s="2" t="n">
        <f aca="false">(AF19-$B19)*$A19</f>
        <v>0.011322</v>
      </c>
      <c r="BM19" s="2" t="n">
        <f aca="false">(AG19-$B19)*$A19</f>
        <v>-0.01632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0.0632108</v>
      </c>
      <c r="C20" s="1" t="n">
        <v>0.0641695</v>
      </c>
      <c r="D20" s="1" t="n">
        <v>0.0648853</v>
      </c>
      <c r="E20" s="1" t="n">
        <v>0.0659968</v>
      </c>
      <c r="F20" s="1" t="n">
        <v>0.0635265</v>
      </c>
      <c r="G20" s="1" t="n">
        <v>0.0620151</v>
      </c>
      <c r="H20" s="1" t="n">
        <v>0.0651697</v>
      </c>
      <c r="I20" s="1" t="n">
        <v>0.0625819</v>
      </c>
      <c r="J20" s="1" t="n">
        <v>0.0661977</v>
      </c>
      <c r="K20" s="1" t="n">
        <v>0.0654191</v>
      </c>
      <c r="L20" s="1" t="n">
        <v>0.0653591</v>
      </c>
      <c r="M20" s="1" t="n">
        <v>0.0679248</v>
      </c>
      <c r="N20" s="1" t="n">
        <v>0.0721792</v>
      </c>
      <c r="O20" s="1" t="n">
        <v>0.0605403</v>
      </c>
      <c r="P20" s="1" t="n">
        <v>0.065191</v>
      </c>
      <c r="Q20" s="1" t="n">
        <v>0.062291</v>
      </c>
      <c r="R20" s="1" t="n">
        <v>0.065406</v>
      </c>
      <c r="S20" s="1" t="n">
        <v>0.0599879</v>
      </c>
      <c r="T20" s="1" t="n">
        <v>0.0625415</v>
      </c>
      <c r="U20" s="1" t="n">
        <v>0.0638428</v>
      </c>
      <c r="V20" s="1" t="n">
        <v>0.0637278</v>
      </c>
      <c r="W20" s="1" t="n">
        <v>0.0626471</v>
      </c>
      <c r="X20" s="1" t="n">
        <v>0.0682376</v>
      </c>
      <c r="Y20" s="1" t="n">
        <v>0.064093</v>
      </c>
      <c r="Z20" s="1" t="n">
        <v>0.0631707</v>
      </c>
      <c r="AA20" s="1" t="n">
        <v>0.0640346</v>
      </c>
      <c r="AB20" s="1" t="n">
        <v>0.0684162</v>
      </c>
      <c r="AC20" s="1" t="n">
        <v>0.064622</v>
      </c>
      <c r="AD20" s="1" t="n">
        <v>0.0684382</v>
      </c>
      <c r="AE20" s="1" t="n">
        <v>0.0637093</v>
      </c>
      <c r="AF20" s="1" t="n">
        <v>0.0637729</v>
      </c>
      <c r="AG20" s="1" t="n">
        <v>0.0630703</v>
      </c>
      <c r="AH20" s="2"/>
      <c r="AI20" s="2" t="n">
        <f aca="false">(C20-$B20)*$A20</f>
        <v>0.0172566000000001</v>
      </c>
      <c r="AJ20" s="2" t="n">
        <f aca="false">(D20-$B20)*$A20</f>
        <v>0.0301410000000002</v>
      </c>
      <c r="AK20" s="2" t="n">
        <f aca="false">(E20-$B20)*$A20</f>
        <v>0.0501479999999999</v>
      </c>
      <c r="AL20" s="2" t="n">
        <f aca="false">(F20-$B20)*$A20</f>
        <v>0.00568260000000004</v>
      </c>
      <c r="AM20" s="2" t="n">
        <f aca="false">(G20-$B20)*$A20</f>
        <v>-0.0215226</v>
      </c>
      <c r="AN20" s="2" t="n">
        <f aca="false">(H20-$B20)*$A20</f>
        <v>0.0352602</v>
      </c>
      <c r="AO20" s="2" t="n">
        <f aca="false">(I20-$B20)*$A20</f>
        <v>-0.0113202</v>
      </c>
      <c r="AP20" s="2" t="n">
        <f aca="false">(J20-$B20)*$A20</f>
        <v>0.0537642</v>
      </c>
      <c r="AQ20" s="2" t="n">
        <f aca="false">(K20-$B20)*$A20</f>
        <v>0.0397493999999999</v>
      </c>
      <c r="AR20" s="2" t="n">
        <f aca="false">(L20-$B20)*$A20</f>
        <v>0.0386694000000001</v>
      </c>
      <c r="AS20" s="2" t="n">
        <f aca="false">(M20-$B20)*$A20</f>
        <v>0.0848519999999999</v>
      </c>
      <c r="AT20" s="2" t="n">
        <f aca="false">(N20-$B20)*$A20</f>
        <v>0.1614312</v>
      </c>
      <c r="AU20" s="2" t="n">
        <f aca="false">(O20-$B20)*$A20</f>
        <v>-0.048069</v>
      </c>
      <c r="AV20" s="2" t="n">
        <f aca="false">(P20-$B20)*$A20</f>
        <v>0.0356436</v>
      </c>
      <c r="AW20" s="2" t="n">
        <f aca="false">(Q20-$B20)*$A20</f>
        <v>-0.0165564</v>
      </c>
      <c r="AX20" s="2" t="n">
        <f aca="false">(R20-$B20)*$A20</f>
        <v>0.0395136000000002</v>
      </c>
      <c r="AY20" s="2" t="n">
        <f aca="false">(S20-$B20)*$A20</f>
        <v>-0.0580122</v>
      </c>
      <c r="AZ20" s="2" t="n">
        <f aca="false">(T20-$B20)*$A20</f>
        <v>-0.0120474</v>
      </c>
      <c r="BA20" s="2" t="n">
        <f aca="false">(U20-$B20)*$A20</f>
        <v>0.0113760000000001</v>
      </c>
      <c r="BB20" s="2" t="n">
        <f aca="false">(V20-$B20)*$A20</f>
        <v>0.00930600000000006</v>
      </c>
      <c r="BC20" s="2" t="n">
        <f aca="false">(W20-$B20)*$A20</f>
        <v>-0.0101466</v>
      </c>
      <c r="BD20" s="2" t="n">
        <f aca="false">(X20-$B20)*$A20</f>
        <v>0.0904824</v>
      </c>
      <c r="BE20" s="2" t="n">
        <f aca="false">(Y20-$B20)*$A20</f>
        <v>0.0158796</v>
      </c>
      <c r="BF20" s="2" t="n">
        <f aca="false">(Z20-$B20)*$A20</f>
        <v>-0.000721800000000022</v>
      </c>
      <c r="BG20" s="2" t="n">
        <f aca="false">(AA20-$B20)*$A20</f>
        <v>0.0148284</v>
      </c>
      <c r="BH20" s="2" t="n">
        <f aca="false">(AB20-$B20)*$A20</f>
        <v>0.0936972</v>
      </c>
      <c r="BI20" s="2" t="n">
        <f aca="false">(AC20-$B20)*$A20</f>
        <v>0.0254016</v>
      </c>
      <c r="BJ20" s="2" t="n">
        <f aca="false">(AD20-$B20)*$A20</f>
        <v>0.0940932000000001</v>
      </c>
      <c r="BK20" s="2" t="n">
        <f aca="false">(AE20-$B20)*$A20</f>
        <v>0.00897299999999998</v>
      </c>
      <c r="BL20" s="2" t="n">
        <f aca="false">(AF20-$B20)*$A20</f>
        <v>0.0101177999999999</v>
      </c>
      <c r="BM20" s="2" t="n">
        <f aca="false">(AG20-$B20)*$A20</f>
        <v>-0.00252900000000003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0.0371975</v>
      </c>
      <c r="C21" s="1" t="n">
        <v>0.0380953</v>
      </c>
      <c r="D21" s="1" t="n">
        <v>0.0389183</v>
      </c>
      <c r="E21" s="1" t="n">
        <v>0.039812</v>
      </c>
      <c r="F21" s="1" t="n">
        <v>0.0379116</v>
      </c>
      <c r="G21" s="1" t="n">
        <v>0.0365627</v>
      </c>
      <c r="H21" s="1" t="n">
        <v>0.0388172</v>
      </c>
      <c r="I21" s="1" t="n">
        <v>0.0372485</v>
      </c>
      <c r="J21" s="1" t="n">
        <v>0.039593</v>
      </c>
      <c r="K21" s="1" t="n">
        <v>0.0392477</v>
      </c>
      <c r="L21" s="1" t="n">
        <v>0.0390825</v>
      </c>
      <c r="M21" s="1" t="n">
        <v>0.0416014</v>
      </c>
      <c r="N21" s="1" t="n">
        <v>0.0446545</v>
      </c>
      <c r="O21" s="1" t="n">
        <v>0.0353133</v>
      </c>
      <c r="P21" s="1" t="n">
        <v>0.0393402</v>
      </c>
      <c r="Q21" s="1" t="n">
        <v>0.0364057</v>
      </c>
      <c r="R21" s="1" t="n">
        <v>0.0390058</v>
      </c>
      <c r="S21" s="1" t="n">
        <v>0.0352569</v>
      </c>
      <c r="T21" s="1" t="n">
        <v>0.0365567</v>
      </c>
      <c r="U21" s="1" t="n">
        <v>0.0378995</v>
      </c>
      <c r="V21" s="1" t="n">
        <v>0.0376872</v>
      </c>
      <c r="W21" s="1" t="n">
        <v>0.0363911</v>
      </c>
      <c r="X21" s="1" t="n">
        <v>0.0412782</v>
      </c>
      <c r="Y21" s="1" t="n">
        <v>0.0381559</v>
      </c>
      <c r="Z21" s="1" t="n">
        <v>0.0378391</v>
      </c>
      <c r="AA21" s="1" t="n">
        <v>0.0382677</v>
      </c>
      <c r="AB21" s="1" t="n">
        <v>0.0416167</v>
      </c>
      <c r="AC21" s="1" t="n">
        <v>0.0381401</v>
      </c>
      <c r="AD21" s="1" t="n">
        <v>0.041841</v>
      </c>
      <c r="AE21" s="1" t="n">
        <v>0.0378562</v>
      </c>
      <c r="AF21" s="1" t="n">
        <v>0.0374398</v>
      </c>
      <c r="AG21" s="1" t="n">
        <v>0.0377567</v>
      </c>
      <c r="AH21" s="2"/>
      <c r="AI21" s="2" t="n">
        <f aca="false">(C21-$B21)*$A21</f>
        <v>0.0170581999999999</v>
      </c>
      <c r="AJ21" s="2" t="n">
        <f aca="false">(D21-$B21)*$A21</f>
        <v>0.0326952</v>
      </c>
      <c r="AK21" s="2" t="n">
        <f aca="false">(E21-$B21)*$A21</f>
        <v>0.0496755</v>
      </c>
      <c r="AL21" s="2" t="n">
        <f aca="false">(F21-$B21)*$A21</f>
        <v>0.0135678999999999</v>
      </c>
      <c r="AM21" s="2" t="n">
        <f aca="false">(G21-$B21)*$A21</f>
        <v>-0.0120612000000001</v>
      </c>
      <c r="AN21" s="2" t="n">
        <f aca="false">(H21-$B21)*$A21</f>
        <v>0.0307743</v>
      </c>
      <c r="AO21" s="2" t="n">
        <f aca="false">(I21-$B21)*$A21</f>
        <v>0.000968999999999914</v>
      </c>
      <c r="AP21" s="2" t="n">
        <f aca="false">(J21-$B21)*$A21</f>
        <v>0.0455145</v>
      </c>
      <c r="AQ21" s="2" t="n">
        <f aca="false">(K21-$B21)*$A21</f>
        <v>0.0389538</v>
      </c>
      <c r="AR21" s="2" t="n">
        <f aca="false">(L21-$B21)*$A21</f>
        <v>0.035815</v>
      </c>
      <c r="AS21" s="2" t="n">
        <f aca="false">(M21-$B21)*$A21</f>
        <v>0.0836740999999999</v>
      </c>
      <c r="AT21" s="2" t="n">
        <f aca="false">(N21-$B21)*$A21</f>
        <v>0.141683</v>
      </c>
      <c r="AU21" s="2" t="n">
        <f aca="false">(O21-$B21)*$A21</f>
        <v>-0.0357998000000001</v>
      </c>
      <c r="AV21" s="2" t="n">
        <f aca="false">(P21-$B21)*$A21</f>
        <v>0.0407113</v>
      </c>
      <c r="AW21" s="2" t="n">
        <f aca="false">(Q21-$B21)*$A21</f>
        <v>-0.0150442</v>
      </c>
      <c r="AX21" s="2" t="n">
        <f aca="false">(R21-$B21)*$A21</f>
        <v>0.0343577</v>
      </c>
      <c r="AY21" s="2" t="n">
        <f aca="false">(S21-$B21)*$A21</f>
        <v>-0.0368714</v>
      </c>
      <c r="AZ21" s="2" t="n">
        <f aca="false">(T21-$B21)*$A21</f>
        <v>-0.0121752000000001</v>
      </c>
      <c r="BA21" s="2" t="n">
        <f aca="false">(U21-$B21)*$A21</f>
        <v>0.013338</v>
      </c>
      <c r="BB21" s="2" t="n">
        <f aca="false">(V21-$B21)*$A21</f>
        <v>0.00930429999999992</v>
      </c>
      <c r="BC21" s="2" t="n">
        <f aca="false">(W21-$B21)*$A21</f>
        <v>-0.0153216</v>
      </c>
      <c r="BD21" s="2" t="n">
        <f aca="false">(X21-$B21)*$A21</f>
        <v>0.0775333</v>
      </c>
      <c r="BE21" s="2" t="n">
        <f aca="false">(Y21-$B21)*$A21</f>
        <v>0.0182096</v>
      </c>
      <c r="BF21" s="2" t="n">
        <f aca="false">(Z21-$B21)*$A21</f>
        <v>0.0121904</v>
      </c>
      <c r="BG21" s="2" t="n">
        <f aca="false">(AA21-$B21)*$A21</f>
        <v>0.0203338</v>
      </c>
      <c r="BH21" s="2" t="n">
        <f aca="false">(AB21-$B21)*$A21</f>
        <v>0.0839648</v>
      </c>
      <c r="BI21" s="2" t="n">
        <f aca="false">(AC21-$B21)*$A21</f>
        <v>0.0179094</v>
      </c>
      <c r="BJ21" s="2" t="n">
        <f aca="false">(AD21-$B21)*$A21</f>
        <v>0.0882265</v>
      </c>
      <c r="BK21" s="2" t="n">
        <f aca="false">(AE21-$B21)*$A21</f>
        <v>0.0125153</v>
      </c>
      <c r="BL21" s="2" t="n">
        <f aca="false">(AF21-$B21)*$A21</f>
        <v>0.00460370000000002</v>
      </c>
      <c r="BM21" s="2" t="n">
        <f aca="false">(AG21-$B21)*$A21</f>
        <v>0.0106247999999999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0.0215492</v>
      </c>
      <c r="C22" s="1" t="n">
        <v>0.0221311</v>
      </c>
      <c r="D22" s="1" t="n">
        <v>0.0234215</v>
      </c>
      <c r="E22" s="1" t="n">
        <v>0.0238404</v>
      </c>
      <c r="F22" s="1" t="n">
        <v>0.0220909</v>
      </c>
      <c r="G22" s="1" t="n">
        <v>0.021049</v>
      </c>
      <c r="H22" s="1" t="n">
        <v>0.0225508</v>
      </c>
      <c r="I22" s="1" t="n">
        <v>0.0223112</v>
      </c>
      <c r="J22" s="1" t="n">
        <v>0.0234593</v>
      </c>
      <c r="K22" s="1" t="n">
        <v>0.0235383</v>
      </c>
      <c r="L22" s="1" t="n">
        <v>0.0232196</v>
      </c>
      <c r="M22" s="1" t="n">
        <v>0.0256593</v>
      </c>
      <c r="N22" s="1" t="n">
        <v>0.0274262</v>
      </c>
      <c r="O22" s="1" t="n">
        <v>0.0201827</v>
      </c>
      <c r="P22" s="1" t="n">
        <v>0.0232032</v>
      </c>
      <c r="Q22" s="1" t="n">
        <v>0.0209808</v>
      </c>
      <c r="R22" s="1" t="n">
        <v>0.0232747</v>
      </c>
      <c r="S22" s="1" t="n">
        <v>0.0204833</v>
      </c>
      <c r="T22" s="1" t="n">
        <v>0.0212707</v>
      </c>
      <c r="U22" s="1" t="n">
        <v>0.0219124</v>
      </c>
      <c r="V22" s="1" t="n">
        <v>0.0221526</v>
      </c>
      <c r="W22" s="1" t="n">
        <v>0.0208325</v>
      </c>
      <c r="X22" s="1" t="n">
        <v>0.0245681</v>
      </c>
      <c r="Y22" s="1" t="n">
        <v>0.0226993</v>
      </c>
      <c r="Z22" s="1" t="n">
        <v>0.0226772</v>
      </c>
      <c r="AA22" s="1" t="n">
        <v>0.022789</v>
      </c>
      <c r="AB22" s="1" t="n">
        <v>0.025051</v>
      </c>
      <c r="AC22" s="1" t="n">
        <v>0.022048</v>
      </c>
      <c r="AD22" s="1" t="n">
        <v>0.0255418</v>
      </c>
      <c r="AE22" s="1" t="n">
        <v>0.0226</v>
      </c>
      <c r="AF22" s="1" t="n">
        <v>0.0216735</v>
      </c>
      <c r="AG22" s="1" t="n">
        <v>0.0223675</v>
      </c>
      <c r="AH22" s="2"/>
      <c r="AI22" s="2" t="n">
        <f aca="false">(C22-$B22)*$A22</f>
        <v>0.011638</v>
      </c>
      <c r="AJ22" s="2" t="n">
        <f aca="false">(D22-$B22)*$A22</f>
        <v>0.037446</v>
      </c>
      <c r="AK22" s="2" t="n">
        <f aca="false">(E22-$B22)*$A22</f>
        <v>0.045824</v>
      </c>
      <c r="AL22" s="2" t="n">
        <f aca="false">(F22-$B22)*$A22</f>
        <v>0.010834</v>
      </c>
      <c r="AM22" s="2" t="n">
        <f aca="false">(G22-$B22)*$A22</f>
        <v>-0.0100040000000001</v>
      </c>
      <c r="AN22" s="2" t="n">
        <f aca="false">(H22-$B22)*$A22</f>
        <v>0.020032</v>
      </c>
      <c r="AO22" s="2" t="n">
        <f aca="false">(I22-$B22)*$A22</f>
        <v>0.01524</v>
      </c>
      <c r="AP22" s="2" t="n">
        <f aca="false">(J22-$B22)*$A22</f>
        <v>0.038202</v>
      </c>
      <c r="AQ22" s="2" t="n">
        <f aca="false">(K22-$B22)*$A22</f>
        <v>0.039782</v>
      </c>
      <c r="AR22" s="2" t="n">
        <f aca="false">(L22-$B22)*$A22</f>
        <v>0.033408</v>
      </c>
      <c r="AS22" s="2" t="n">
        <f aca="false">(M22-$B22)*$A22</f>
        <v>0.082202</v>
      </c>
      <c r="AT22" s="2" t="n">
        <f aca="false">(N22-$B22)*$A22</f>
        <v>0.11754</v>
      </c>
      <c r="AU22" s="2" t="n">
        <f aca="false">(O22-$B22)*$A22</f>
        <v>-0.02733</v>
      </c>
      <c r="AV22" s="2" t="n">
        <f aca="false">(P22-$B22)*$A22</f>
        <v>0.03308</v>
      </c>
      <c r="AW22" s="2" t="n">
        <f aca="false">(Q22-$B22)*$A22</f>
        <v>-0.011368</v>
      </c>
      <c r="AX22" s="2" t="n">
        <f aca="false">(R22-$B22)*$A22</f>
        <v>0.03451</v>
      </c>
      <c r="AY22" s="2" t="n">
        <f aca="false">(S22-$B22)*$A22</f>
        <v>-0.021318</v>
      </c>
      <c r="AZ22" s="2" t="n">
        <f aca="false">(T22-$B22)*$A22</f>
        <v>-0.00557000000000002</v>
      </c>
      <c r="BA22" s="2" t="n">
        <f aca="false">(U22-$B22)*$A22</f>
        <v>0.00726399999999995</v>
      </c>
      <c r="BB22" s="2" t="n">
        <f aca="false">(V22-$B22)*$A22</f>
        <v>0.012068</v>
      </c>
      <c r="BC22" s="2" t="n">
        <f aca="false">(W22-$B22)*$A22</f>
        <v>-0.014334</v>
      </c>
      <c r="BD22" s="2" t="n">
        <f aca="false">(X22-$B22)*$A22</f>
        <v>0.060378</v>
      </c>
      <c r="BE22" s="2" t="n">
        <f aca="false">(Y22-$B22)*$A22</f>
        <v>0.023002</v>
      </c>
      <c r="BF22" s="2" t="n">
        <f aca="false">(Z22-$B22)*$A22</f>
        <v>0.02256</v>
      </c>
      <c r="BG22" s="2" t="n">
        <f aca="false">(AA22-$B22)*$A22</f>
        <v>0.024796</v>
      </c>
      <c r="BH22" s="2" t="n">
        <f aca="false">(AB22-$B22)*$A22</f>
        <v>0.070036</v>
      </c>
      <c r="BI22" s="2" t="n">
        <f aca="false">(AC22-$B22)*$A22</f>
        <v>0.00997600000000001</v>
      </c>
      <c r="BJ22" s="2" t="n">
        <f aca="false">(AD22-$B22)*$A22</f>
        <v>0.079852</v>
      </c>
      <c r="BK22" s="2" t="n">
        <f aca="false">(AE22-$B22)*$A22</f>
        <v>0.021016</v>
      </c>
      <c r="BL22" s="2" t="n">
        <f aca="false">(AF22-$B22)*$A22</f>
        <v>0.00248599999999995</v>
      </c>
      <c r="BM22" s="2" t="n">
        <f aca="false">(AG22-$B22)*$A22</f>
        <v>0.016366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0.0123563</v>
      </c>
      <c r="C23" s="1" t="n">
        <v>0.0129066</v>
      </c>
      <c r="D23" s="1" t="n">
        <v>0.014137</v>
      </c>
      <c r="E23" s="1" t="n">
        <v>0.014419</v>
      </c>
      <c r="F23" s="1" t="n">
        <v>0.0129286</v>
      </c>
      <c r="G23" s="1" t="n">
        <v>0.0120058</v>
      </c>
      <c r="H23" s="1" t="n">
        <v>0.0131375</v>
      </c>
      <c r="I23" s="1" t="n">
        <v>0.0131701</v>
      </c>
      <c r="J23" s="1" t="n">
        <v>0.0139811</v>
      </c>
      <c r="K23" s="1" t="n">
        <v>0.0139883</v>
      </c>
      <c r="L23" s="1" t="n">
        <v>0.0135106</v>
      </c>
      <c r="M23" s="1" t="n">
        <v>0.0157053</v>
      </c>
      <c r="N23" s="1" t="n">
        <v>0.0169784</v>
      </c>
      <c r="O23" s="1" t="n">
        <v>0.0112118</v>
      </c>
      <c r="P23" s="1" t="n">
        <v>0.0137271</v>
      </c>
      <c r="Q23" s="1" t="n">
        <v>0.011901</v>
      </c>
      <c r="R23" s="1" t="n">
        <v>0.013758</v>
      </c>
      <c r="S23" s="1" t="n">
        <v>0.011916</v>
      </c>
      <c r="T23" s="1" t="n">
        <v>0.0119631</v>
      </c>
      <c r="U23" s="1" t="n">
        <v>0.0126367</v>
      </c>
      <c r="V23" s="1" t="n">
        <v>0.0130242</v>
      </c>
      <c r="W23" s="1" t="n">
        <v>0.0116573</v>
      </c>
      <c r="X23" s="1" t="n">
        <v>0.0146788</v>
      </c>
      <c r="Y23" s="1" t="n">
        <v>0.0135784</v>
      </c>
      <c r="Z23" s="1" t="n">
        <v>0.0135253</v>
      </c>
      <c r="AA23" s="1" t="n">
        <v>0.0136401</v>
      </c>
      <c r="AB23" s="1" t="n">
        <v>0.0151049</v>
      </c>
      <c r="AC23" s="1" t="n">
        <v>0.0126414</v>
      </c>
      <c r="AD23" s="1" t="n">
        <v>0.0159583</v>
      </c>
      <c r="AE23" s="1" t="n">
        <v>0.0132699</v>
      </c>
      <c r="AF23" s="1" t="n">
        <v>0.0124499</v>
      </c>
      <c r="AG23" s="1" t="n">
        <v>0.0132279</v>
      </c>
      <c r="AH23" s="2"/>
      <c r="AI23" s="2" t="n">
        <f aca="false">(C23-$B23)*$A23</f>
        <v>0.0115563</v>
      </c>
      <c r="AJ23" s="2" t="n">
        <f aca="false">(D23-$B23)*$A23</f>
        <v>0.0373947</v>
      </c>
      <c r="AK23" s="2" t="n">
        <f aca="false">(E23-$B23)*$A23</f>
        <v>0.0433167</v>
      </c>
      <c r="AL23" s="2" t="n">
        <f aca="false">(F23-$B23)*$A23</f>
        <v>0.0120183</v>
      </c>
      <c r="AM23" s="2" t="n">
        <f aca="false">(G23-$B23)*$A23</f>
        <v>-0.0073605</v>
      </c>
      <c r="AN23" s="2" t="n">
        <f aca="false">(H23-$B23)*$A23</f>
        <v>0.0164052</v>
      </c>
      <c r="AO23" s="2" t="n">
        <f aca="false">(I23-$B23)*$A23</f>
        <v>0.0170898</v>
      </c>
      <c r="AP23" s="2" t="n">
        <f aca="false">(J23-$B23)*$A23</f>
        <v>0.0341208</v>
      </c>
      <c r="AQ23" s="2" t="n">
        <f aca="false">(K23-$B23)*$A23</f>
        <v>0.034272</v>
      </c>
      <c r="AR23" s="2" t="n">
        <f aca="false">(L23-$B23)*$A23</f>
        <v>0.0242403</v>
      </c>
      <c r="AS23" s="2" t="n">
        <f aca="false">(M23-$B23)*$A23</f>
        <v>0.070329</v>
      </c>
      <c r="AT23" s="2" t="n">
        <f aca="false">(N23-$B23)*$A23</f>
        <v>0.0970641</v>
      </c>
      <c r="AU23" s="2" t="n">
        <f aca="false">(O23-$B23)*$A23</f>
        <v>-0.0240345</v>
      </c>
      <c r="AV23" s="2" t="n">
        <f aca="false">(P23-$B23)*$A23</f>
        <v>0.0287868</v>
      </c>
      <c r="AW23" s="2" t="n">
        <f aca="false">(Q23-$B23)*$A23</f>
        <v>-0.00956130000000001</v>
      </c>
      <c r="AX23" s="2" t="n">
        <f aca="false">(R23-$B23)*$A23</f>
        <v>0.0294357</v>
      </c>
      <c r="AY23" s="2" t="n">
        <f aca="false">(S23-$B23)*$A23</f>
        <v>-0.00924630000000002</v>
      </c>
      <c r="AZ23" s="2" t="n">
        <f aca="false">(T23-$B23)*$A23</f>
        <v>-0.0082572</v>
      </c>
      <c r="BA23" s="2" t="n">
        <f aca="false">(U23-$B23)*$A23</f>
        <v>0.0058884</v>
      </c>
      <c r="BB23" s="2" t="n">
        <f aca="false">(V23-$B23)*$A23</f>
        <v>0.0140259</v>
      </c>
      <c r="BC23" s="2" t="n">
        <f aca="false">(W23-$B23)*$A23</f>
        <v>-0.014679</v>
      </c>
      <c r="BD23" s="2" t="n">
        <f aca="false">(X23-$B23)*$A23</f>
        <v>0.0487725</v>
      </c>
      <c r="BE23" s="2" t="n">
        <f aca="false">(Y23-$B23)*$A23</f>
        <v>0.0256641</v>
      </c>
      <c r="BF23" s="2" t="n">
        <f aca="false">(Z23-$B23)*$A23</f>
        <v>0.024549</v>
      </c>
      <c r="BG23" s="2" t="n">
        <f aca="false">(AA23-$B23)*$A23</f>
        <v>0.0269598</v>
      </c>
      <c r="BH23" s="2" t="n">
        <f aca="false">(AB23-$B23)*$A23</f>
        <v>0.0577206</v>
      </c>
      <c r="BI23" s="2" t="n">
        <f aca="false">(AC23-$B23)*$A23</f>
        <v>0.0059871</v>
      </c>
      <c r="BJ23" s="2" t="n">
        <f aca="false">(AD23-$B23)*$A23</f>
        <v>0.075642</v>
      </c>
      <c r="BK23" s="2" t="n">
        <f aca="false">(AE23-$B23)*$A23</f>
        <v>0.0191856</v>
      </c>
      <c r="BL23" s="2" t="n">
        <f aca="false">(AF23-$B23)*$A23</f>
        <v>0.00196559999999998</v>
      </c>
      <c r="BM23" s="2" t="n">
        <f aca="false">(AG23-$B23)*$A23</f>
        <v>0.0183036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0.00703537</v>
      </c>
      <c r="C24" s="1" t="n">
        <v>0.00714711</v>
      </c>
      <c r="D24" s="1" t="n">
        <v>0.00855714</v>
      </c>
      <c r="E24" s="1" t="n">
        <v>0.00888412</v>
      </c>
      <c r="F24" s="1" t="n">
        <v>0.00744438</v>
      </c>
      <c r="G24" s="1" t="n">
        <v>0.00670549</v>
      </c>
      <c r="H24" s="1" t="n">
        <v>0.00757995</v>
      </c>
      <c r="I24" s="1" t="n">
        <v>0.00766704</v>
      </c>
      <c r="J24" s="1" t="n">
        <v>0.00829164</v>
      </c>
      <c r="K24" s="1" t="n">
        <v>0.00818104</v>
      </c>
      <c r="L24" s="1" t="n">
        <v>0.00783829</v>
      </c>
      <c r="M24" s="1" t="n">
        <v>0.00972978</v>
      </c>
      <c r="N24" s="1" t="n">
        <v>0.010438</v>
      </c>
      <c r="O24" s="1" t="n">
        <v>0.00625895</v>
      </c>
      <c r="P24" s="1" t="n">
        <v>0.00813201</v>
      </c>
      <c r="Q24" s="1" t="n">
        <v>0.00672192</v>
      </c>
      <c r="R24" s="1" t="n">
        <v>0.00814601</v>
      </c>
      <c r="S24" s="1" t="n">
        <v>0.00681571</v>
      </c>
      <c r="T24" s="1" t="n">
        <v>0.00678587</v>
      </c>
      <c r="U24" s="1" t="n">
        <v>0.00717428</v>
      </c>
      <c r="V24" s="1" t="n">
        <v>0.00755625</v>
      </c>
      <c r="W24" s="1" t="n">
        <v>0.00636453</v>
      </c>
      <c r="X24" s="1" t="n">
        <v>0.00873166</v>
      </c>
      <c r="Y24" s="1" t="n">
        <v>0.00803492</v>
      </c>
      <c r="Z24" s="1" t="n">
        <v>0.00831428</v>
      </c>
      <c r="AA24" s="1" t="n">
        <v>0.0080746</v>
      </c>
      <c r="AB24" s="1" t="n">
        <v>0.00900944</v>
      </c>
      <c r="AC24" s="1" t="n">
        <v>0.00708711</v>
      </c>
      <c r="AD24" s="1" t="n">
        <v>0.0100243</v>
      </c>
      <c r="AE24" s="1" t="n">
        <v>0.00785587</v>
      </c>
      <c r="AF24" s="1" t="n">
        <v>0.00716648</v>
      </c>
      <c r="AG24" s="1" t="n">
        <v>0.00792953</v>
      </c>
      <c r="AH24" s="2"/>
      <c r="AI24" s="2" t="n">
        <f aca="false">(C24-$B24)*$A24</f>
        <v>0.00245828</v>
      </c>
      <c r="AJ24" s="2" t="n">
        <f aca="false">(D24-$B24)*$A24</f>
        <v>0.03347894</v>
      </c>
      <c r="AK24" s="2" t="n">
        <f aca="false">(E24-$B24)*$A24</f>
        <v>0.0406725</v>
      </c>
      <c r="AL24" s="2" t="n">
        <f aca="false">(F24-$B24)*$A24</f>
        <v>0.00899821999999999</v>
      </c>
      <c r="AM24" s="2" t="n">
        <f aca="false">(G24-$B24)*$A24</f>
        <v>-0.00725736000000001</v>
      </c>
      <c r="AN24" s="2" t="n">
        <f aca="false">(H24-$B24)*$A24</f>
        <v>0.01198076</v>
      </c>
      <c r="AO24" s="2" t="n">
        <f aca="false">(I24-$B24)*$A24</f>
        <v>0.01389674</v>
      </c>
      <c r="AP24" s="2" t="n">
        <f aca="false">(J24-$B24)*$A24</f>
        <v>0.02763794</v>
      </c>
      <c r="AQ24" s="2" t="n">
        <f aca="false">(K24-$B24)*$A24</f>
        <v>0.02520474</v>
      </c>
      <c r="AR24" s="2" t="n">
        <f aca="false">(L24-$B24)*$A24</f>
        <v>0.01766424</v>
      </c>
      <c r="AS24" s="2" t="n">
        <f aca="false">(M24-$B24)*$A24</f>
        <v>0.05927702</v>
      </c>
      <c r="AT24" s="2" t="n">
        <f aca="false">(N24-$B24)*$A24</f>
        <v>0.07485786</v>
      </c>
      <c r="AU24" s="2" t="n">
        <f aca="false">(O24-$B24)*$A24</f>
        <v>-0.01708124</v>
      </c>
      <c r="AV24" s="2" t="n">
        <f aca="false">(P24-$B24)*$A24</f>
        <v>0.02412608</v>
      </c>
      <c r="AW24" s="2" t="n">
        <f aca="false">(Q24-$B24)*$A24</f>
        <v>-0.0068959</v>
      </c>
      <c r="AX24" s="2" t="n">
        <f aca="false">(R24-$B24)*$A24</f>
        <v>0.02443408</v>
      </c>
      <c r="AY24" s="2" t="n">
        <f aca="false">(S24-$B24)*$A24</f>
        <v>-0.00483252</v>
      </c>
      <c r="AZ24" s="2" t="n">
        <f aca="false">(T24-$B24)*$A24</f>
        <v>-0.00548899999999999</v>
      </c>
      <c r="BA24" s="2" t="n">
        <f aca="false">(U24-$B24)*$A24</f>
        <v>0.00305602</v>
      </c>
      <c r="BB24" s="2" t="n">
        <f aca="false">(V24-$B24)*$A24</f>
        <v>0.01145936</v>
      </c>
      <c r="BC24" s="2" t="n">
        <f aca="false">(W24-$B24)*$A24</f>
        <v>-0.01475848</v>
      </c>
      <c r="BD24" s="2" t="n">
        <f aca="false">(X24-$B24)*$A24</f>
        <v>0.03731838</v>
      </c>
      <c r="BE24" s="2" t="n">
        <f aca="false">(Y24-$B24)*$A24</f>
        <v>0.0219901</v>
      </c>
      <c r="BF24" s="2" t="n">
        <f aca="false">(Z24-$B24)*$A24</f>
        <v>0.02813602</v>
      </c>
      <c r="BG24" s="2" t="n">
        <f aca="false">(AA24-$B24)*$A24</f>
        <v>0.02286306</v>
      </c>
      <c r="BH24" s="2" t="n">
        <f aca="false">(AB24-$B24)*$A24</f>
        <v>0.04342954</v>
      </c>
      <c r="BI24" s="2" t="n">
        <f aca="false">(AC24-$B24)*$A24</f>
        <v>0.00113828</v>
      </c>
      <c r="BJ24" s="2" t="n">
        <f aca="false">(AD24-$B24)*$A24</f>
        <v>0.06575646</v>
      </c>
      <c r="BK24" s="2" t="n">
        <f aca="false">(AE24-$B24)*$A24</f>
        <v>0.018051</v>
      </c>
      <c r="BL24" s="2" t="n">
        <f aca="false">(AF24-$B24)*$A24</f>
        <v>0.00288442000000001</v>
      </c>
      <c r="BM24" s="2" t="n">
        <f aca="false">(AG24-$B24)*$A24</f>
        <v>0.01967152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0.00389447</v>
      </c>
      <c r="C25" s="1" t="n">
        <v>0.00388908</v>
      </c>
      <c r="D25" s="1" t="n">
        <v>0.00513773</v>
      </c>
      <c r="E25" s="1" t="n">
        <v>0.00547359</v>
      </c>
      <c r="F25" s="1" t="n">
        <v>0.00421373</v>
      </c>
      <c r="G25" s="1" t="n">
        <v>0.0036949</v>
      </c>
      <c r="H25" s="1" t="n">
        <v>0.00430225</v>
      </c>
      <c r="I25" s="1" t="n">
        <v>0.00447149</v>
      </c>
      <c r="J25" s="1" t="n">
        <v>0.00486122</v>
      </c>
      <c r="K25" s="1" t="n">
        <v>0.00479686</v>
      </c>
      <c r="L25" s="1" t="n">
        <v>0.00452929</v>
      </c>
      <c r="M25" s="1" t="n">
        <v>0.0060581</v>
      </c>
      <c r="N25" s="1" t="n">
        <v>0.00636424</v>
      </c>
      <c r="O25" s="1" t="n">
        <v>0.00342354</v>
      </c>
      <c r="P25" s="1" t="n">
        <v>0.00471456</v>
      </c>
      <c r="Q25" s="1" t="n">
        <v>0.00364159</v>
      </c>
      <c r="R25" s="1" t="n">
        <v>0.00476885</v>
      </c>
      <c r="S25" s="1" t="n">
        <v>0.00398231</v>
      </c>
      <c r="T25" s="1" t="n">
        <v>0.00370416</v>
      </c>
      <c r="U25" s="1" t="n">
        <v>0.003976</v>
      </c>
      <c r="V25" s="1" t="n">
        <v>0.00430809</v>
      </c>
      <c r="W25" s="1" t="n">
        <v>0.00334242</v>
      </c>
      <c r="X25" s="1" t="n">
        <v>0.0050905</v>
      </c>
      <c r="Y25" s="1" t="n">
        <v>0.00480561</v>
      </c>
      <c r="Z25" s="1" t="n">
        <v>0.00501991</v>
      </c>
      <c r="AA25" s="1" t="n">
        <v>0.00491191</v>
      </c>
      <c r="AB25" s="1" t="n">
        <v>0.00537235</v>
      </c>
      <c r="AC25" s="1" t="n">
        <v>0.00387289</v>
      </c>
      <c r="AD25" s="1" t="n">
        <v>0.00632461</v>
      </c>
      <c r="AE25" s="1" t="n">
        <v>0.00455611</v>
      </c>
      <c r="AF25" s="1" t="n">
        <v>0.00411078</v>
      </c>
      <c r="AG25" s="1" t="n">
        <v>0.00474552</v>
      </c>
      <c r="AH25" s="2"/>
      <c r="AI25" s="2" t="n">
        <f aca="false">(C25-$B25)*$A25</f>
        <v>-0.000123970000000002</v>
      </c>
      <c r="AJ25" s="2" t="n">
        <f aca="false">(D25-$B25)*$A25</f>
        <v>0.02859498</v>
      </c>
      <c r="AK25" s="2" t="n">
        <f aca="false">(E25-$B25)*$A25</f>
        <v>0.03631976</v>
      </c>
      <c r="AL25" s="2" t="n">
        <f aca="false">(F25-$B25)*$A25</f>
        <v>0.00734297999999999</v>
      </c>
      <c r="AM25" s="2" t="n">
        <f aca="false">(G25-$B25)*$A25</f>
        <v>-0.00459011</v>
      </c>
      <c r="AN25" s="2" t="n">
        <f aca="false">(H25-$B25)*$A25</f>
        <v>0.00937893999999999</v>
      </c>
      <c r="AO25" s="2" t="n">
        <f aca="false">(I25-$B25)*$A25</f>
        <v>0.01327146</v>
      </c>
      <c r="AP25" s="2" t="n">
        <f aca="false">(J25-$B25)*$A25</f>
        <v>0.02223525</v>
      </c>
      <c r="AQ25" s="2" t="n">
        <f aca="false">(K25-$B25)*$A25</f>
        <v>0.02075497</v>
      </c>
      <c r="AR25" s="2" t="n">
        <f aca="false">(L25-$B25)*$A25</f>
        <v>0.01460086</v>
      </c>
      <c r="AS25" s="2" t="n">
        <f aca="false">(M25-$B25)*$A25</f>
        <v>0.04976349</v>
      </c>
      <c r="AT25" s="2" t="n">
        <f aca="false">(N25-$B25)*$A25</f>
        <v>0.05680471</v>
      </c>
      <c r="AU25" s="2" t="n">
        <f aca="false">(O25-$B25)*$A25</f>
        <v>-0.01083139</v>
      </c>
      <c r="AV25" s="2" t="n">
        <f aca="false">(P25-$B25)*$A25</f>
        <v>0.01886207</v>
      </c>
      <c r="AW25" s="2" t="n">
        <f aca="false">(Q25-$B25)*$A25</f>
        <v>-0.00581624</v>
      </c>
      <c r="AX25" s="2" t="n">
        <f aca="false">(R25-$B25)*$A25</f>
        <v>0.02011074</v>
      </c>
      <c r="AY25" s="2" t="n">
        <f aca="false">(S25-$B25)*$A25</f>
        <v>0.00202032</v>
      </c>
      <c r="AZ25" s="2" t="n">
        <f aca="false">(T25-$B25)*$A25</f>
        <v>-0.00437713</v>
      </c>
      <c r="BA25" s="2" t="n">
        <f aca="false">(U25-$B25)*$A25</f>
        <v>0.00187519000000001</v>
      </c>
      <c r="BB25" s="2" t="n">
        <f aca="false">(V25-$B25)*$A25</f>
        <v>0.00951325999999999</v>
      </c>
      <c r="BC25" s="2" t="n">
        <f aca="false">(W25-$B25)*$A25</f>
        <v>-0.01269715</v>
      </c>
      <c r="BD25" s="2" t="n">
        <f aca="false">(X25-$B25)*$A25</f>
        <v>0.02750869</v>
      </c>
      <c r="BE25" s="2" t="n">
        <f aca="false">(Y25-$B25)*$A25</f>
        <v>0.02095622</v>
      </c>
      <c r="BF25" s="2" t="n">
        <f aca="false">(Z25-$B25)*$A25</f>
        <v>0.02588512</v>
      </c>
      <c r="BG25" s="2" t="n">
        <f aca="false">(AA25-$B25)*$A25</f>
        <v>0.02340112</v>
      </c>
      <c r="BH25" s="2" t="n">
        <f aca="false">(AB25-$B25)*$A25</f>
        <v>0.03399124</v>
      </c>
      <c r="BI25" s="2" t="n">
        <f aca="false">(AC25-$B25)*$A25</f>
        <v>-0.000496340000000005</v>
      </c>
      <c r="BJ25" s="2" t="n">
        <f aca="false">(AD25-$B25)*$A25</f>
        <v>0.05589322</v>
      </c>
      <c r="BK25" s="2" t="n">
        <f aca="false">(AE25-$B25)*$A25</f>
        <v>0.01521772</v>
      </c>
      <c r="BL25" s="2" t="n">
        <f aca="false">(AF25-$B25)*$A25</f>
        <v>0.00497512999999999</v>
      </c>
      <c r="BM25" s="2" t="n">
        <f aca="false">(AG25-$B25)*$A25</f>
        <v>0.01957415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0.00210323</v>
      </c>
      <c r="C26" s="1" t="n">
        <v>0.00209164</v>
      </c>
      <c r="D26" s="1" t="n">
        <v>0.00319467</v>
      </c>
      <c r="E26" s="1" t="n">
        <v>0.00352208</v>
      </c>
      <c r="F26" s="1" t="n">
        <v>0.00240556</v>
      </c>
      <c r="G26" s="1" t="n">
        <v>0.00198436</v>
      </c>
      <c r="H26" s="1" t="n">
        <v>0.00243538</v>
      </c>
      <c r="I26" s="1" t="n">
        <v>0.00256379</v>
      </c>
      <c r="J26" s="1" t="n">
        <v>0.0028621</v>
      </c>
      <c r="K26" s="1" t="n">
        <v>0.00274358</v>
      </c>
      <c r="L26" s="1" t="n">
        <v>0.00256732</v>
      </c>
      <c r="M26" s="1" t="n">
        <v>0.00372344</v>
      </c>
      <c r="N26" s="1" t="n">
        <v>0.00383359</v>
      </c>
      <c r="O26" s="1" t="n">
        <v>0.00189814</v>
      </c>
      <c r="P26" s="1" t="n">
        <v>0.00269206</v>
      </c>
      <c r="Q26" s="1" t="n">
        <v>0.00189246</v>
      </c>
      <c r="R26" s="1" t="n">
        <v>0.00277814</v>
      </c>
      <c r="S26" s="1" t="n">
        <v>0.00229683</v>
      </c>
      <c r="T26" s="1" t="n">
        <v>0.00200733</v>
      </c>
      <c r="U26" s="1" t="n">
        <v>0.00215777</v>
      </c>
      <c r="V26" s="1" t="n">
        <v>0.00242642</v>
      </c>
      <c r="W26" s="1" t="n">
        <v>0.00169105</v>
      </c>
      <c r="X26" s="1" t="n">
        <v>0.00295966</v>
      </c>
      <c r="Y26" s="1" t="n">
        <v>0.00275652</v>
      </c>
      <c r="Z26" s="1" t="n">
        <v>0.00315021</v>
      </c>
      <c r="AA26" s="1" t="n">
        <v>0.00296453</v>
      </c>
      <c r="AB26" s="1" t="n">
        <v>0.00319303</v>
      </c>
      <c r="AC26" s="1" t="n">
        <v>0.00213434</v>
      </c>
      <c r="AD26" s="1" t="n">
        <v>0.00411966</v>
      </c>
      <c r="AE26" s="1" t="n">
        <v>0.00272668</v>
      </c>
      <c r="AF26" s="1" t="n">
        <v>0.00236631</v>
      </c>
      <c r="AG26" s="1" t="n">
        <v>0.00277214</v>
      </c>
      <c r="AH26" s="2"/>
      <c r="AI26" s="2" t="n">
        <f aca="false">(C26-$B26)*$A26</f>
        <v>-0.000278160000000003</v>
      </c>
      <c r="AJ26" s="2" t="n">
        <f aca="false">(D26-$B26)*$A26</f>
        <v>0.02619456</v>
      </c>
      <c r="AK26" s="2" t="n">
        <f aca="false">(E26-$B26)*$A26</f>
        <v>0.0340524</v>
      </c>
      <c r="AL26" s="2" t="n">
        <f aca="false">(F26-$B26)*$A26</f>
        <v>0.00725592</v>
      </c>
      <c r="AM26" s="2" t="n">
        <f aca="false">(G26-$B26)*$A26</f>
        <v>-0.00285288</v>
      </c>
      <c r="AN26" s="2" t="n">
        <f aca="false">(H26-$B26)*$A26</f>
        <v>0.0079716</v>
      </c>
      <c r="AO26" s="2" t="n">
        <f aca="false">(I26-$B26)*$A26</f>
        <v>0.01105344</v>
      </c>
      <c r="AP26" s="2" t="n">
        <f aca="false">(J26-$B26)*$A26</f>
        <v>0.01821288</v>
      </c>
      <c r="AQ26" s="2" t="n">
        <f aca="false">(K26-$B26)*$A26</f>
        <v>0.0153684</v>
      </c>
      <c r="AR26" s="2" t="n">
        <f aca="false">(L26-$B26)*$A26</f>
        <v>0.01113816</v>
      </c>
      <c r="AS26" s="2" t="n">
        <f aca="false">(M26-$B26)*$A26</f>
        <v>0.03888504</v>
      </c>
      <c r="AT26" s="2" t="n">
        <f aca="false">(N26-$B26)*$A26</f>
        <v>0.04152864</v>
      </c>
      <c r="AU26" s="2" t="n">
        <f aca="false">(O26-$B26)*$A26</f>
        <v>-0.00492216000000001</v>
      </c>
      <c r="AV26" s="2" t="n">
        <f aca="false">(P26-$B26)*$A26</f>
        <v>0.01413192</v>
      </c>
      <c r="AW26" s="2" t="n">
        <f aca="false">(Q26-$B26)*$A26</f>
        <v>-0.00505848</v>
      </c>
      <c r="AX26" s="2" t="n">
        <f aca="false">(R26-$B26)*$A26</f>
        <v>0.01619784</v>
      </c>
      <c r="AY26" s="2" t="n">
        <f aca="false">(S26-$B26)*$A26</f>
        <v>0.0046464</v>
      </c>
      <c r="AZ26" s="2" t="n">
        <f aca="false">(T26-$B26)*$A26</f>
        <v>-0.00230160000000001</v>
      </c>
      <c r="BA26" s="2" t="n">
        <f aca="false">(U26-$B26)*$A26</f>
        <v>0.00130895999999999</v>
      </c>
      <c r="BB26" s="2" t="n">
        <f aca="false">(V26-$B26)*$A26</f>
        <v>0.00775655999999999</v>
      </c>
      <c r="BC26" s="2" t="n">
        <f aca="false">(W26-$B26)*$A26</f>
        <v>-0.00989232000000001</v>
      </c>
      <c r="BD26" s="2" t="n">
        <f aca="false">(X26-$B26)*$A26</f>
        <v>0.02055432</v>
      </c>
      <c r="BE26" s="2" t="n">
        <f aca="false">(Y26-$B26)*$A26</f>
        <v>0.01567896</v>
      </c>
      <c r="BF26" s="2" t="n">
        <f aca="false">(Z26-$B26)*$A26</f>
        <v>0.02512752</v>
      </c>
      <c r="BG26" s="2" t="n">
        <f aca="false">(AA26-$B26)*$A26</f>
        <v>0.0206712</v>
      </c>
      <c r="BH26" s="2" t="n">
        <f aca="false">(AB26-$B26)*$A26</f>
        <v>0.0261552</v>
      </c>
      <c r="BI26" s="2" t="n">
        <f aca="false">(AC26-$B26)*$A26</f>
        <v>0.00074664</v>
      </c>
      <c r="BJ26" s="2" t="n">
        <f aca="false">(AD26-$B26)*$A26</f>
        <v>0.04839432</v>
      </c>
      <c r="BK26" s="2" t="n">
        <f aca="false">(AE26-$B26)*$A26</f>
        <v>0.0149628</v>
      </c>
      <c r="BL26" s="2" t="n">
        <f aca="false">(AF26-$B26)*$A26</f>
        <v>0.00631391999999999</v>
      </c>
      <c r="BM26" s="2" t="n">
        <f aca="false">(AG26-$B26)*$A26</f>
        <v>0.01605384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0.00108609</v>
      </c>
      <c r="C27" s="1" t="n">
        <v>0.0011266</v>
      </c>
      <c r="D27" s="1" t="n">
        <v>0.00194404</v>
      </c>
      <c r="E27" s="1" t="n">
        <v>0.00224282</v>
      </c>
      <c r="F27" s="1" t="n">
        <v>0.00137081</v>
      </c>
      <c r="G27" s="1" t="n">
        <v>0.00104004</v>
      </c>
      <c r="H27" s="1" t="n">
        <v>0.00138126</v>
      </c>
      <c r="I27" s="1" t="n">
        <v>0.00144381</v>
      </c>
      <c r="J27" s="1" t="n">
        <v>0.00173622</v>
      </c>
      <c r="K27" s="1" t="n">
        <v>0.00157665</v>
      </c>
      <c r="L27" s="1" t="n">
        <v>0.00141231</v>
      </c>
      <c r="M27" s="1" t="n">
        <v>0.00245478</v>
      </c>
      <c r="N27" s="1" t="n">
        <v>0.00237537</v>
      </c>
      <c r="O27" s="1" t="n">
        <v>0.00102431</v>
      </c>
      <c r="P27" s="1" t="n">
        <v>0.00148883</v>
      </c>
      <c r="Q27" s="1" t="n">
        <v>0.000945747</v>
      </c>
      <c r="R27" s="1" t="n">
        <v>0.00162292</v>
      </c>
      <c r="S27" s="1" t="n">
        <v>0.00136362</v>
      </c>
      <c r="T27" s="1" t="n">
        <v>0.00101868</v>
      </c>
      <c r="U27" s="1" t="n">
        <v>0.00113329</v>
      </c>
      <c r="V27" s="1" t="n">
        <v>0.00138396</v>
      </c>
      <c r="W27" s="1" t="n">
        <v>0.000855442</v>
      </c>
      <c r="X27" s="1" t="n">
        <v>0.00169374</v>
      </c>
      <c r="Y27" s="1" t="n">
        <v>0.00160469</v>
      </c>
      <c r="Z27" s="1" t="n">
        <v>0.00198328</v>
      </c>
      <c r="AA27" s="1" t="n">
        <v>0.00179243</v>
      </c>
      <c r="AB27" s="1" t="n">
        <v>0.00190134</v>
      </c>
      <c r="AC27" s="1" t="n">
        <v>0.0011478</v>
      </c>
      <c r="AD27" s="1" t="n">
        <v>0.00277643</v>
      </c>
      <c r="AE27" s="1" t="n">
        <v>0.0016002</v>
      </c>
      <c r="AF27" s="1" t="n">
        <v>0.00137426</v>
      </c>
      <c r="AG27" s="1" t="n">
        <v>0.00164699</v>
      </c>
      <c r="AH27" s="2"/>
      <c r="AI27" s="2" t="n">
        <f aca="false">(C27-$B27)*$A27</f>
        <v>0.00101275</v>
      </c>
      <c r="AJ27" s="2" t="n">
        <f aca="false">(D27-$B27)*$A27</f>
        <v>0.02144875</v>
      </c>
      <c r="AK27" s="2" t="n">
        <f aca="false">(E27-$B27)*$A27</f>
        <v>0.02891825</v>
      </c>
      <c r="AL27" s="2" t="n">
        <f aca="false">(F27-$B27)*$A27</f>
        <v>0.007118</v>
      </c>
      <c r="AM27" s="2" t="n">
        <f aca="false">(G27-$B27)*$A27</f>
        <v>-0.00115125</v>
      </c>
      <c r="AN27" s="2" t="n">
        <f aca="false">(H27-$B27)*$A27</f>
        <v>0.00737925</v>
      </c>
      <c r="AO27" s="2" t="n">
        <f aca="false">(I27-$B27)*$A27</f>
        <v>0.008943</v>
      </c>
      <c r="AP27" s="2" t="n">
        <f aca="false">(J27-$B27)*$A27</f>
        <v>0.01625325</v>
      </c>
      <c r="AQ27" s="2" t="n">
        <f aca="false">(K27-$B27)*$A27</f>
        <v>0.012264</v>
      </c>
      <c r="AR27" s="2" t="n">
        <f aca="false">(L27-$B27)*$A27</f>
        <v>0.0081555</v>
      </c>
      <c r="AS27" s="2" t="n">
        <f aca="false">(M27-$B27)*$A27</f>
        <v>0.03421725</v>
      </c>
      <c r="AT27" s="2" t="n">
        <f aca="false">(N27-$B27)*$A27</f>
        <v>0.032232</v>
      </c>
      <c r="AU27" s="2" t="n">
        <f aca="false">(O27-$B27)*$A27</f>
        <v>-0.0015445</v>
      </c>
      <c r="AV27" s="2" t="n">
        <f aca="false">(P27-$B27)*$A27</f>
        <v>0.0100685</v>
      </c>
      <c r="AW27" s="2" t="n">
        <f aca="false">(Q27-$B27)*$A27</f>
        <v>-0.003508575</v>
      </c>
      <c r="AX27" s="2" t="n">
        <f aca="false">(R27-$B27)*$A27</f>
        <v>0.01342075</v>
      </c>
      <c r="AY27" s="2" t="n">
        <f aca="false">(S27-$B27)*$A27</f>
        <v>0.00693825</v>
      </c>
      <c r="AZ27" s="2" t="n">
        <f aca="false">(T27-$B27)*$A27</f>
        <v>-0.00168525</v>
      </c>
      <c r="BA27" s="2" t="n">
        <f aca="false">(U27-$B27)*$A27</f>
        <v>0.00118</v>
      </c>
      <c r="BB27" s="2" t="n">
        <f aca="false">(V27-$B27)*$A27</f>
        <v>0.00744675</v>
      </c>
      <c r="BC27" s="2" t="n">
        <f aca="false">(W27-$B27)*$A27</f>
        <v>-0.0057662</v>
      </c>
      <c r="BD27" s="2" t="n">
        <f aca="false">(X27-$B27)*$A27</f>
        <v>0.01519125</v>
      </c>
      <c r="BE27" s="2" t="n">
        <f aca="false">(Y27-$B27)*$A27</f>
        <v>0.012965</v>
      </c>
      <c r="BF27" s="2" t="n">
        <f aca="false">(Z27-$B27)*$A27</f>
        <v>0.02242975</v>
      </c>
      <c r="BG27" s="2" t="n">
        <f aca="false">(AA27-$B27)*$A27</f>
        <v>0.0176585</v>
      </c>
      <c r="BH27" s="2" t="n">
        <f aca="false">(AB27-$B27)*$A27</f>
        <v>0.02038125</v>
      </c>
      <c r="BI27" s="2" t="n">
        <f aca="false">(AC27-$B27)*$A27</f>
        <v>0.00154275</v>
      </c>
      <c r="BJ27" s="2" t="n">
        <f aca="false">(AD27-$B27)*$A27</f>
        <v>0.0422585</v>
      </c>
      <c r="BK27" s="2" t="n">
        <f aca="false">(AE27-$B27)*$A27</f>
        <v>0.01285275</v>
      </c>
      <c r="BL27" s="2" t="n">
        <f aca="false">(AF27-$B27)*$A27</f>
        <v>0.00720425</v>
      </c>
      <c r="BM27" s="2" t="n">
        <f aca="false">(AG27-$B27)*$A27</f>
        <v>0.0140225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0.000530575</v>
      </c>
      <c r="C28" s="1" t="n">
        <v>0.00059125</v>
      </c>
      <c r="D28" s="1" t="n">
        <v>0.00120882</v>
      </c>
      <c r="E28" s="1" t="n">
        <v>0.00147048</v>
      </c>
      <c r="F28" s="1" t="n">
        <v>0.000778445</v>
      </c>
      <c r="G28" s="1" t="n">
        <v>0.00052002</v>
      </c>
      <c r="H28" s="1" t="n">
        <v>0.000759449</v>
      </c>
      <c r="I28" s="1" t="n">
        <v>0.000838373</v>
      </c>
      <c r="J28" s="1" t="n">
        <v>0.00102082</v>
      </c>
      <c r="K28" s="1" t="n">
        <v>0.000903069</v>
      </c>
      <c r="L28" s="1" t="n">
        <v>0.000744081</v>
      </c>
      <c r="M28" s="1" t="n">
        <v>0.00164466</v>
      </c>
      <c r="N28" s="1" t="n">
        <v>0.00144415</v>
      </c>
      <c r="O28" s="1" t="n">
        <v>0.000579277</v>
      </c>
      <c r="P28" s="1" t="n">
        <v>0.000795561</v>
      </c>
      <c r="Q28" s="1" t="n">
        <v>0.000463431</v>
      </c>
      <c r="R28" s="1" t="n">
        <v>0.000942065</v>
      </c>
      <c r="S28" s="1" t="n">
        <v>0.000796172</v>
      </c>
      <c r="T28" s="1" t="n">
        <v>0.000525083</v>
      </c>
      <c r="U28" s="1" t="n">
        <v>0.000583891</v>
      </c>
      <c r="V28" s="1" t="n">
        <v>0.000764018</v>
      </c>
      <c r="W28" s="1" t="n">
        <v>0.000396271</v>
      </c>
      <c r="X28" s="1" t="n">
        <v>0.000934682</v>
      </c>
      <c r="Y28" s="1" t="n">
        <v>0.000913195</v>
      </c>
      <c r="Z28" s="1" t="n">
        <v>0.00131272</v>
      </c>
      <c r="AA28" s="1" t="n">
        <v>0.00100721</v>
      </c>
      <c r="AB28" s="1" t="n">
        <v>0.00117523</v>
      </c>
      <c r="AC28" s="1" t="n">
        <v>0.00062496</v>
      </c>
      <c r="AD28" s="1" t="n">
        <v>0.00180866</v>
      </c>
      <c r="AE28" s="1" t="n">
        <v>0.000932178</v>
      </c>
      <c r="AF28" s="1" t="n">
        <v>0.000808449</v>
      </c>
      <c r="AG28" s="1" t="n">
        <v>0.000937708</v>
      </c>
      <c r="AH28" s="2"/>
      <c r="AI28" s="2" t="n">
        <f aca="false">(C28-$B28)*$A28</f>
        <v>0.00157755</v>
      </c>
      <c r="AJ28" s="2" t="n">
        <f aca="false">(D28-$B28)*$A28</f>
        <v>0.01763437</v>
      </c>
      <c r="AK28" s="2" t="n">
        <f aca="false">(E28-$B28)*$A28</f>
        <v>0.02443753</v>
      </c>
      <c r="AL28" s="2" t="n">
        <f aca="false">(F28-$B28)*$A28</f>
        <v>0.00644462</v>
      </c>
      <c r="AM28" s="2" t="n">
        <f aca="false">(G28-$B28)*$A28</f>
        <v>-0.00027443</v>
      </c>
      <c r="AN28" s="2" t="n">
        <f aca="false">(H28-$B28)*$A28</f>
        <v>0.005950724</v>
      </c>
      <c r="AO28" s="2" t="n">
        <f aca="false">(I28-$B28)*$A28</f>
        <v>0.008002748</v>
      </c>
      <c r="AP28" s="2" t="n">
        <f aca="false">(J28-$B28)*$A28</f>
        <v>0.01274637</v>
      </c>
      <c r="AQ28" s="2" t="n">
        <f aca="false">(K28-$B28)*$A28</f>
        <v>0.009684844</v>
      </c>
      <c r="AR28" s="2" t="n">
        <f aca="false">(L28-$B28)*$A28</f>
        <v>0.005551156</v>
      </c>
      <c r="AS28" s="2" t="n">
        <f aca="false">(M28-$B28)*$A28</f>
        <v>0.02896621</v>
      </c>
      <c r="AT28" s="2" t="n">
        <f aca="false">(N28-$B28)*$A28</f>
        <v>0.02375295</v>
      </c>
      <c r="AU28" s="2" t="n">
        <f aca="false">(O28-$B28)*$A28</f>
        <v>0.001266252</v>
      </c>
      <c r="AV28" s="2" t="n">
        <f aca="false">(P28-$B28)*$A28</f>
        <v>0.006889636</v>
      </c>
      <c r="AW28" s="2" t="n">
        <f aca="false">(Q28-$B28)*$A28</f>
        <v>-0.001745744</v>
      </c>
      <c r="AX28" s="2" t="n">
        <f aca="false">(R28-$B28)*$A28</f>
        <v>0.01069874</v>
      </c>
      <c r="AY28" s="2" t="n">
        <f aca="false">(S28-$B28)*$A28</f>
        <v>0.006905522</v>
      </c>
      <c r="AZ28" s="2" t="n">
        <f aca="false">(T28-$B28)*$A28</f>
        <v>-0.000142792000000002</v>
      </c>
      <c r="BA28" s="2" t="n">
        <f aca="false">(U28-$B28)*$A28</f>
        <v>0.001386216</v>
      </c>
      <c r="BB28" s="2" t="n">
        <f aca="false">(V28-$B28)*$A28</f>
        <v>0.006069518</v>
      </c>
      <c r="BC28" s="2" t="n">
        <f aca="false">(W28-$B28)*$A28</f>
        <v>-0.003491904</v>
      </c>
      <c r="BD28" s="2" t="n">
        <f aca="false">(X28-$B28)*$A28</f>
        <v>0.010506782</v>
      </c>
      <c r="BE28" s="2" t="n">
        <f aca="false">(Y28-$B28)*$A28</f>
        <v>0.00994812</v>
      </c>
      <c r="BF28" s="2" t="n">
        <f aca="false">(Z28-$B28)*$A28</f>
        <v>0.02033577</v>
      </c>
      <c r="BG28" s="2" t="n">
        <f aca="false">(AA28-$B28)*$A28</f>
        <v>0.01239251</v>
      </c>
      <c r="BH28" s="2" t="n">
        <f aca="false">(AB28-$B28)*$A28</f>
        <v>0.01676103</v>
      </c>
      <c r="BI28" s="2" t="n">
        <f aca="false">(AC28-$B28)*$A28</f>
        <v>0.00245401</v>
      </c>
      <c r="BJ28" s="2" t="n">
        <f aca="false">(AD28-$B28)*$A28</f>
        <v>0.03323021</v>
      </c>
      <c r="BK28" s="2" t="n">
        <f aca="false">(AE28-$B28)*$A28</f>
        <v>0.010441678</v>
      </c>
      <c r="BL28" s="2" t="n">
        <f aca="false">(AF28-$B28)*$A28</f>
        <v>0.007224724</v>
      </c>
      <c r="BM28" s="2" t="n">
        <f aca="false">(AG28-$B28)*$A28</f>
        <v>0.010585458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0.000247928</v>
      </c>
      <c r="C29" s="1" t="n">
        <v>0.00029752</v>
      </c>
      <c r="D29" s="1" t="n">
        <v>0.000777028</v>
      </c>
      <c r="E29" s="1" t="n">
        <v>0.000934175</v>
      </c>
      <c r="F29" s="1" t="n">
        <v>0.000435869</v>
      </c>
      <c r="G29" s="1" t="n">
        <v>0.000263463</v>
      </c>
      <c r="H29" s="1" t="n">
        <v>0.000421162</v>
      </c>
      <c r="I29" s="1" t="n">
        <v>0.000474813</v>
      </c>
      <c r="J29" s="1" t="n">
        <v>0.000667025</v>
      </c>
      <c r="K29" s="1" t="n">
        <v>0.000502634</v>
      </c>
      <c r="L29" s="1" t="n">
        <v>0.000410925</v>
      </c>
      <c r="M29" s="1" t="n">
        <v>0.0010704</v>
      </c>
      <c r="N29" s="1" t="n">
        <v>0.00088124</v>
      </c>
      <c r="O29" s="1" t="n">
        <v>0.00030685</v>
      </c>
      <c r="P29" s="1" t="n">
        <v>0.000467454</v>
      </c>
      <c r="Q29" s="1" t="n">
        <v>0.000199512</v>
      </c>
      <c r="R29" s="1" t="n">
        <v>0.000541925</v>
      </c>
      <c r="S29" s="1" t="n">
        <v>0.000489284</v>
      </c>
      <c r="T29" s="1" t="n">
        <v>0.000262541</v>
      </c>
      <c r="U29" s="1" t="n">
        <v>0.000307976</v>
      </c>
      <c r="V29" s="1" t="n">
        <v>0.00042785</v>
      </c>
      <c r="W29" s="1" t="n">
        <v>0.00017225</v>
      </c>
      <c r="X29" s="1" t="n">
        <v>0.000527832</v>
      </c>
      <c r="Y29" s="1" t="n">
        <v>0.000569937</v>
      </c>
      <c r="Z29" s="1" t="n">
        <v>0.00090045</v>
      </c>
      <c r="AA29" s="1" t="n">
        <v>0.000629758</v>
      </c>
      <c r="AB29" s="1" t="n">
        <v>0.000697241</v>
      </c>
      <c r="AC29" s="1" t="n">
        <v>0.00032152</v>
      </c>
      <c r="AD29" s="1" t="n">
        <v>0.00125659</v>
      </c>
      <c r="AE29" s="1" t="n">
        <v>0.000593249</v>
      </c>
      <c r="AF29" s="1" t="n">
        <v>0.000500778</v>
      </c>
      <c r="AG29" s="1" t="n">
        <v>0.000585318</v>
      </c>
      <c r="AH29" s="2"/>
      <c r="AI29" s="2" t="n">
        <f aca="false">(C29-$B29)*$A29</f>
        <v>0.001338984</v>
      </c>
      <c r="AJ29" s="2" t="n">
        <f aca="false">(D29-$B29)*$A29</f>
        <v>0.0142857</v>
      </c>
      <c r="AK29" s="2" t="n">
        <f aca="false">(E29-$B29)*$A29</f>
        <v>0.018528669</v>
      </c>
      <c r="AL29" s="2" t="n">
        <f aca="false">(F29-$B29)*$A29</f>
        <v>0.005074407</v>
      </c>
      <c r="AM29" s="2" t="n">
        <f aca="false">(G29-$B29)*$A29</f>
        <v>0.000419445</v>
      </c>
      <c r="AN29" s="2" t="n">
        <f aca="false">(H29-$B29)*$A29</f>
        <v>0.004677318</v>
      </c>
      <c r="AO29" s="2" t="n">
        <f aca="false">(I29-$B29)*$A29</f>
        <v>0.006125895</v>
      </c>
      <c r="AP29" s="2" t="n">
        <f aca="false">(J29-$B29)*$A29</f>
        <v>0.011315619</v>
      </c>
      <c r="AQ29" s="2" t="n">
        <f aca="false">(K29-$B29)*$A29</f>
        <v>0.006877062</v>
      </c>
      <c r="AR29" s="2" t="n">
        <f aca="false">(L29-$B29)*$A29</f>
        <v>0.004400919</v>
      </c>
      <c r="AS29" s="2" t="n">
        <f aca="false">(M29-$B29)*$A29</f>
        <v>0.022206744</v>
      </c>
      <c r="AT29" s="2" t="n">
        <f aca="false">(N29-$B29)*$A29</f>
        <v>0.017099424</v>
      </c>
      <c r="AU29" s="2" t="n">
        <f aca="false">(O29-$B29)*$A29</f>
        <v>0.001590894</v>
      </c>
      <c r="AV29" s="2" t="n">
        <f aca="false">(P29-$B29)*$A29</f>
        <v>0.005927202</v>
      </c>
      <c r="AW29" s="2" t="n">
        <f aca="false">(Q29-$B29)*$A29</f>
        <v>-0.001307232</v>
      </c>
      <c r="AX29" s="2" t="n">
        <f aca="false">(R29-$B29)*$A29</f>
        <v>0.007937919</v>
      </c>
      <c r="AY29" s="2" t="n">
        <f aca="false">(S29-$B29)*$A29</f>
        <v>0.006516612</v>
      </c>
      <c r="AZ29" s="2" t="n">
        <f aca="false">(T29-$B29)*$A29</f>
        <v>0.000394550999999999</v>
      </c>
      <c r="BA29" s="2" t="n">
        <f aca="false">(U29-$B29)*$A29</f>
        <v>0.001621296</v>
      </c>
      <c r="BB29" s="2" t="n">
        <f aca="false">(V29-$B29)*$A29</f>
        <v>0.004857894</v>
      </c>
      <c r="BC29" s="2" t="n">
        <f aca="false">(W29-$B29)*$A29</f>
        <v>-0.002043306</v>
      </c>
      <c r="BD29" s="2" t="n">
        <f aca="false">(X29-$B29)*$A29</f>
        <v>0.007557408</v>
      </c>
      <c r="BE29" s="2" t="n">
        <f aca="false">(Y29-$B29)*$A29</f>
        <v>0.008694243</v>
      </c>
      <c r="BF29" s="2" t="n">
        <f aca="false">(Z29-$B29)*$A29</f>
        <v>0.017618094</v>
      </c>
      <c r="BG29" s="2" t="n">
        <f aca="false">(AA29-$B29)*$A29</f>
        <v>0.01030941</v>
      </c>
      <c r="BH29" s="2" t="n">
        <f aca="false">(AB29-$B29)*$A29</f>
        <v>0.012131451</v>
      </c>
      <c r="BI29" s="2" t="n">
        <f aca="false">(AC29-$B29)*$A29</f>
        <v>0.001986984</v>
      </c>
      <c r="BJ29" s="2" t="n">
        <f aca="false">(AD29-$B29)*$A29</f>
        <v>0.027233874</v>
      </c>
      <c r="BK29" s="2" t="n">
        <f aca="false">(AE29-$B29)*$A29</f>
        <v>0.009323667</v>
      </c>
      <c r="BL29" s="2" t="n">
        <f aca="false">(AF29-$B29)*$A29</f>
        <v>0.00682695</v>
      </c>
      <c r="BM29" s="2" t="n">
        <f aca="false">(AG29-$B29)*$A29</f>
        <v>0.00910953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0.000112472</v>
      </c>
      <c r="C30" s="1" t="n">
        <v>0.000138337</v>
      </c>
      <c r="D30" s="1" t="n">
        <v>0.000476544</v>
      </c>
      <c r="E30" s="1" t="n">
        <v>0.000593072</v>
      </c>
      <c r="F30" s="1" t="n">
        <v>0.000270349</v>
      </c>
      <c r="G30" s="1" t="n">
        <v>0.000128278</v>
      </c>
      <c r="H30" s="1" t="n">
        <v>0.000221001</v>
      </c>
      <c r="I30" s="1" t="n">
        <v>0.00025926</v>
      </c>
      <c r="J30" s="1" t="n">
        <v>0.00040559</v>
      </c>
      <c r="K30" s="1" t="n">
        <v>0.000272221</v>
      </c>
      <c r="L30" s="1" t="n">
        <v>0.000207863</v>
      </c>
      <c r="M30" s="1" t="n">
        <v>0.000751525</v>
      </c>
      <c r="N30" s="1" t="n">
        <v>0.000535247</v>
      </c>
      <c r="O30" s="1" t="n">
        <v>0.000195223</v>
      </c>
      <c r="P30" s="1" t="n">
        <v>0.000258434</v>
      </c>
      <c r="Q30" s="3" t="n">
        <v>9.63664E-005</v>
      </c>
      <c r="R30" s="3" t="n">
        <v>0.000306409</v>
      </c>
      <c r="S30" s="3" t="n">
        <v>0.000288069</v>
      </c>
      <c r="T30" s="3" t="n">
        <v>0.000117223</v>
      </c>
      <c r="U30" s="3" t="n">
        <v>0.000153016</v>
      </c>
      <c r="V30" s="3" t="n">
        <v>0.000227507</v>
      </c>
      <c r="W30" s="3" t="n">
        <v>7.20933E-005</v>
      </c>
      <c r="X30" s="3" t="n">
        <v>0.000291722</v>
      </c>
      <c r="Y30" s="3" t="n">
        <v>0.000322831</v>
      </c>
      <c r="Z30" s="3" t="n">
        <v>0.000636704</v>
      </c>
      <c r="AA30" s="3" t="n">
        <v>0.000389874</v>
      </c>
      <c r="AB30" s="3" t="n">
        <v>0.000437991</v>
      </c>
      <c r="AC30" s="3" t="n">
        <v>0.000181771</v>
      </c>
      <c r="AD30" s="3" t="n">
        <v>0.000835201</v>
      </c>
      <c r="AE30" s="3" t="n">
        <v>0.000353194</v>
      </c>
      <c r="AF30" s="3" t="n">
        <v>0.000329683</v>
      </c>
      <c r="AG30" s="3" t="n">
        <v>0.000343393</v>
      </c>
      <c r="AH30" s="2"/>
      <c r="AI30" s="2" t="n">
        <f aca="false">(C30-$B30)*$A30</f>
        <v>0.00072422</v>
      </c>
      <c r="AJ30" s="2" t="n">
        <f aca="false">(D30-$B30)*$A30</f>
        <v>0.010194016</v>
      </c>
      <c r="AK30" s="2" t="n">
        <f aca="false">(E30-$B30)*$A30</f>
        <v>0.0134568</v>
      </c>
      <c r="AL30" s="2" t="n">
        <f aca="false">(F30-$B30)*$A30</f>
        <v>0.004420556</v>
      </c>
      <c r="AM30" s="2" t="n">
        <f aca="false">(G30-$B30)*$A30</f>
        <v>0.000442568</v>
      </c>
      <c r="AN30" s="2" t="n">
        <f aca="false">(H30-$B30)*$A30</f>
        <v>0.003038812</v>
      </c>
      <c r="AO30" s="2" t="n">
        <f aca="false">(I30-$B30)*$A30</f>
        <v>0.004110064</v>
      </c>
      <c r="AP30" s="2" t="n">
        <f aca="false">(J30-$B30)*$A30</f>
        <v>0.008207304</v>
      </c>
      <c r="AQ30" s="2" t="n">
        <f aca="false">(K30-$B30)*$A30</f>
        <v>0.004472972</v>
      </c>
      <c r="AR30" s="2" t="n">
        <f aca="false">(L30-$B30)*$A30</f>
        <v>0.002670948</v>
      </c>
      <c r="AS30" s="2" t="n">
        <f aca="false">(M30-$B30)*$A30</f>
        <v>0.017893484</v>
      </c>
      <c r="AT30" s="2" t="n">
        <f aca="false">(N30-$B30)*$A30</f>
        <v>0.0118377</v>
      </c>
      <c r="AU30" s="2" t="n">
        <f aca="false">(O30-$B30)*$A30</f>
        <v>0.002317028</v>
      </c>
      <c r="AV30" s="2" t="n">
        <f aca="false">(P30-$B30)*$A30</f>
        <v>0.004086936</v>
      </c>
      <c r="AW30" s="2" t="n">
        <f aca="false">(Q30-$B30)*$A30</f>
        <v>-0.0004509568</v>
      </c>
      <c r="AX30" s="2" t="n">
        <f aca="false">(R30-$B30)*$A30</f>
        <v>0.005430236</v>
      </c>
      <c r="AY30" s="2" t="n">
        <f aca="false">(S30-$B30)*$A30</f>
        <v>0.004916716</v>
      </c>
      <c r="AZ30" s="2" t="n">
        <f aca="false">(T30-$B30)*$A30</f>
        <v>0.000133028</v>
      </c>
      <c r="BA30" s="2" t="n">
        <f aca="false">(U30-$B30)*$A30</f>
        <v>0.001135232</v>
      </c>
      <c r="BB30" s="2" t="n">
        <f aca="false">(V30-$B30)*$A30</f>
        <v>0.00322098</v>
      </c>
      <c r="BC30" s="2" t="n">
        <f aca="false">(W30-$B30)*$A30</f>
        <v>-0.0011306036</v>
      </c>
      <c r="BD30" s="2" t="n">
        <f aca="false">(X30-$B30)*$A30</f>
        <v>0.005019</v>
      </c>
      <c r="BE30" s="2" t="n">
        <f aca="false">(Y30-$B30)*$A30</f>
        <v>0.005890052</v>
      </c>
      <c r="BF30" s="2" t="n">
        <f aca="false">(Z30-$B30)*$A30</f>
        <v>0.014678496</v>
      </c>
      <c r="BG30" s="2" t="n">
        <f aca="false">(AA30-$B30)*$A30</f>
        <v>0.007767256</v>
      </c>
      <c r="BH30" s="2" t="n">
        <f aca="false">(AB30-$B30)*$A30</f>
        <v>0.009114532</v>
      </c>
      <c r="BI30" s="2" t="n">
        <f aca="false">(AC30-$B30)*$A30</f>
        <v>0.001940372</v>
      </c>
      <c r="BJ30" s="2" t="n">
        <f aca="false">(AD30-$B30)*$A30</f>
        <v>0.020236412</v>
      </c>
      <c r="BK30" s="2" t="n">
        <f aca="false">(AE30-$B30)*$A30</f>
        <v>0.006740216</v>
      </c>
      <c r="BL30" s="2" t="n">
        <f aca="false">(AF30-$B30)*$A30</f>
        <v>0.006081908</v>
      </c>
      <c r="BM30" s="2" t="n">
        <f aca="false">(AG30-$B30)*$A30</f>
        <v>0.006465788</v>
      </c>
    </row>
    <row r="31" customFormat="false" ht="13.8" hidden="false" customHeight="false" outlineLevel="0" collapsed="false">
      <c r="A31" s="1" t="n">
        <f aca="false">1+A30</f>
        <v>29</v>
      </c>
      <c r="B31" s="3" t="n">
        <v>4.93899E-005</v>
      </c>
      <c r="C31" s="3" t="n">
        <v>6.39573E-005</v>
      </c>
      <c r="D31" s="1" t="n">
        <v>0.000317204</v>
      </c>
      <c r="E31" s="1" t="n">
        <v>0.000371479</v>
      </c>
      <c r="F31" s="1" t="n">
        <v>0.000144454</v>
      </c>
      <c r="G31" s="3" t="n">
        <v>5.67384E-005</v>
      </c>
      <c r="H31" s="1" t="n">
        <v>0.000116801</v>
      </c>
      <c r="I31" s="1" t="n">
        <v>0.00013708</v>
      </c>
      <c r="J31" s="1" t="n">
        <v>0.000243843</v>
      </c>
      <c r="K31" s="1" t="n">
        <v>0.000138898</v>
      </c>
      <c r="L31" s="1" t="n">
        <v>0.000104171</v>
      </c>
      <c r="M31" s="1" t="n">
        <v>0.00048246</v>
      </c>
      <c r="N31" s="1" t="n">
        <v>0.000352302</v>
      </c>
      <c r="O31" s="1" t="n">
        <v>0.000134247</v>
      </c>
      <c r="P31" s="1" t="n">
        <v>0.000144782</v>
      </c>
      <c r="Q31" s="3" t="n">
        <v>5.03624E-005</v>
      </c>
      <c r="R31" s="3" t="n">
        <v>0.000194598</v>
      </c>
      <c r="S31" s="3" t="n">
        <v>0.000175158</v>
      </c>
      <c r="T31" s="3" t="n">
        <v>6.05492E-005</v>
      </c>
      <c r="U31" s="3" t="n">
        <v>8.06372E-005</v>
      </c>
      <c r="V31" s="3" t="n">
        <v>0.00013146</v>
      </c>
      <c r="W31" s="3" t="n">
        <v>3.62886E-005</v>
      </c>
      <c r="X31" s="3" t="n">
        <v>0.000165374</v>
      </c>
      <c r="Y31" s="3" t="n">
        <v>0.00017686</v>
      </c>
      <c r="Z31" s="3" t="n">
        <v>0.000448314</v>
      </c>
      <c r="AA31" s="3" t="n">
        <v>0.000225481</v>
      </c>
      <c r="AB31" s="3" t="n">
        <v>0.000278998</v>
      </c>
      <c r="AC31" s="3" t="n">
        <v>9.38172E-005</v>
      </c>
      <c r="AD31" s="3" t="n">
        <v>0.000598466</v>
      </c>
      <c r="AE31" s="3" t="n">
        <v>0.000209555</v>
      </c>
      <c r="AF31" s="3" t="n">
        <v>0.000217621</v>
      </c>
      <c r="AG31" s="3" t="n">
        <v>0.00019294</v>
      </c>
      <c r="AH31" s="2"/>
      <c r="AI31" s="2" t="n">
        <f aca="false">(C31-$B31)*$A31</f>
        <v>0.0004224546</v>
      </c>
      <c r="AJ31" s="2" t="n">
        <f aca="false">(D31-$B31)*$A31</f>
        <v>0.0077666089</v>
      </c>
      <c r="AK31" s="2" t="n">
        <f aca="false">(E31-$B31)*$A31</f>
        <v>0.0093405839</v>
      </c>
      <c r="AL31" s="2" t="n">
        <f aca="false">(F31-$B31)*$A31</f>
        <v>0.0027568589</v>
      </c>
      <c r="AM31" s="2" t="n">
        <f aca="false">(G31-$B31)*$A31</f>
        <v>0.0002131065</v>
      </c>
      <c r="AN31" s="2" t="n">
        <f aca="false">(H31-$B31)*$A31</f>
        <v>0.0019549219</v>
      </c>
      <c r="AO31" s="2" t="n">
        <f aca="false">(I31-$B31)*$A31</f>
        <v>0.0025430129</v>
      </c>
      <c r="AP31" s="2" t="n">
        <f aca="false">(J31-$B31)*$A31</f>
        <v>0.0056391399</v>
      </c>
      <c r="AQ31" s="2" t="n">
        <f aca="false">(K31-$B31)*$A31</f>
        <v>0.0025957349</v>
      </c>
      <c r="AR31" s="2" t="n">
        <f aca="false">(L31-$B31)*$A31</f>
        <v>0.0015886519</v>
      </c>
      <c r="AS31" s="2" t="n">
        <f aca="false">(M31-$B31)*$A31</f>
        <v>0.0125590329</v>
      </c>
      <c r="AT31" s="2" t="n">
        <f aca="false">(N31-$B31)*$A31</f>
        <v>0.0087844509</v>
      </c>
      <c r="AU31" s="2" t="n">
        <f aca="false">(O31-$B31)*$A31</f>
        <v>0.0024608559</v>
      </c>
      <c r="AV31" s="2" t="n">
        <f aca="false">(P31-$B31)*$A31</f>
        <v>0.0027663709</v>
      </c>
      <c r="AW31" s="2" t="n">
        <f aca="false">(Q31-$B31)*$A31</f>
        <v>2.82024999999999E-005</v>
      </c>
      <c r="AX31" s="2" t="n">
        <f aca="false">(R31-$B31)*$A31</f>
        <v>0.0042110349</v>
      </c>
      <c r="AY31" s="2" t="n">
        <f aca="false">(S31-$B31)*$A31</f>
        <v>0.0036472749</v>
      </c>
      <c r="AZ31" s="2" t="n">
        <f aca="false">(T31-$B31)*$A31</f>
        <v>0.0003236197</v>
      </c>
      <c r="BA31" s="2" t="n">
        <f aca="false">(U31-$B31)*$A31</f>
        <v>0.0009061717</v>
      </c>
      <c r="BB31" s="2" t="n">
        <f aca="false">(V31-$B31)*$A31</f>
        <v>0.0023800329</v>
      </c>
      <c r="BC31" s="2" t="n">
        <f aca="false">(W31-$B31)*$A31</f>
        <v>-0.0003799377</v>
      </c>
      <c r="BD31" s="2" t="n">
        <f aca="false">(X31-$B31)*$A31</f>
        <v>0.0033635389</v>
      </c>
      <c r="BE31" s="2" t="n">
        <f aca="false">(Y31-$B31)*$A31</f>
        <v>0.0036966329</v>
      </c>
      <c r="BF31" s="2" t="n">
        <f aca="false">(Z31-$B31)*$A31</f>
        <v>0.0115687989</v>
      </c>
      <c r="BG31" s="2" t="n">
        <f aca="false">(AA31-$B31)*$A31</f>
        <v>0.0051066419</v>
      </c>
      <c r="BH31" s="2" t="n">
        <f aca="false">(AB31-$B31)*$A31</f>
        <v>0.0066586349</v>
      </c>
      <c r="BI31" s="2" t="n">
        <f aca="false">(AC31-$B31)*$A31</f>
        <v>0.0012883917</v>
      </c>
      <c r="BJ31" s="2" t="n">
        <f aca="false">(AD31-$B31)*$A31</f>
        <v>0.0159232069</v>
      </c>
      <c r="BK31" s="2" t="n">
        <f aca="false">(AE31-$B31)*$A31</f>
        <v>0.0046447879</v>
      </c>
      <c r="BL31" s="2" t="n">
        <f aca="false">(AF31-$B31)*$A31</f>
        <v>0.0048787019</v>
      </c>
      <c r="BM31" s="2" t="n">
        <f aca="false">(AG31-$B31)*$A31</f>
        <v>0.0041629529</v>
      </c>
    </row>
    <row r="32" customFormat="false" ht="13.8" hidden="false" customHeight="false" outlineLevel="0" collapsed="false">
      <c r="A32" s="1" t="n">
        <f aca="false">1+A31</f>
        <v>30</v>
      </c>
      <c r="B32" s="3" t="n">
        <v>1.95604E-005</v>
      </c>
      <c r="C32" s="3" t="n">
        <v>2.51092E-005</v>
      </c>
      <c r="D32" s="1" t="n">
        <v>0.000224748</v>
      </c>
      <c r="E32" s="1" t="n">
        <v>0.000210638</v>
      </c>
      <c r="F32" s="3" t="n">
        <v>8.02521E-005</v>
      </c>
      <c r="G32" s="3" t="n">
        <v>1.92417E-005</v>
      </c>
      <c r="H32" s="3" t="n">
        <v>6.20354E-005</v>
      </c>
      <c r="I32" s="3" t="n">
        <v>7.54933E-005</v>
      </c>
      <c r="J32" s="1" t="n">
        <v>0.000155884</v>
      </c>
      <c r="K32" s="3" t="n">
        <v>6.31777E-005</v>
      </c>
      <c r="L32" s="3" t="n">
        <v>4.80052E-005</v>
      </c>
      <c r="M32" s="1" t="n">
        <v>0.000339871</v>
      </c>
      <c r="N32" s="1" t="n">
        <v>0.00021109</v>
      </c>
      <c r="O32" s="3" t="n">
        <v>9.294E-005</v>
      </c>
      <c r="P32" s="3" t="n">
        <v>7.41206E-005</v>
      </c>
      <c r="Q32" s="3" t="n">
        <v>2.61497E-005</v>
      </c>
      <c r="R32" s="3" t="n">
        <v>0.000118472</v>
      </c>
      <c r="S32" s="3" t="n">
        <v>0.000104709</v>
      </c>
      <c r="T32" s="3" t="n">
        <v>2.37353E-005</v>
      </c>
      <c r="U32" s="3" t="n">
        <v>4.85766E-005</v>
      </c>
      <c r="V32" s="3" t="n">
        <v>7.80996E-005</v>
      </c>
      <c r="W32" s="3" t="n">
        <v>1.49993E-005</v>
      </c>
      <c r="X32" s="3" t="n">
        <v>9.80538E-005</v>
      </c>
      <c r="Y32" s="3" t="n">
        <v>8.96754E-005</v>
      </c>
      <c r="Z32" s="3" t="n">
        <v>0.000297602</v>
      </c>
      <c r="AA32" s="3" t="n">
        <v>0.000123667</v>
      </c>
      <c r="AB32" s="3" t="n">
        <v>0.000185323</v>
      </c>
      <c r="AC32" s="3" t="n">
        <v>4.29996E-005</v>
      </c>
      <c r="AD32" s="3" t="n">
        <v>0.000422809</v>
      </c>
      <c r="AE32" s="3" t="n">
        <v>0.000121503</v>
      </c>
      <c r="AF32" s="3" t="n">
        <v>0.000128071</v>
      </c>
      <c r="AG32" s="3" t="n">
        <v>0.000117963</v>
      </c>
      <c r="AH32" s="2"/>
      <c r="AI32" s="2" t="n">
        <f aca="false">(C32-$B32)*$A32</f>
        <v>0.000166464</v>
      </c>
      <c r="AJ32" s="2" t="n">
        <f aca="false">(D32-$B32)*$A32</f>
        <v>0.006155628</v>
      </c>
      <c r="AK32" s="2" t="n">
        <f aca="false">(E32-$B32)*$A32</f>
        <v>0.005732328</v>
      </c>
      <c r="AL32" s="2" t="n">
        <f aca="false">(F32-$B32)*$A32</f>
        <v>0.001820751</v>
      </c>
      <c r="AM32" s="2" t="n">
        <f aca="false">(G32-$B32)*$A32</f>
        <v>-9.56100000000003E-006</v>
      </c>
      <c r="AN32" s="2" t="n">
        <f aca="false">(H32-$B32)*$A32</f>
        <v>0.00127425</v>
      </c>
      <c r="AO32" s="2" t="n">
        <f aca="false">(I32-$B32)*$A32</f>
        <v>0.001677987</v>
      </c>
      <c r="AP32" s="2" t="n">
        <f aca="false">(J32-$B32)*$A32</f>
        <v>0.004089708</v>
      </c>
      <c r="AQ32" s="2" t="n">
        <f aca="false">(K32-$B32)*$A32</f>
        <v>0.001308519</v>
      </c>
      <c r="AR32" s="2" t="n">
        <f aca="false">(L32-$B32)*$A32</f>
        <v>0.000853344</v>
      </c>
      <c r="AS32" s="2" t="n">
        <f aca="false">(M32-$B32)*$A32</f>
        <v>0.009609318</v>
      </c>
      <c r="AT32" s="2" t="n">
        <f aca="false">(N32-$B32)*$A32</f>
        <v>0.005745888</v>
      </c>
      <c r="AU32" s="2" t="n">
        <f aca="false">(O32-$B32)*$A32</f>
        <v>0.002201388</v>
      </c>
      <c r="AV32" s="2" t="n">
        <f aca="false">(P32-$B32)*$A32</f>
        <v>0.001636806</v>
      </c>
      <c r="AW32" s="2" t="n">
        <f aca="false">(Q32-$B32)*$A32</f>
        <v>0.000197679</v>
      </c>
      <c r="AX32" s="2" t="n">
        <f aca="false">(R32-$B32)*$A32</f>
        <v>0.002967348</v>
      </c>
      <c r="AY32" s="2" t="n">
        <f aca="false">(S32-$B32)*$A32</f>
        <v>0.002554458</v>
      </c>
      <c r="AZ32" s="2" t="n">
        <f aca="false">(T32-$B32)*$A32</f>
        <v>0.000125247</v>
      </c>
      <c r="BA32" s="2" t="n">
        <f aca="false">(U32-$B32)*$A32</f>
        <v>0.000870486</v>
      </c>
      <c r="BB32" s="2" t="n">
        <f aca="false">(V32-$B32)*$A32</f>
        <v>0.001756176</v>
      </c>
      <c r="BC32" s="2" t="n">
        <f aca="false">(W32-$B32)*$A32</f>
        <v>-0.000136833</v>
      </c>
      <c r="BD32" s="2" t="n">
        <f aca="false">(X32-$B32)*$A32</f>
        <v>0.002354802</v>
      </c>
      <c r="BE32" s="2" t="n">
        <f aca="false">(Y32-$B32)*$A32</f>
        <v>0.00210345</v>
      </c>
      <c r="BF32" s="2" t="n">
        <f aca="false">(Z32-$B32)*$A32</f>
        <v>0.008341248</v>
      </c>
      <c r="BG32" s="2" t="n">
        <f aca="false">(AA32-$B32)*$A32</f>
        <v>0.003123198</v>
      </c>
      <c r="BH32" s="2" t="n">
        <f aca="false">(AB32-$B32)*$A32</f>
        <v>0.004972878</v>
      </c>
      <c r="BI32" s="2" t="n">
        <f aca="false">(AC32-$B32)*$A32</f>
        <v>0.000703176</v>
      </c>
      <c r="BJ32" s="2" t="n">
        <f aca="false">(AD32-$B32)*$A32</f>
        <v>0.012097458</v>
      </c>
      <c r="BK32" s="2" t="n">
        <f aca="false">(AE32-$B32)*$A32</f>
        <v>0.003058278</v>
      </c>
      <c r="BL32" s="2" t="n">
        <f aca="false">(AF32-$B32)*$A32</f>
        <v>0.003255318</v>
      </c>
      <c r="BM32" s="2" t="n">
        <f aca="false">(AG32-$B32)*$A32</f>
        <v>0.002952078</v>
      </c>
    </row>
    <row r="33" customFormat="false" ht="13.8" hidden="false" customHeight="false" outlineLevel="0" collapsed="false">
      <c r="A33" s="1" t="n">
        <f aca="false">1+A32</f>
        <v>31</v>
      </c>
      <c r="B33" s="3" t="n">
        <v>3.91207E-006</v>
      </c>
      <c r="C33" s="3" t="n">
        <v>1.23177E-005</v>
      </c>
      <c r="D33" s="1" t="n">
        <v>0.000124423</v>
      </c>
      <c r="E33" s="1" t="n">
        <v>0.000113535</v>
      </c>
      <c r="F33" s="3" t="n">
        <v>3.61134E-005</v>
      </c>
      <c r="G33" s="3" t="n">
        <v>7.89404E-006</v>
      </c>
      <c r="H33" s="3" t="n">
        <v>3.1987E-005</v>
      </c>
      <c r="I33" s="3" t="n">
        <v>4.172E-005</v>
      </c>
      <c r="J33" s="1" t="n">
        <v>0.000105551</v>
      </c>
      <c r="K33" s="3" t="n">
        <v>2.46207E-005</v>
      </c>
      <c r="L33" s="3" t="n">
        <v>2.01622E-005</v>
      </c>
      <c r="M33" s="1" t="n">
        <v>0.000246113</v>
      </c>
      <c r="N33" s="1" t="n">
        <v>0.000126169</v>
      </c>
      <c r="O33" s="3" t="n">
        <v>6.29435E-005</v>
      </c>
      <c r="P33" s="3" t="n">
        <v>4.34841E-005</v>
      </c>
      <c r="Q33" s="3" t="n">
        <v>1.40433E-005</v>
      </c>
      <c r="R33" s="3" t="n">
        <v>7.46991E-005</v>
      </c>
      <c r="S33" s="3" t="n">
        <v>5.50082E-005</v>
      </c>
      <c r="T33" s="3" t="n">
        <v>1.01723E-005</v>
      </c>
      <c r="U33" s="3" t="n">
        <v>2.62314E-005</v>
      </c>
      <c r="V33" s="3" t="n">
        <v>4.31731E-005</v>
      </c>
      <c r="W33" s="3" t="n">
        <v>4.35463E-006</v>
      </c>
      <c r="X33" s="3" t="n">
        <v>5.75639E-005</v>
      </c>
      <c r="Y33" s="3" t="n">
        <v>4.93215E-005</v>
      </c>
      <c r="Z33" s="3" t="n">
        <v>0.000201495</v>
      </c>
      <c r="AA33" s="3" t="n">
        <v>6.80416E-005</v>
      </c>
      <c r="AB33" s="3" t="n">
        <v>0.000112916</v>
      </c>
      <c r="AC33" s="3" t="n">
        <v>2.49202E-005</v>
      </c>
      <c r="AD33" s="3" t="n">
        <v>0.000301127</v>
      </c>
      <c r="AE33" s="3" t="n">
        <v>8.21497E-005</v>
      </c>
      <c r="AF33" s="3" t="n">
        <v>7.10395E-005</v>
      </c>
      <c r="AG33" s="3" t="n">
        <v>7.34771E-005</v>
      </c>
      <c r="AH33" s="2"/>
      <c r="AI33" s="2" t="n">
        <f aca="false">(C33-$B33)*$A33</f>
        <v>0.00026057453</v>
      </c>
      <c r="AJ33" s="2" t="n">
        <f aca="false">(D33-$B33)*$A33</f>
        <v>0.00373583883</v>
      </c>
      <c r="AK33" s="2" t="n">
        <f aca="false">(E33-$B33)*$A33</f>
        <v>0.00339831083</v>
      </c>
      <c r="AL33" s="2" t="n">
        <f aca="false">(F33-$B33)*$A33</f>
        <v>0.00099824123</v>
      </c>
      <c r="AM33" s="2" t="n">
        <f aca="false">(G33-$B33)*$A33</f>
        <v>0.00012344107</v>
      </c>
      <c r="AN33" s="2" t="n">
        <f aca="false">(H33-$B33)*$A33</f>
        <v>0.00087032283</v>
      </c>
      <c r="AO33" s="2" t="n">
        <f aca="false">(I33-$B33)*$A33</f>
        <v>0.00117204583</v>
      </c>
      <c r="AP33" s="2" t="n">
        <f aca="false">(J33-$B33)*$A33</f>
        <v>0.00315080683</v>
      </c>
      <c r="AQ33" s="2" t="n">
        <f aca="false">(K33-$B33)*$A33</f>
        <v>0.00064196753</v>
      </c>
      <c r="AR33" s="2" t="n">
        <f aca="false">(L33-$B33)*$A33</f>
        <v>0.00050375403</v>
      </c>
      <c r="AS33" s="2" t="n">
        <f aca="false">(M33-$B33)*$A33</f>
        <v>0.00750822883</v>
      </c>
      <c r="AT33" s="2" t="n">
        <f aca="false">(N33-$B33)*$A33</f>
        <v>0.00378996483</v>
      </c>
      <c r="AU33" s="2" t="n">
        <f aca="false">(O33-$B33)*$A33</f>
        <v>0.00182997433</v>
      </c>
      <c r="AV33" s="2" t="n">
        <f aca="false">(P33-$B33)*$A33</f>
        <v>0.00122673293</v>
      </c>
      <c r="AW33" s="2" t="n">
        <f aca="false">(Q33-$B33)*$A33</f>
        <v>0.00031406813</v>
      </c>
      <c r="AX33" s="2" t="n">
        <f aca="false">(R33-$B33)*$A33</f>
        <v>0.00219439793</v>
      </c>
      <c r="AY33" s="2" t="n">
        <f aca="false">(S33-$B33)*$A33</f>
        <v>0.00158398003</v>
      </c>
      <c r="AZ33" s="2" t="n">
        <f aca="false">(T33-$B33)*$A33</f>
        <v>0.00019406713</v>
      </c>
      <c r="BA33" s="2" t="n">
        <f aca="false">(U33-$B33)*$A33</f>
        <v>0.00069189923</v>
      </c>
      <c r="BB33" s="2" t="n">
        <f aca="false">(V33-$B33)*$A33</f>
        <v>0.00121709193</v>
      </c>
      <c r="BC33" s="2" t="n">
        <f aca="false">(W33-$B33)*$A33</f>
        <v>1.371936E-005</v>
      </c>
      <c r="BD33" s="2" t="n">
        <f aca="false">(X33-$B33)*$A33</f>
        <v>0.00166320673</v>
      </c>
      <c r="BE33" s="2" t="n">
        <f aca="false">(Y33-$B33)*$A33</f>
        <v>0.00140769233</v>
      </c>
      <c r="BF33" s="2" t="n">
        <f aca="false">(Z33-$B33)*$A33</f>
        <v>0.00612507083</v>
      </c>
      <c r="BG33" s="2" t="n">
        <f aca="false">(AA33-$B33)*$A33</f>
        <v>0.00198801543</v>
      </c>
      <c r="BH33" s="2" t="n">
        <f aca="false">(AB33-$B33)*$A33</f>
        <v>0.00337912183</v>
      </c>
      <c r="BI33" s="2" t="n">
        <f aca="false">(AC33-$B33)*$A33</f>
        <v>0.00065125203</v>
      </c>
      <c r="BJ33" s="2" t="n">
        <f aca="false">(AD33-$B33)*$A33</f>
        <v>0.00921366283</v>
      </c>
      <c r="BK33" s="2" t="n">
        <f aca="false">(AE33-$B33)*$A33</f>
        <v>0.00242536653</v>
      </c>
      <c r="BL33" s="2" t="n">
        <f aca="false">(AF33-$B33)*$A33</f>
        <v>0.00208095033</v>
      </c>
      <c r="BM33" s="2" t="n">
        <f aca="false">(AG33-$B33)*$A33</f>
        <v>0.00215651593</v>
      </c>
    </row>
    <row r="34" customFormat="false" ht="13.8" hidden="false" customHeight="false" outlineLevel="0" collapsed="false">
      <c r="A34" s="1" t="n">
        <f aca="false">1+A33</f>
        <v>32</v>
      </c>
      <c r="B34" s="3" t="n">
        <v>9.78018E-007</v>
      </c>
      <c r="C34" s="3" t="n">
        <v>8.05388E-006</v>
      </c>
      <c r="D34" s="3" t="n">
        <v>8.4096E-005</v>
      </c>
      <c r="E34" s="3" t="n">
        <v>6.07513E-005</v>
      </c>
      <c r="F34" s="3" t="n">
        <v>1.45457E-005</v>
      </c>
      <c r="G34" s="3" t="n">
        <v>1.97351E-006</v>
      </c>
      <c r="H34" s="3" t="n">
        <v>1.30856E-005</v>
      </c>
      <c r="I34" s="3" t="n">
        <v>2.533E-005</v>
      </c>
      <c r="J34" s="3" t="n">
        <v>5.91282E-005</v>
      </c>
      <c r="K34" s="3" t="n">
        <v>1.20781E-005</v>
      </c>
      <c r="L34" s="3" t="n">
        <v>6.24068E-006</v>
      </c>
      <c r="M34" s="1" t="n">
        <v>0.000161146</v>
      </c>
      <c r="N34" s="3" t="n">
        <v>7.90981E-005</v>
      </c>
      <c r="O34" s="3" t="n">
        <v>3.6881E-005</v>
      </c>
      <c r="P34" s="3" t="n">
        <v>2.37186E-005</v>
      </c>
      <c r="Q34" s="3" t="n">
        <v>7.2638E-006</v>
      </c>
      <c r="R34" s="3" t="n">
        <v>3.99664E-005</v>
      </c>
      <c r="S34" s="3" t="n">
        <v>2.79866E-005</v>
      </c>
      <c r="T34" s="3" t="n">
        <v>2.90636E-006</v>
      </c>
      <c r="U34" s="3" t="n">
        <v>1.06869E-005</v>
      </c>
      <c r="V34" s="3" t="n">
        <v>2.23142E-005</v>
      </c>
      <c r="W34" s="3" t="n">
        <v>9.67695E-007</v>
      </c>
      <c r="X34" s="3" t="n">
        <v>3.36602E-005</v>
      </c>
      <c r="Y34" s="3" t="n">
        <v>2.59062E-005</v>
      </c>
      <c r="Z34" s="3" t="n">
        <v>0.000140337</v>
      </c>
      <c r="AA34" s="3" t="n">
        <v>4.37056E-005</v>
      </c>
      <c r="AB34" s="3" t="n">
        <v>5.77236E-005</v>
      </c>
      <c r="AC34" s="3" t="n">
        <v>1.46589E-005</v>
      </c>
      <c r="AD34" s="3" t="n">
        <v>0.000197437</v>
      </c>
      <c r="AE34" s="3" t="n">
        <v>4.62399E-005</v>
      </c>
      <c r="AF34" s="3" t="n">
        <v>4.35242E-005</v>
      </c>
      <c r="AG34" s="3" t="n">
        <v>5.04843E-005</v>
      </c>
      <c r="AH34" s="2"/>
      <c r="AI34" s="2" t="n">
        <f aca="false">(C34-$B34)*$A34</f>
        <v>0.000226427584</v>
      </c>
      <c r="AJ34" s="2" t="n">
        <f aca="false">(D34-$B34)*$A34</f>
        <v>0.002659775424</v>
      </c>
      <c r="AK34" s="2" t="n">
        <f aca="false">(E34-$B34)*$A34</f>
        <v>0.001912745024</v>
      </c>
      <c r="AL34" s="2" t="n">
        <f aca="false">(F34-$B34)*$A34</f>
        <v>0.000434165824</v>
      </c>
      <c r="AM34" s="2" t="n">
        <f aca="false">(G34-$B34)*$A34</f>
        <v>3.1855744E-005</v>
      </c>
      <c r="AN34" s="2" t="n">
        <f aca="false">(H34-$B34)*$A34</f>
        <v>0.000387442624</v>
      </c>
      <c r="AO34" s="2" t="n">
        <f aca="false">(I34-$B34)*$A34</f>
        <v>0.000779263424</v>
      </c>
      <c r="AP34" s="2" t="n">
        <f aca="false">(J34-$B34)*$A34</f>
        <v>0.001860805824</v>
      </c>
      <c r="AQ34" s="2" t="n">
        <f aca="false">(K34-$B34)*$A34</f>
        <v>0.000355202624</v>
      </c>
      <c r="AR34" s="2" t="n">
        <f aca="false">(L34-$B34)*$A34</f>
        <v>0.000168405184</v>
      </c>
      <c r="AS34" s="2" t="n">
        <f aca="false">(M34-$B34)*$A34</f>
        <v>0.005125375424</v>
      </c>
      <c r="AT34" s="2" t="n">
        <f aca="false">(N34-$B34)*$A34</f>
        <v>0.002499842624</v>
      </c>
      <c r="AU34" s="2" t="n">
        <f aca="false">(O34-$B34)*$A34</f>
        <v>0.001148895424</v>
      </c>
      <c r="AV34" s="2" t="n">
        <f aca="false">(P34-$B34)*$A34</f>
        <v>0.000727698624</v>
      </c>
      <c r="AW34" s="2" t="n">
        <f aca="false">(Q34-$B34)*$A34</f>
        <v>0.000201145024</v>
      </c>
      <c r="AX34" s="2" t="n">
        <f aca="false">(R34-$B34)*$A34</f>
        <v>0.001247628224</v>
      </c>
      <c r="AY34" s="2" t="n">
        <f aca="false">(S34-$B34)*$A34</f>
        <v>0.000864274624</v>
      </c>
      <c r="AZ34" s="2" t="n">
        <f aca="false">(T34-$B34)*$A34</f>
        <v>6.1706944E-005</v>
      </c>
      <c r="BA34" s="2" t="n">
        <f aca="false">(U34-$B34)*$A34</f>
        <v>0.000310684224</v>
      </c>
      <c r="BB34" s="2" t="n">
        <f aca="false">(V34-$B34)*$A34</f>
        <v>0.000682757824</v>
      </c>
      <c r="BC34" s="2" t="n">
        <f aca="false">(W34-$B34)*$A34</f>
        <v>-3.30336000000004E-007</v>
      </c>
      <c r="BD34" s="2" t="n">
        <f aca="false">(X34-$B34)*$A34</f>
        <v>0.001045829824</v>
      </c>
      <c r="BE34" s="2" t="n">
        <f aca="false">(Y34-$B34)*$A34</f>
        <v>0.000797701824</v>
      </c>
      <c r="BF34" s="2" t="n">
        <f aca="false">(Z34-$B34)*$A34</f>
        <v>0.004459487424</v>
      </c>
      <c r="BG34" s="2" t="n">
        <f aca="false">(AA34-$B34)*$A34</f>
        <v>0.001367282624</v>
      </c>
      <c r="BH34" s="2" t="n">
        <f aca="false">(AB34-$B34)*$A34</f>
        <v>0.001815858624</v>
      </c>
      <c r="BI34" s="2" t="n">
        <f aca="false">(AC34-$B34)*$A34</f>
        <v>0.000437788224</v>
      </c>
      <c r="BJ34" s="2" t="n">
        <f aca="false">(AD34-$B34)*$A34</f>
        <v>0.006286687424</v>
      </c>
      <c r="BK34" s="2" t="n">
        <f aca="false">(AE34-$B34)*$A34</f>
        <v>0.001448380224</v>
      </c>
      <c r="BL34" s="2" t="n">
        <f aca="false">(AF34-$B34)*$A34</f>
        <v>0.001361477824</v>
      </c>
      <c r="BM34" s="2" t="n">
        <f aca="false">(AG34-$B34)*$A34</f>
        <v>0.001584201024</v>
      </c>
    </row>
    <row r="35" customFormat="false" ht="13.8" hidden="false" customHeight="false" outlineLevel="0" collapsed="false">
      <c r="A35" s="1" t="n">
        <f aca="false">1+A34</f>
        <v>33</v>
      </c>
      <c r="B35" s="3" t="n">
        <v>4.89009E-007</v>
      </c>
      <c r="C35" s="3" t="n">
        <v>5.21134E-006</v>
      </c>
      <c r="D35" s="3" t="n">
        <v>5.65558E-005</v>
      </c>
      <c r="E35" s="3" t="n">
        <v>2.93797E-005</v>
      </c>
      <c r="F35" s="3" t="n">
        <v>3.00945E-006</v>
      </c>
      <c r="H35" s="3" t="n">
        <v>6.78512E-006</v>
      </c>
      <c r="I35" s="3" t="n">
        <v>1.49E-005</v>
      </c>
      <c r="J35" s="3" t="n">
        <v>2.63878E-005</v>
      </c>
      <c r="K35" s="3" t="n">
        <v>2.32271E-006</v>
      </c>
      <c r="L35" s="3" t="n">
        <v>2.40026E-006</v>
      </c>
      <c r="M35" s="1" t="n">
        <v>0.000112314</v>
      </c>
      <c r="N35" s="3" t="n">
        <v>4.17327E-005</v>
      </c>
      <c r="O35" s="3" t="n">
        <v>2.99965E-005</v>
      </c>
      <c r="P35" s="3" t="n">
        <v>1.92713E-005</v>
      </c>
      <c r="Q35" s="3" t="n">
        <v>3.38977E-006</v>
      </c>
      <c r="R35" s="3" t="n">
        <v>2.0459E-005</v>
      </c>
      <c r="S35" s="3" t="n">
        <v>1.35108E-005</v>
      </c>
      <c r="T35" s="3"/>
      <c r="U35" s="3" t="n">
        <v>3.40036E-006</v>
      </c>
      <c r="V35" s="3" t="n">
        <v>1.35825E-005</v>
      </c>
      <c r="W35" s="3" t="n">
        <v>4.83847E-007</v>
      </c>
      <c r="X35" s="3" t="n">
        <v>1.56105E-005</v>
      </c>
      <c r="Y35" s="3" t="n">
        <v>8.96754E-006</v>
      </c>
      <c r="Z35" s="3" t="n">
        <v>8.24548E-005</v>
      </c>
      <c r="AA35" s="3" t="n">
        <v>2.48327E-005</v>
      </c>
      <c r="AB35" s="3" t="n">
        <v>3.59507E-005</v>
      </c>
      <c r="AC35" s="3" t="n">
        <v>7.32947E-006</v>
      </c>
      <c r="AD35" s="3" t="n">
        <v>0.000130204</v>
      </c>
      <c r="AE35" s="3" t="n">
        <v>2.70553E-005</v>
      </c>
      <c r="AF35" s="3" t="n">
        <v>1.75097E-005</v>
      </c>
      <c r="AG35" s="3" t="n">
        <v>3.04905E-005</v>
      </c>
      <c r="AH35" s="2"/>
      <c r="AI35" s="2" t="n">
        <f aca="false">(C35-$B35)*$A35</f>
        <v>0.000155836923</v>
      </c>
      <c r="AJ35" s="2" t="n">
        <f aca="false">(D35-$B35)*$A35</f>
        <v>0.001850204103</v>
      </c>
      <c r="AK35" s="2" t="n">
        <f aca="false">(E35-$B35)*$A35</f>
        <v>0.000953392803</v>
      </c>
      <c r="AL35" s="2" t="n">
        <f aca="false">(F35-$B35)*$A35</f>
        <v>8.3174553E-005</v>
      </c>
      <c r="AM35" s="2" t="n">
        <f aca="false">(G35-$B35)*$A35</f>
        <v>-1.6137297E-005</v>
      </c>
      <c r="AN35" s="2" t="n">
        <f aca="false">(H35-$B35)*$A35</f>
        <v>0.000207771663</v>
      </c>
      <c r="AO35" s="2" t="n">
        <f aca="false">(I35-$B35)*$A35</f>
        <v>0.000475562703</v>
      </c>
      <c r="AP35" s="2" t="n">
        <f aca="false">(J35-$B35)*$A35</f>
        <v>0.000854660103</v>
      </c>
      <c r="AQ35" s="2" t="n">
        <f aca="false">(K35-$B35)*$A35</f>
        <v>6.0512133E-005</v>
      </c>
      <c r="AR35" s="2" t="n">
        <f aca="false">(L35-$B35)*$A35</f>
        <v>6.3071283E-005</v>
      </c>
      <c r="AS35" s="2" t="n">
        <f aca="false">(M35-$B35)*$A35</f>
        <v>0.003690224703</v>
      </c>
      <c r="AT35" s="2" t="n">
        <f aca="false">(N35-$B35)*$A35</f>
        <v>0.001361041803</v>
      </c>
      <c r="AU35" s="2" t="n">
        <f aca="false">(O35-$B35)*$A35</f>
        <v>0.000973747203</v>
      </c>
      <c r="AV35" s="2" t="n">
        <f aca="false">(P35-$B35)*$A35</f>
        <v>0.000619815603</v>
      </c>
      <c r="AW35" s="2" t="n">
        <f aca="false">(Q35-$B35)*$A35</f>
        <v>9.5725113E-005</v>
      </c>
      <c r="AX35" s="2" t="n">
        <f aca="false">(R35-$B35)*$A35</f>
        <v>0.000659009703</v>
      </c>
      <c r="AY35" s="2" t="n">
        <f aca="false">(S35-$B35)*$A35</f>
        <v>0.000429719103</v>
      </c>
      <c r="AZ35" s="2" t="n">
        <f aca="false">(T35-$B35)*$A35</f>
        <v>-1.6137297E-005</v>
      </c>
      <c r="BA35" s="2" t="n">
        <f aca="false">(U35-$B35)*$A35</f>
        <v>9.6074583E-005</v>
      </c>
      <c r="BB35" s="2" t="n">
        <f aca="false">(V35-$B35)*$A35</f>
        <v>0.000432085203</v>
      </c>
      <c r="BC35" s="2" t="n">
        <f aca="false">(W35-$B35)*$A35</f>
        <v>-1.70346000000003E-007</v>
      </c>
      <c r="BD35" s="2" t="n">
        <f aca="false">(X35-$B35)*$A35</f>
        <v>0.000499009203</v>
      </c>
      <c r="BE35" s="2" t="n">
        <f aca="false">(Y35-$B35)*$A35</f>
        <v>0.000279791523</v>
      </c>
      <c r="BF35" s="2" t="n">
        <f aca="false">(Z35-$B35)*$A35</f>
        <v>0.002704871103</v>
      </c>
      <c r="BG35" s="2" t="n">
        <f aca="false">(AA35-$B35)*$A35</f>
        <v>0.000803341803</v>
      </c>
      <c r="BH35" s="2" t="n">
        <f aca="false">(AB35-$B35)*$A35</f>
        <v>0.001170235803</v>
      </c>
      <c r="BI35" s="2" t="n">
        <f aca="false">(AC35-$B35)*$A35</f>
        <v>0.000225735213</v>
      </c>
      <c r="BJ35" s="2" t="n">
        <f aca="false">(AD35-$B35)*$A35</f>
        <v>0.004280594703</v>
      </c>
      <c r="BK35" s="2" t="n">
        <f aca="false">(AE35-$B35)*$A35</f>
        <v>0.000876687603</v>
      </c>
      <c r="BL35" s="2" t="n">
        <f aca="false">(AF35-$B35)*$A35</f>
        <v>0.000561682803</v>
      </c>
      <c r="BM35" s="2" t="n">
        <f aca="false">(AG35-$B35)*$A35</f>
        <v>0.000990049203</v>
      </c>
    </row>
    <row r="36" customFormat="false" ht="13.8" hidden="false" customHeight="false" outlineLevel="0" collapsed="false">
      <c r="A36" s="1" t="n">
        <f aca="false">1+A35</f>
        <v>34</v>
      </c>
      <c r="C36" s="3" t="n">
        <v>3.79006E-006</v>
      </c>
      <c r="D36" s="3" t="n">
        <v>3.14745E-005</v>
      </c>
      <c r="E36" s="3" t="n">
        <v>1.64327E-005</v>
      </c>
      <c r="H36" s="3" t="n">
        <v>1.93861E-006</v>
      </c>
      <c r="I36" s="3" t="n">
        <v>7.44999E-006</v>
      </c>
      <c r="J36" s="3" t="n">
        <v>1.22166E-005</v>
      </c>
      <c r="L36" s="3" t="n">
        <v>9.60105E-007</v>
      </c>
      <c r="M36" s="3" t="n">
        <v>6.39699E-005</v>
      </c>
      <c r="N36" s="3" t="n">
        <v>2.32927E-005</v>
      </c>
      <c r="O36" s="3" t="n">
        <v>1.72111E-005</v>
      </c>
      <c r="P36" s="3" t="n">
        <v>1.28476E-005</v>
      </c>
      <c r="Q36" s="3" t="n">
        <v>9.68507E-007</v>
      </c>
      <c r="R36" s="3" t="n">
        <v>1.18948E-005</v>
      </c>
      <c r="S36" s="3" t="n">
        <v>4.82528E-006</v>
      </c>
      <c r="T36" s="3"/>
      <c r="U36" s="3" t="n">
        <v>9.71533E-007</v>
      </c>
      <c r="V36" s="3" t="n">
        <v>7.76145E-006</v>
      </c>
      <c r="W36" s="3"/>
      <c r="X36" s="3" t="n">
        <v>7.80527E-006</v>
      </c>
      <c r="Y36" s="3" t="n">
        <v>4.98197E-006</v>
      </c>
      <c r="Z36" s="3" t="n">
        <v>5.78822E-005</v>
      </c>
      <c r="AA36" s="3" t="n">
        <v>1.34097E-005</v>
      </c>
      <c r="AB36" s="3" t="n">
        <v>1.77222E-005</v>
      </c>
      <c r="AC36" s="3" t="n">
        <v>3.42042E-006</v>
      </c>
      <c r="AD36" s="3" t="n">
        <v>9.51674E-005</v>
      </c>
      <c r="AE36" s="3" t="n">
        <v>1.22979E-005</v>
      </c>
      <c r="AF36" s="3" t="n">
        <v>8.00445E-006</v>
      </c>
      <c r="AG36" s="3" t="n">
        <v>2.29928E-005</v>
      </c>
      <c r="AH36" s="2"/>
      <c r="AI36" s="2" t="n">
        <f aca="false">(C36-$B36)*$A36</f>
        <v>0.00012886204</v>
      </c>
      <c r="AJ36" s="2" t="n">
        <f aca="false">(D36-$B36)*$A36</f>
        <v>0.001070133</v>
      </c>
      <c r="AK36" s="2" t="n">
        <f aca="false">(E36-$B36)*$A36</f>
        <v>0.0005587118</v>
      </c>
      <c r="AL36" s="2" t="n">
        <f aca="false">(F36-$B36)*$A36</f>
        <v>0</v>
      </c>
      <c r="AM36" s="2" t="n">
        <f aca="false">(G36-$B36)*$A36</f>
        <v>0</v>
      </c>
      <c r="AN36" s="2" t="n">
        <f aca="false">(H36-$B36)*$A36</f>
        <v>6.591274E-005</v>
      </c>
      <c r="AO36" s="2" t="n">
        <f aca="false">(I36-$B36)*$A36</f>
        <v>0.00025329966</v>
      </c>
      <c r="AP36" s="2" t="n">
        <f aca="false">(J36-$B36)*$A36</f>
        <v>0.0004153644</v>
      </c>
      <c r="AQ36" s="2" t="n">
        <f aca="false">(K36-$B36)*$A36</f>
        <v>0</v>
      </c>
      <c r="AR36" s="2" t="n">
        <f aca="false">(L36-$B36)*$A36</f>
        <v>3.264357E-005</v>
      </c>
      <c r="AS36" s="2" t="n">
        <f aca="false">(M36-$B36)*$A36</f>
        <v>0.0021749766</v>
      </c>
      <c r="AT36" s="2" t="n">
        <f aca="false">(N36-$B36)*$A36</f>
        <v>0.0007919518</v>
      </c>
      <c r="AU36" s="2" t="n">
        <f aca="false">(O36-$B36)*$A36</f>
        <v>0.0005851774</v>
      </c>
      <c r="AV36" s="2" t="n">
        <f aca="false">(P36-$B36)*$A36</f>
        <v>0.0004368184</v>
      </c>
      <c r="AW36" s="2" t="n">
        <f aca="false">(Q36-$B36)*$A36</f>
        <v>3.2929238E-005</v>
      </c>
      <c r="AX36" s="2" t="n">
        <f aca="false">(R36-$B36)*$A36</f>
        <v>0.0004044232</v>
      </c>
      <c r="AY36" s="2" t="n">
        <f aca="false">(S36-$B36)*$A36</f>
        <v>0.00016405952</v>
      </c>
      <c r="AZ36" s="2" t="n">
        <f aca="false">(T36-$B36)*$A36</f>
        <v>0</v>
      </c>
      <c r="BA36" s="2" t="n">
        <f aca="false">(U36-$B36)*$A36</f>
        <v>3.3032122E-005</v>
      </c>
      <c r="BB36" s="2" t="n">
        <f aca="false">(V36-$B36)*$A36</f>
        <v>0.0002638893</v>
      </c>
      <c r="BC36" s="2" t="n">
        <f aca="false">(W36-$B36)*$A36</f>
        <v>0</v>
      </c>
      <c r="BD36" s="2" t="n">
        <f aca="false">(X36-$B36)*$A36</f>
        <v>0.00026537918</v>
      </c>
      <c r="BE36" s="2" t="n">
        <f aca="false">(Y36-$B36)*$A36</f>
        <v>0.00016938698</v>
      </c>
      <c r="BF36" s="2" t="n">
        <f aca="false">(Z36-$B36)*$A36</f>
        <v>0.0019679948</v>
      </c>
      <c r="BG36" s="2" t="n">
        <f aca="false">(AA36-$B36)*$A36</f>
        <v>0.0004559298</v>
      </c>
      <c r="BH36" s="2" t="n">
        <f aca="false">(AB36-$B36)*$A36</f>
        <v>0.0006025548</v>
      </c>
      <c r="BI36" s="2" t="n">
        <f aca="false">(AC36-$B36)*$A36</f>
        <v>0.00011629428</v>
      </c>
      <c r="BJ36" s="2" t="n">
        <f aca="false">(AD36-$B36)*$A36</f>
        <v>0.0032356916</v>
      </c>
      <c r="BK36" s="2" t="n">
        <f aca="false">(AE36-$B36)*$A36</f>
        <v>0.0004181286</v>
      </c>
      <c r="BL36" s="2" t="n">
        <f aca="false">(AF36-$B36)*$A36</f>
        <v>0.0002721513</v>
      </c>
      <c r="BM36" s="2" t="n">
        <f aca="false">(AG36-$B36)*$A36</f>
        <v>0.0007817552</v>
      </c>
    </row>
    <row r="37" customFormat="false" ht="13.8" hidden="false" customHeight="false" outlineLevel="0" collapsed="false">
      <c r="A37" s="1" t="n">
        <f aca="false">1+A36</f>
        <v>35</v>
      </c>
      <c r="C37" s="3" t="n">
        <v>9.47516E-007</v>
      </c>
      <c r="D37" s="3" t="n">
        <v>1.57373E-005</v>
      </c>
      <c r="E37" s="3" t="n">
        <v>6.47349E-006</v>
      </c>
      <c r="I37" s="3" t="n">
        <v>2.48333E-006</v>
      </c>
      <c r="J37" s="3" t="n">
        <v>4.88663E-006</v>
      </c>
      <c r="M37" s="3" t="n">
        <v>3.71123E-005</v>
      </c>
      <c r="N37" s="3" t="n">
        <v>1.35874E-005</v>
      </c>
      <c r="O37" s="3" t="n">
        <v>8.85143E-006</v>
      </c>
      <c r="P37" s="3" t="n">
        <v>7.90619E-006</v>
      </c>
      <c r="Q37" s="3" t="n">
        <v>4.84253E-007</v>
      </c>
      <c r="R37" s="3" t="n">
        <v>5.70949E-006</v>
      </c>
      <c r="S37" s="3" t="n">
        <v>1.44758E-006</v>
      </c>
      <c r="T37" s="3"/>
      <c r="U37" s="3"/>
      <c r="V37" s="3" t="n">
        <v>2.91054E-006</v>
      </c>
      <c r="W37" s="3"/>
      <c r="X37" s="3" t="n">
        <v>3.41481E-006</v>
      </c>
      <c r="Y37" s="3" t="n">
        <v>9.96393E-007</v>
      </c>
      <c r="Z37" s="3" t="n">
        <v>3.27635E-005</v>
      </c>
      <c r="AA37" s="3" t="n">
        <v>7.44981E-006</v>
      </c>
      <c r="AB37" s="3" t="n">
        <v>1.26587E-005</v>
      </c>
      <c r="AC37" s="3" t="n">
        <v>1.46589E-006</v>
      </c>
      <c r="AD37" s="3" t="n">
        <v>6.86531E-005</v>
      </c>
      <c r="AE37" s="3" t="n">
        <v>7.87063E-006</v>
      </c>
      <c r="AF37" s="3" t="n">
        <v>5.50306E-006</v>
      </c>
      <c r="AG37" s="3" t="n">
        <v>1.64949E-005</v>
      </c>
      <c r="AI37" s="2" t="n">
        <f aca="false">(C37-$B37)*$A37</f>
        <v>3.316306E-005</v>
      </c>
      <c r="AJ37" s="2" t="n">
        <f aca="false">(D37-$B37)*$A37</f>
        <v>0.0005508055</v>
      </c>
      <c r="AK37" s="2" t="n">
        <f aca="false">(E37-$B37)*$A37</f>
        <v>0.00022657215</v>
      </c>
      <c r="AL37" s="2" t="n">
        <f aca="false">(F37-$B37)*$A37</f>
        <v>0</v>
      </c>
      <c r="AM37" s="2" t="n">
        <f aca="false">(G37-$B37)*$A37</f>
        <v>0</v>
      </c>
      <c r="AN37" s="2" t="n">
        <f aca="false">(H37-$B37)*$A37</f>
        <v>0</v>
      </c>
      <c r="AO37" s="2" t="n">
        <f aca="false">(I37-$B37)*$A37</f>
        <v>8.691655E-005</v>
      </c>
      <c r="AP37" s="2" t="n">
        <f aca="false">(J37-$B37)*$A37</f>
        <v>0.00017103205</v>
      </c>
      <c r="AQ37" s="2" t="n">
        <f aca="false">(K37-$B37)*$A37</f>
        <v>0</v>
      </c>
      <c r="AR37" s="2" t="n">
        <f aca="false">(L37-$B37)*$A37</f>
        <v>0</v>
      </c>
      <c r="AS37" s="2" t="n">
        <f aca="false">(M37-$B37)*$A37</f>
        <v>0.0012989305</v>
      </c>
      <c r="AT37" s="2" t="n">
        <f aca="false">(N37-$B37)*$A37</f>
        <v>0.000475559</v>
      </c>
      <c r="AU37" s="2" t="n">
        <f aca="false">(O37-$B37)*$A37</f>
        <v>0.00030980005</v>
      </c>
      <c r="AV37" s="2" t="n">
        <f aca="false">(P37-$B37)*$A37</f>
        <v>0.00027671665</v>
      </c>
      <c r="AW37" s="2" t="n">
        <f aca="false">(Q37-$B37)*$A37</f>
        <v>1.6948855E-005</v>
      </c>
      <c r="AX37" s="2" t="n">
        <f aca="false">(R37-$B37)*$A37</f>
        <v>0.00019983215</v>
      </c>
      <c r="AY37" s="2" t="n">
        <f aca="false">(S37-$B37)*$A37</f>
        <v>5.06653E-005</v>
      </c>
      <c r="AZ37" s="2" t="n">
        <f aca="false">(T37-$B37)*$A37</f>
        <v>0</v>
      </c>
      <c r="BA37" s="2" t="n">
        <f aca="false">(U37-$B37)*$A37</f>
        <v>0</v>
      </c>
      <c r="BB37" s="2" t="n">
        <f aca="false">(V37-$B37)*$A37</f>
        <v>0.0001018689</v>
      </c>
      <c r="BC37" s="2" t="n">
        <f aca="false">(W37-$B37)*$A37</f>
        <v>0</v>
      </c>
      <c r="BD37" s="2" t="n">
        <f aca="false">(X37-$B37)*$A37</f>
        <v>0.00011951835</v>
      </c>
      <c r="BE37" s="2" t="n">
        <f aca="false">(Y37-$B37)*$A37</f>
        <v>3.4873755E-005</v>
      </c>
      <c r="BF37" s="2" t="n">
        <f aca="false">(Z37-$B37)*$A37</f>
        <v>0.0011467225</v>
      </c>
      <c r="BG37" s="2" t="n">
        <f aca="false">(AA37-$B37)*$A37</f>
        <v>0.00026074335</v>
      </c>
      <c r="BH37" s="2" t="n">
        <f aca="false">(AB37-$B37)*$A37</f>
        <v>0.0004430545</v>
      </c>
      <c r="BI37" s="2" t="n">
        <f aca="false">(AC37-$B37)*$A37</f>
        <v>5.130615E-005</v>
      </c>
      <c r="BJ37" s="2" t="n">
        <f aca="false">(AD37-$B37)*$A37</f>
        <v>0.0024028585</v>
      </c>
      <c r="BK37" s="2" t="n">
        <f aca="false">(AE37-$B37)*$A37</f>
        <v>0.00027547205</v>
      </c>
      <c r="BL37" s="2" t="n">
        <f aca="false">(AF37-$B37)*$A37</f>
        <v>0.0001926071</v>
      </c>
      <c r="BM37" s="2" t="n">
        <f aca="false">(AG37-$B37)*$A37</f>
        <v>0.0005773215</v>
      </c>
    </row>
    <row r="38" customFormat="false" ht="13.8" hidden="false" customHeight="false" outlineLevel="0" collapsed="false">
      <c r="A38" s="1" t="n">
        <f aca="false">1+A37</f>
        <v>36</v>
      </c>
      <c r="D38" s="3" t="n">
        <v>5.40969E-006</v>
      </c>
      <c r="E38" s="3" t="n">
        <v>4.97961E-006</v>
      </c>
      <c r="I38" s="3" t="n">
        <v>4.96666E-007</v>
      </c>
      <c r="J38" s="3" t="n">
        <v>2.44332E-006</v>
      </c>
      <c r="M38" s="3" t="n">
        <v>1.70912E-005</v>
      </c>
      <c r="N38" s="3" t="n">
        <v>8.73476E-006</v>
      </c>
      <c r="O38" s="3" t="n">
        <v>2.95048E-006</v>
      </c>
      <c r="P38" s="3" t="n">
        <v>6.42378E-006</v>
      </c>
      <c r="R38" s="3" t="n">
        <v>3.33053E-006</v>
      </c>
      <c r="S38" s="3" t="n">
        <v>4.82528E-007</v>
      </c>
      <c r="T38" s="3"/>
      <c r="U38" s="3"/>
      <c r="V38" s="3" t="n">
        <v>1.94036E-006</v>
      </c>
      <c r="W38" s="3"/>
      <c r="X38" s="3" t="n">
        <v>1.46349E-006</v>
      </c>
      <c r="Y38" s="3"/>
      <c r="Z38" s="3" t="n">
        <v>1.36515E-005</v>
      </c>
      <c r="AA38" s="3" t="n">
        <v>3.47658E-006</v>
      </c>
      <c r="AB38" s="3" t="n">
        <v>7.08887E-006</v>
      </c>
      <c r="AC38" s="3" t="n">
        <v>9.77263E-007</v>
      </c>
      <c r="AD38" s="3" t="n">
        <v>5.20817E-005</v>
      </c>
      <c r="AE38" s="3" t="n">
        <v>3.4434E-006</v>
      </c>
      <c r="AF38" s="3" t="n">
        <v>1.50083E-006</v>
      </c>
      <c r="AG38" s="3" t="n">
        <v>9.49704E-006</v>
      </c>
      <c r="AI38" s="2" t="n">
        <f aca="false">(C38-$B38)*$A38</f>
        <v>0</v>
      </c>
      <c r="AJ38" s="2" t="n">
        <f aca="false">(D38-$B38)*$A38</f>
        <v>0.00019474884</v>
      </c>
      <c r="AK38" s="2" t="n">
        <f aca="false">(E38-$B38)*$A38</f>
        <v>0.00017926596</v>
      </c>
      <c r="AL38" s="2" t="n">
        <f aca="false">(F38-$B38)*$A38</f>
        <v>0</v>
      </c>
      <c r="AM38" s="2" t="n">
        <f aca="false">(G38-$B38)*$A38</f>
        <v>0</v>
      </c>
      <c r="AN38" s="2" t="n">
        <f aca="false">(H38-$B38)*$A38</f>
        <v>0</v>
      </c>
      <c r="AO38" s="2" t="n">
        <f aca="false">(I38-$B38)*$A38</f>
        <v>1.7879976E-005</v>
      </c>
      <c r="AP38" s="2" t="n">
        <f aca="false">(J38-$B38)*$A38</f>
        <v>8.795952E-005</v>
      </c>
      <c r="AQ38" s="2" t="n">
        <f aca="false">(K38-$B38)*$A38</f>
        <v>0</v>
      </c>
      <c r="AR38" s="2" t="n">
        <f aca="false">(L38-$B38)*$A38</f>
        <v>0</v>
      </c>
      <c r="AS38" s="2" t="n">
        <f aca="false">(M38-$B38)*$A38</f>
        <v>0.0006152832</v>
      </c>
      <c r="AT38" s="2" t="n">
        <f aca="false">(N38-$B38)*$A38</f>
        <v>0.00031445136</v>
      </c>
      <c r="AU38" s="2" t="n">
        <f aca="false">(O38-$B38)*$A38</f>
        <v>0.00010621728</v>
      </c>
      <c r="AV38" s="2" t="n">
        <f aca="false">(P38-$B38)*$A38</f>
        <v>0.00023125608</v>
      </c>
      <c r="AW38" s="2" t="n">
        <f aca="false">(Q38-$B38)*$A38</f>
        <v>0</v>
      </c>
      <c r="AX38" s="2" t="n">
        <f aca="false">(R38-$B38)*$A38</f>
        <v>0.00011989908</v>
      </c>
      <c r="AY38" s="2" t="n">
        <f aca="false">(S38-$B38)*$A38</f>
        <v>1.7371008E-005</v>
      </c>
      <c r="AZ38" s="2" t="n">
        <f aca="false">(T38-$B38)*$A38</f>
        <v>0</v>
      </c>
      <c r="BA38" s="2" t="n">
        <f aca="false">(U38-$B38)*$A38</f>
        <v>0</v>
      </c>
      <c r="BB38" s="2" t="n">
        <f aca="false">(V38-$B38)*$A38</f>
        <v>6.985296E-005</v>
      </c>
      <c r="BC38" s="2" t="n">
        <f aca="false">(W38-$B38)*$A38</f>
        <v>0</v>
      </c>
      <c r="BD38" s="2" t="n">
        <f aca="false">(X38-$B38)*$A38</f>
        <v>5.268564E-005</v>
      </c>
      <c r="BE38" s="2" t="n">
        <f aca="false">(Y38-$B38)*$A38</f>
        <v>0</v>
      </c>
      <c r="BF38" s="2" t="n">
        <f aca="false">(Z38-$B38)*$A38</f>
        <v>0.000491454</v>
      </c>
      <c r="BG38" s="2" t="n">
        <f aca="false">(AA38-$B38)*$A38</f>
        <v>0.00012515688</v>
      </c>
      <c r="BH38" s="2" t="n">
        <f aca="false">(AB38-$B38)*$A38</f>
        <v>0.00025519932</v>
      </c>
      <c r="BI38" s="2" t="n">
        <f aca="false">(AC38-$B38)*$A38</f>
        <v>3.5181468E-005</v>
      </c>
      <c r="BJ38" s="2" t="n">
        <f aca="false">(AD38-$B38)*$A38</f>
        <v>0.0018749412</v>
      </c>
      <c r="BK38" s="2" t="n">
        <f aca="false">(AE38-$B38)*$A38</f>
        <v>0.0001239624</v>
      </c>
      <c r="BL38" s="2" t="n">
        <f aca="false">(AF38-$B38)*$A38</f>
        <v>5.402988E-005</v>
      </c>
      <c r="BM38" s="2" t="n">
        <f aca="false">(AG38-$B38)*$A38</f>
        <v>0.00034189344</v>
      </c>
    </row>
    <row r="39" customFormat="false" ht="13.8" hidden="false" customHeight="false" outlineLevel="0" collapsed="false">
      <c r="A39" s="1" t="n">
        <f aca="false">1+A38</f>
        <v>37</v>
      </c>
      <c r="D39" s="3" t="n">
        <v>1.96716E-006</v>
      </c>
      <c r="E39" s="3" t="n">
        <v>1.99184E-006</v>
      </c>
      <c r="J39" s="3" t="n">
        <v>4.88663E-007</v>
      </c>
      <c r="M39" s="3" t="n">
        <v>7.81312E-006</v>
      </c>
      <c r="N39" s="3" t="n">
        <v>1.94106E-006</v>
      </c>
      <c r="O39" s="3" t="n">
        <v>9.83492E-007</v>
      </c>
      <c r="P39" s="3" t="n">
        <v>3.9531E-006</v>
      </c>
      <c r="R39" s="3" t="n">
        <v>2.85474E-006</v>
      </c>
      <c r="S39" s="3"/>
      <c r="T39" s="3"/>
      <c r="U39" s="3"/>
      <c r="V39" s="3" t="n">
        <v>4.85091E-007</v>
      </c>
      <c r="W39" s="3"/>
      <c r="X39" s="3"/>
      <c r="Y39" s="3"/>
      <c r="Z39" s="3" t="n">
        <v>5.46058E-006</v>
      </c>
      <c r="AA39" s="3" t="n">
        <v>3.97323E-006</v>
      </c>
      <c r="AB39" s="3" t="n">
        <v>3.54443E-006</v>
      </c>
      <c r="AC39" s="3"/>
      <c r="AD39" s="3" t="n">
        <v>2.69878E-005</v>
      </c>
      <c r="AE39" s="3" t="n">
        <v>9.83829E-007</v>
      </c>
      <c r="AF39" s="3"/>
      <c r="AG39" s="3" t="n">
        <v>6.49798E-006</v>
      </c>
      <c r="AI39" s="2" t="n">
        <f aca="false">(C39-$B39)*$A39</f>
        <v>0</v>
      </c>
      <c r="AJ39" s="2" t="n">
        <f aca="false">(D39-$B39)*$A39</f>
        <v>7.278492E-005</v>
      </c>
      <c r="AK39" s="2" t="n">
        <f aca="false">(E39-$B39)*$A39</f>
        <v>7.369808E-005</v>
      </c>
      <c r="AL39" s="2" t="n">
        <f aca="false">(F39-$B39)*$A39</f>
        <v>0</v>
      </c>
      <c r="AM39" s="2" t="n">
        <f aca="false">(G39-$B39)*$A39</f>
        <v>0</v>
      </c>
      <c r="AN39" s="2" t="n">
        <f aca="false">(H39-$B39)*$A39</f>
        <v>0</v>
      </c>
      <c r="AO39" s="2" t="n">
        <f aca="false">(I39-$B39)*$A39</f>
        <v>0</v>
      </c>
      <c r="AP39" s="2" t="n">
        <f aca="false">(J39-$B39)*$A39</f>
        <v>1.8080531E-005</v>
      </c>
      <c r="AQ39" s="2" t="n">
        <f aca="false">(K39-$B39)*$A39</f>
        <v>0</v>
      </c>
      <c r="AR39" s="2" t="n">
        <f aca="false">(L39-$B39)*$A39</f>
        <v>0</v>
      </c>
      <c r="AS39" s="2" t="n">
        <f aca="false">(M39-$B39)*$A39</f>
        <v>0.00028908544</v>
      </c>
      <c r="AT39" s="2" t="n">
        <f aca="false">(N39-$B39)*$A39</f>
        <v>7.181922E-005</v>
      </c>
      <c r="AU39" s="2" t="n">
        <f aca="false">(O39-$B39)*$A39</f>
        <v>3.6389204E-005</v>
      </c>
      <c r="AV39" s="2" t="n">
        <f aca="false">(P39-$B39)*$A39</f>
        <v>0.0001462647</v>
      </c>
      <c r="AW39" s="2" t="n">
        <f aca="false">(Q39-$B39)*$A39</f>
        <v>0</v>
      </c>
      <c r="AX39" s="2" t="n">
        <f aca="false">(R39-$B39)*$A39</f>
        <v>0.00010562538</v>
      </c>
      <c r="AY39" s="2" t="n">
        <f aca="false">(S39-$B39)*$A39</f>
        <v>0</v>
      </c>
      <c r="AZ39" s="2" t="n">
        <f aca="false">(T39-$B39)*$A39</f>
        <v>0</v>
      </c>
      <c r="BA39" s="2" t="n">
        <f aca="false">(U39-$B39)*$A39</f>
        <v>0</v>
      </c>
      <c r="BB39" s="2" t="n">
        <f aca="false">(V39-$B39)*$A39</f>
        <v>1.7948367E-005</v>
      </c>
      <c r="BC39" s="2" t="n">
        <f aca="false">(W39-$B39)*$A39</f>
        <v>0</v>
      </c>
      <c r="BD39" s="2" t="n">
        <f aca="false">(X39-$B39)*$A39</f>
        <v>0</v>
      </c>
      <c r="BE39" s="2" t="n">
        <f aca="false">(Y39-$B39)*$A39</f>
        <v>0</v>
      </c>
      <c r="BF39" s="2" t="n">
        <f aca="false">(Z39-$B39)*$A39</f>
        <v>0.00020204146</v>
      </c>
      <c r="BG39" s="2" t="n">
        <f aca="false">(AA39-$B39)*$A39</f>
        <v>0.00014700951</v>
      </c>
      <c r="BH39" s="2" t="n">
        <f aca="false">(AB39-$B39)*$A39</f>
        <v>0.00013114391</v>
      </c>
      <c r="BI39" s="2" t="n">
        <f aca="false">(AC39-$B39)*$A39</f>
        <v>0</v>
      </c>
      <c r="BJ39" s="2" t="n">
        <f aca="false">(AD39-$B39)*$A39</f>
        <v>0.0009985486</v>
      </c>
      <c r="BK39" s="2" t="n">
        <f aca="false">(AE39-$B39)*$A39</f>
        <v>3.6401673E-005</v>
      </c>
      <c r="BL39" s="2" t="n">
        <f aca="false">(AF39-$B39)*$A39</f>
        <v>0</v>
      </c>
      <c r="BM39" s="2" t="n">
        <f aca="false">(AG39-$B39)*$A39</f>
        <v>0.00024042526</v>
      </c>
    </row>
    <row r="40" customFormat="false" ht="13.8" hidden="false" customHeight="false" outlineLevel="0" collapsed="false">
      <c r="A40" s="1" t="n">
        <f aca="false">1+A39</f>
        <v>38</v>
      </c>
      <c r="M40" s="3" t="n">
        <v>4.8832E-006</v>
      </c>
      <c r="N40" s="3" t="n">
        <v>4.85264E-007</v>
      </c>
      <c r="P40" s="3" t="n">
        <v>1.48241E-006</v>
      </c>
      <c r="R40" s="3" t="n">
        <v>1.42737E-006</v>
      </c>
      <c r="S40" s="3"/>
      <c r="T40" s="3"/>
      <c r="U40" s="3"/>
      <c r="V40" s="3"/>
      <c r="W40" s="3"/>
      <c r="X40" s="3"/>
      <c r="Y40" s="3"/>
      <c r="Z40" s="3" t="n">
        <v>1.63817E-006</v>
      </c>
      <c r="AA40" s="3" t="n">
        <v>3.47658E-006</v>
      </c>
      <c r="AB40" s="3"/>
      <c r="AC40" s="3"/>
      <c r="AD40" s="3" t="n">
        <v>1.75184E-005</v>
      </c>
      <c r="AE40" s="3"/>
      <c r="AF40" s="3"/>
      <c r="AG40" s="3" t="n">
        <v>4.4986E-006</v>
      </c>
      <c r="AI40" s="2" t="n">
        <f aca="false">(C40-$B40)*$A40</f>
        <v>0</v>
      </c>
      <c r="AJ40" s="2" t="n">
        <f aca="false">(D40-$B40)*$A40</f>
        <v>0</v>
      </c>
      <c r="AK40" s="2" t="n">
        <f aca="false">(E40-$B40)*$A40</f>
        <v>0</v>
      </c>
      <c r="AL40" s="2" t="n">
        <f aca="false">(F40-$B40)*$A40</f>
        <v>0</v>
      </c>
      <c r="AM40" s="2" t="n">
        <f aca="false">(G40-$B40)*$A40</f>
        <v>0</v>
      </c>
      <c r="AN40" s="2" t="n">
        <f aca="false">(H40-$B40)*$A40</f>
        <v>0</v>
      </c>
      <c r="AO40" s="2" t="n">
        <f aca="false">(I40-$B40)*$A40</f>
        <v>0</v>
      </c>
      <c r="AP40" s="2" t="n">
        <f aca="false">(J40-$B40)*$A40</f>
        <v>0</v>
      </c>
      <c r="AQ40" s="2" t="n">
        <f aca="false">(K40-$B40)*$A40</f>
        <v>0</v>
      </c>
      <c r="AR40" s="2" t="n">
        <f aca="false">(L40-$B40)*$A40</f>
        <v>0</v>
      </c>
      <c r="AS40" s="2" t="n">
        <f aca="false">(M40-$B40)*$A40</f>
        <v>0.0001855616</v>
      </c>
      <c r="AT40" s="2" t="n">
        <f aca="false">(N40-$B40)*$A40</f>
        <v>1.8440032E-005</v>
      </c>
      <c r="AU40" s="2" t="n">
        <f aca="false">(O40-$B40)*$A40</f>
        <v>0</v>
      </c>
      <c r="AV40" s="2" t="n">
        <f aca="false">(P40-$B40)*$A40</f>
        <v>5.633158E-005</v>
      </c>
      <c r="AW40" s="2" t="n">
        <f aca="false">(Q40-$B40)*$A40</f>
        <v>0</v>
      </c>
      <c r="AX40" s="2" t="n">
        <f aca="false">(R40-$B40)*$A40</f>
        <v>5.424006E-005</v>
      </c>
      <c r="AY40" s="2" t="n">
        <f aca="false">(S40-$B40)*$A40</f>
        <v>0</v>
      </c>
      <c r="AZ40" s="2" t="n">
        <f aca="false">(T40-$B40)*$A40</f>
        <v>0</v>
      </c>
      <c r="BA40" s="2" t="n">
        <f aca="false">(U40-$B40)*$A40</f>
        <v>0</v>
      </c>
      <c r="BB40" s="2" t="n">
        <f aca="false">(V40-$B40)*$A40</f>
        <v>0</v>
      </c>
      <c r="BC40" s="2" t="n">
        <f aca="false">(W40-$B40)*$A40</f>
        <v>0</v>
      </c>
      <c r="BD40" s="2" t="n">
        <f aca="false">(X40-$B40)*$A40</f>
        <v>0</v>
      </c>
      <c r="BE40" s="2" t="n">
        <f aca="false">(Y40-$B40)*$A40</f>
        <v>0</v>
      </c>
      <c r="BF40" s="2" t="n">
        <f aca="false">(Z40-$B40)*$A40</f>
        <v>6.225046E-005</v>
      </c>
      <c r="BG40" s="2" t="n">
        <f aca="false">(AA40-$B40)*$A40</f>
        <v>0.00013211004</v>
      </c>
      <c r="BH40" s="2" t="n">
        <f aca="false">(AB40-$B40)*$A40</f>
        <v>0</v>
      </c>
      <c r="BI40" s="2" t="n">
        <f aca="false">(AC40-$B40)*$A40</f>
        <v>0</v>
      </c>
      <c r="BJ40" s="2" t="n">
        <f aca="false">(AD40-$B40)*$A40</f>
        <v>0.0006656992</v>
      </c>
      <c r="BK40" s="2" t="n">
        <f aca="false">(AE40-$B40)*$A40</f>
        <v>0</v>
      </c>
      <c r="BL40" s="2" t="n">
        <f aca="false">(AF40-$B40)*$A40</f>
        <v>0</v>
      </c>
      <c r="BM40" s="2" t="n">
        <f aca="false">(AG40-$B40)*$A40</f>
        <v>0.0001709468</v>
      </c>
    </row>
    <row r="41" customFormat="false" ht="13.8" hidden="false" customHeight="false" outlineLevel="0" collapsed="false">
      <c r="A41" s="1" t="n">
        <f aca="false">1+A40</f>
        <v>39</v>
      </c>
      <c r="M41" s="3" t="n">
        <v>3.90656E-006</v>
      </c>
      <c r="P41" s="3" t="n">
        <v>4.94137E-007</v>
      </c>
      <c r="R41" s="3" t="n">
        <v>4.75791E-007</v>
      </c>
      <c r="S41" s="3"/>
      <c r="T41" s="3"/>
      <c r="U41" s="3"/>
      <c r="V41" s="3"/>
      <c r="W41" s="3"/>
      <c r="X41" s="3"/>
      <c r="Y41" s="3"/>
      <c r="Z41" s="3" t="n">
        <v>1.09212E-006</v>
      </c>
      <c r="AA41" s="3" t="n">
        <v>3.47658E-006</v>
      </c>
      <c r="AB41" s="3"/>
      <c r="AC41" s="3"/>
      <c r="AD41" s="3" t="n">
        <v>9.4694E-006</v>
      </c>
      <c r="AE41" s="3"/>
      <c r="AF41" s="3"/>
      <c r="AG41" s="3" t="n">
        <v>2.49922E-006</v>
      </c>
      <c r="AI41" s="2" t="n">
        <f aca="false">(C41-$B41)*$A41</f>
        <v>0</v>
      </c>
      <c r="AJ41" s="2" t="n">
        <f aca="false">(D41-$B41)*$A41</f>
        <v>0</v>
      </c>
      <c r="AK41" s="2" t="n">
        <f aca="false">(E41-$B41)*$A41</f>
        <v>0</v>
      </c>
      <c r="AL41" s="2" t="n">
        <f aca="false">(F41-$B41)*$A41</f>
        <v>0</v>
      </c>
      <c r="AM41" s="2" t="n">
        <f aca="false">(G41-$B41)*$A41</f>
        <v>0</v>
      </c>
      <c r="AN41" s="2" t="n">
        <f aca="false">(H41-$B41)*$A41</f>
        <v>0</v>
      </c>
      <c r="AO41" s="2" t="n">
        <f aca="false">(I41-$B41)*$A41</f>
        <v>0</v>
      </c>
      <c r="AP41" s="2" t="n">
        <f aca="false">(J41-$B41)*$A41</f>
        <v>0</v>
      </c>
      <c r="AQ41" s="2" t="n">
        <f aca="false">(K41-$B41)*$A41</f>
        <v>0</v>
      </c>
      <c r="AR41" s="2" t="n">
        <f aca="false">(L41-$B41)*$A41</f>
        <v>0</v>
      </c>
      <c r="AS41" s="2" t="n">
        <f aca="false">(M41-$B41)*$A41</f>
        <v>0.00015235584</v>
      </c>
      <c r="AT41" s="2" t="n">
        <f aca="false">(N41-$B41)*$A41</f>
        <v>0</v>
      </c>
      <c r="AU41" s="2" t="n">
        <f aca="false">(O41-$B41)*$A41</f>
        <v>0</v>
      </c>
      <c r="AV41" s="2" t="n">
        <f aca="false">(P41-$B41)*$A41</f>
        <v>1.9271343E-005</v>
      </c>
      <c r="AW41" s="2" t="n">
        <f aca="false">(Q41-$B41)*$A41</f>
        <v>0</v>
      </c>
      <c r="AX41" s="2" t="n">
        <f aca="false">(R41-$B41)*$A41</f>
        <v>1.8555849E-005</v>
      </c>
      <c r="AY41" s="2" t="n">
        <f aca="false">(S41-$B41)*$A41</f>
        <v>0</v>
      </c>
      <c r="AZ41" s="2" t="n">
        <f aca="false">(T41-$B41)*$A41</f>
        <v>0</v>
      </c>
      <c r="BA41" s="2" t="n">
        <f aca="false">(U41-$B41)*$A41</f>
        <v>0</v>
      </c>
      <c r="BB41" s="2" t="n">
        <f aca="false">(V41-$B41)*$A41</f>
        <v>0</v>
      </c>
      <c r="BC41" s="2" t="n">
        <f aca="false">(W41-$B41)*$A41</f>
        <v>0</v>
      </c>
      <c r="BD41" s="2" t="n">
        <f aca="false">(X41-$B41)*$A41</f>
        <v>0</v>
      </c>
      <c r="BE41" s="2" t="n">
        <f aca="false">(Y41-$B41)*$A41</f>
        <v>0</v>
      </c>
      <c r="BF41" s="2" t="n">
        <f aca="false">(Z41-$B41)*$A41</f>
        <v>4.259268E-005</v>
      </c>
      <c r="BG41" s="2" t="n">
        <f aca="false">(AA41-$B41)*$A41</f>
        <v>0.00013558662</v>
      </c>
      <c r="BH41" s="2" t="n">
        <f aca="false">(AB41-$B41)*$A41</f>
        <v>0</v>
      </c>
      <c r="BI41" s="2" t="n">
        <f aca="false">(AC41-$B41)*$A41</f>
        <v>0</v>
      </c>
      <c r="BJ41" s="2" t="n">
        <f aca="false">(AD41-$B41)*$A41</f>
        <v>0.0003693066</v>
      </c>
      <c r="BK41" s="2" t="n">
        <f aca="false">(AE41-$B41)*$A41</f>
        <v>0</v>
      </c>
      <c r="BL41" s="2" t="n">
        <f aca="false">(AF41-$B41)*$A41</f>
        <v>0</v>
      </c>
      <c r="BM41" s="2" t="n">
        <f aca="false">(AG41-$B41)*$A41</f>
        <v>9.746958E-005</v>
      </c>
    </row>
    <row r="42" customFormat="false" ht="13.8" hidden="false" customHeight="false" outlineLevel="0" collapsed="false">
      <c r="A42" s="1" t="n">
        <f aca="false">1+A41</f>
        <v>40</v>
      </c>
      <c r="M42" s="3" t="n">
        <v>1.46496E-006</v>
      </c>
      <c r="W42" s="3"/>
      <c r="X42" s="3"/>
      <c r="Y42" s="3"/>
      <c r="Z42" s="3"/>
      <c r="AA42" s="3" t="n">
        <v>1.48996E-006</v>
      </c>
      <c r="AB42" s="3"/>
      <c r="AC42" s="3"/>
      <c r="AD42" s="3" t="n">
        <v>3.78776E-006</v>
      </c>
      <c r="AE42" s="3"/>
      <c r="AF42" s="3"/>
      <c r="AG42" s="3" t="n">
        <v>4.99844E-007</v>
      </c>
      <c r="AI42" s="2" t="n">
        <f aca="false">(C42-$B42)*$A42</f>
        <v>0</v>
      </c>
      <c r="AJ42" s="2" t="n">
        <f aca="false">(D42-$B42)*$A42</f>
        <v>0</v>
      </c>
      <c r="AK42" s="2" t="n">
        <f aca="false">(E42-$B42)*$A42</f>
        <v>0</v>
      </c>
      <c r="AL42" s="2" t="n">
        <f aca="false">(F42-$B42)*$A42</f>
        <v>0</v>
      </c>
      <c r="AM42" s="2" t="n">
        <f aca="false">(G42-$B42)*$A42</f>
        <v>0</v>
      </c>
      <c r="AN42" s="2" t="n">
        <f aca="false">(H42-$B42)*$A42</f>
        <v>0</v>
      </c>
      <c r="AO42" s="2" t="n">
        <f aca="false">(I42-$B42)*$A42</f>
        <v>0</v>
      </c>
      <c r="AP42" s="2" t="n">
        <f aca="false">(J42-$B42)*$A42</f>
        <v>0</v>
      </c>
      <c r="AQ42" s="2" t="n">
        <f aca="false">(K42-$B42)*$A42</f>
        <v>0</v>
      </c>
      <c r="AR42" s="2" t="n">
        <f aca="false">(L42-$B42)*$A42</f>
        <v>0</v>
      </c>
      <c r="AS42" s="2" t="n">
        <f aca="false">(M42-$B42)*$A42</f>
        <v>5.85984E-005</v>
      </c>
      <c r="AT42" s="2" t="n">
        <f aca="false">(N42-$B42)*$A42</f>
        <v>0</v>
      </c>
      <c r="AU42" s="2" t="n">
        <f aca="false">(O42-$B42)*$A42</f>
        <v>0</v>
      </c>
      <c r="AV42" s="2" t="n">
        <f aca="false">(P42-$B42)*$A42</f>
        <v>0</v>
      </c>
      <c r="AW42" s="2" t="n">
        <f aca="false">(Q42-$B42)*$A42</f>
        <v>0</v>
      </c>
      <c r="AX42" s="2" t="n">
        <f aca="false">(R42-$B42)*$A42</f>
        <v>0</v>
      </c>
      <c r="AY42" s="2" t="n">
        <f aca="false">(S42-$B42)*$A42</f>
        <v>0</v>
      </c>
      <c r="AZ42" s="2" t="n">
        <f aca="false">(T42-$B42)*$A42</f>
        <v>0</v>
      </c>
      <c r="BA42" s="2" t="n">
        <f aca="false">(U42-$B42)*$A42</f>
        <v>0</v>
      </c>
      <c r="BB42" s="2" t="n">
        <f aca="false">(V42-$B42)*$A42</f>
        <v>0</v>
      </c>
      <c r="BC42" s="2" t="n">
        <f aca="false">(W42-$B42)*$A42</f>
        <v>0</v>
      </c>
      <c r="BD42" s="2" t="n">
        <f aca="false">(X42-$B42)*$A42</f>
        <v>0</v>
      </c>
      <c r="BE42" s="2" t="n">
        <f aca="false">(Y42-$B42)*$A42</f>
        <v>0</v>
      </c>
      <c r="BF42" s="2" t="n">
        <f aca="false">(Z42-$B42)*$A42</f>
        <v>0</v>
      </c>
      <c r="BG42" s="2" t="n">
        <f aca="false">(AA42-$B42)*$A42</f>
        <v>5.95984E-005</v>
      </c>
      <c r="BH42" s="2" t="n">
        <f aca="false">(AB42-$B42)*$A42</f>
        <v>0</v>
      </c>
      <c r="BI42" s="2" t="n">
        <f aca="false">(AC42-$B42)*$A42</f>
        <v>0</v>
      </c>
      <c r="BJ42" s="2" t="n">
        <f aca="false">(AD42-$B42)*$A42</f>
        <v>0.0001515104</v>
      </c>
      <c r="BK42" s="2" t="n">
        <f aca="false">(AE42-$B42)*$A42</f>
        <v>0</v>
      </c>
      <c r="BL42" s="2" t="n">
        <f aca="false">(AF42-$B42)*$A42</f>
        <v>0</v>
      </c>
      <c r="BM42" s="2" t="n">
        <f aca="false">(AG42-$B42)*$A42</f>
        <v>1.999376E-005</v>
      </c>
    </row>
    <row r="43" customFormat="false" ht="13.8" hidden="false" customHeight="false" outlineLevel="0" collapsed="false">
      <c r="A43" s="1" t="n">
        <f aca="false">1+A42</f>
        <v>41</v>
      </c>
      <c r="M43" s="3" t="n">
        <v>9.7664E-007</v>
      </c>
      <c r="W43" s="3"/>
      <c r="X43" s="3"/>
      <c r="Y43" s="3"/>
      <c r="Z43" s="3"/>
      <c r="AA43" s="3" t="n">
        <v>4.96654E-007</v>
      </c>
      <c r="AB43" s="3"/>
      <c r="AC43" s="3"/>
      <c r="AD43" s="3" t="n">
        <v>9.4694E-007</v>
      </c>
      <c r="AE43" s="3"/>
      <c r="AF43" s="3"/>
      <c r="AG43" s="3"/>
      <c r="AI43" s="2" t="n">
        <f aca="false">(C43-$B43)*$A43</f>
        <v>0</v>
      </c>
      <c r="AJ43" s="2" t="n">
        <f aca="false">(D43-$B43)*$A43</f>
        <v>0</v>
      </c>
      <c r="AK43" s="2" t="n">
        <f aca="false">(E43-$B43)*$A43</f>
        <v>0</v>
      </c>
      <c r="AL43" s="2" t="n">
        <f aca="false">(F43-$B43)*$A43</f>
        <v>0</v>
      </c>
      <c r="AM43" s="2" t="n">
        <f aca="false">(G43-$B43)*$A43</f>
        <v>0</v>
      </c>
      <c r="AN43" s="2" t="n">
        <f aca="false">(H43-$B43)*$A43</f>
        <v>0</v>
      </c>
      <c r="AO43" s="2" t="n">
        <f aca="false">(I43-$B43)*$A43</f>
        <v>0</v>
      </c>
      <c r="AP43" s="2" t="n">
        <f aca="false">(J43-$B43)*$A43</f>
        <v>0</v>
      </c>
      <c r="AQ43" s="2" t="n">
        <f aca="false">(K43-$B43)*$A43</f>
        <v>0</v>
      </c>
      <c r="AR43" s="2" t="n">
        <f aca="false">(L43-$B43)*$A43</f>
        <v>0</v>
      </c>
      <c r="AS43" s="2" t="n">
        <f aca="false">(M43-$B43)*$A43</f>
        <v>4.004224E-005</v>
      </c>
      <c r="AT43" s="2" t="n">
        <f aca="false">(N43-$B43)*$A43</f>
        <v>0</v>
      </c>
      <c r="AU43" s="2" t="n">
        <f aca="false">(O43-$B43)*$A43</f>
        <v>0</v>
      </c>
      <c r="AV43" s="2" t="n">
        <f aca="false">(P43-$B43)*$A43</f>
        <v>0</v>
      </c>
      <c r="AW43" s="2" t="n">
        <f aca="false">(Q43-$B43)*$A43</f>
        <v>0</v>
      </c>
      <c r="AX43" s="2" t="n">
        <f aca="false">(R43-$B43)*$A43</f>
        <v>0</v>
      </c>
      <c r="AY43" s="2" t="n">
        <f aca="false">(S43-$B43)*$A43</f>
        <v>0</v>
      </c>
      <c r="AZ43" s="2" t="n">
        <f aca="false">(T43-$B43)*$A43</f>
        <v>0</v>
      </c>
      <c r="BA43" s="2" t="n">
        <f aca="false">(U43-$B43)*$A43</f>
        <v>0</v>
      </c>
      <c r="BB43" s="2" t="n">
        <f aca="false">(V43-$B43)*$A43</f>
        <v>0</v>
      </c>
      <c r="BC43" s="2" t="n">
        <f aca="false">(W43-$B43)*$A43</f>
        <v>0</v>
      </c>
      <c r="BD43" s="2" t="n">
        <f aca="false">(X43-$B43)*$A43</f>
        <v>0</v>
      </c>
      <c r="BE43" s="2" t="n">
        <f aca="false">(Y43-$B43)*$A43</f>
        <v>0</v>
      </c>
      <c r="BF43" s="2" t="n">
        <f aca="false">(Z43-$B43)*$A43</f>
        <v>0</v>
      </c>
      <c r="BG43" s="2" t="n">
        <f aca="false">(AA43-$B43)*$A43</f>
        <v>2.0362814E-005</v>
      </c>
      <c r="BH43" s="2" t="n">
        <f aca="false">(AB43-$B43)*$A43</f>
        <v>0</v>
      </c>
      <c r="BI43" s="2" t="n">
        <f aca="false">(AC43-$B43)*$A43</f>
        <v>0</v>
      </c>
      <c r="BJ43" s="2" t="n">
        <f aca="false">(AD43-$B43)*$A43</f>
        <v>3.882454E-005</v>
      </c>
      <c r="BK43" s="2" t="n">
        <f aca="false">(AE43-$B43)*$A43</f>
        <v>0</v>
      </c>
      <c r="BL43" s="2" t="n">
        <f aca="false">(AF43-$B43)*$A43</f>
        <v>0</v>
      </c>
      <c r="BM43" s="2" t="n">
        <f aca="false">(AG43-$B43)*$A43</f>
        <v>0</v>
      </c>
    </row>
    <row r="44" customFormat="false" ht="13.8" hidden="false" customHeight="false" outlineLevel="0" collapsed="false">
      <c r="A44" s="1" t="n">
        <f aca="false">1+A43</f>
        <v>42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I44" s="2" t="n">
        <f aca="false">(C44-$B44)*$A44</f>
        <v>0</v>
      </c>
      <c r="AJ44" s="2" t="n">
        <f aca="false">(D44-$B44)*$A44</f>
        <v>0</v>
      </c>
      <c r="AK44" s="2" t="n">
        <f aca="false">(E44-$B44)*$A44</f>
        <v>0</v>
      </c>
      <c r="AL44" s="2" t="n">
        <f aca="false">(F44-$B44)*$A44</f>
        <v>0</v>
      </c>
      <c r="AM44" s="2" t="n">
        <f aca="false">(G44-$B44)*$A44</f>
        <v>0</v>
      </c>
      <c r="AN44" s="2" t="n">
        <f aca="false">(H44-$B44)*$A44</f>
        <v>0</v>
      </c>
      <c r="AO44" s="2" t="n">
        <f aca="false">(I44-$B44)*$A44</f>
        <v>0</v>
      </c>
      <c r="AP44" s="2" t="n">
        <f aca="false">(J44-$B44)*$A44</f>
        <v>0</v>
      </c>
      <c r="AQ44" s="2" t="n">
        <f aca="false">(K44-$B44)*$A44</f>
        <v>0</v>
      </c>
      <c r="AR44" s="2" t="n">
        <f aca="false">(L44-$B44)*$A44</f>
        <v>0</v>
      </c>
      <c r="AS44" s="2" t="n">
        <f aca="false">(M44-$B44)*$A44</f>
        <v>0</v>
      </c>
      <c r="AT44" s="2" t="n">
        <f aca="false">(N44-$B44)*$A44</f>
        <v>0</v>
      </c>
      <c r="AU44" s="2" t="n">
        <f aca="false">(O44-$B44)*$A44</f>
        <v>0</v>
      </c>
      <c r="AV44" s="2" t="n">
        <f aca="false">(P44-$B44)*$A44</f>
        <v>0</v>
      </c>
      <c r="AW44" s="2" t="n">
        <f aca="false">(Q44-$B44)*$A44</f>
        <v>0</v>
      </c>
      <c r="AX44" s="2" t="n">
        <f aca="false">(R44-$B44)*$A44</f>
        <v>0</v>
      </c>
      <c r="AY44" s="2" t="n">
        <f aca="false">(S44-$B44)*$A44</f>
        <v>0</v>
      </c>
      <c r="AZ44" s="2" t="n">
        <f aca="false">(T44-$B44)*$A44</f>
        <v>0</v>
      </c>
      <c r="BA44" s="2" t="n">
        <f aca="false">(U44-$B44)*$A44</f>
        <v>0</v>
      </c>
      <c r="BB44" s="2" t="n">
        <f aca="false">(V44-$B44)*$A44</f>
        <v>0</v>
      </c>
      <c r="BC44" s="2" t="n">
        <f aca="false">(W44-$B44)*$A44</f>
        <v>0</v>
      </c>
      <c r="BD44" s="2" t="n">
        <f aca="false">(X44-$B44)*$A44</f>
        <v>0</v>
      </c>
      <c r="BE44" s="2" t="n">
        <f aca="false">(Y44-$B44)*$A44</f>
        <v>0</v>
      </c>
      <c r="BF44" s="2" t="n">
        <f aca="false">(Z44-$B44)*$A44</f>
        <v>0</v>
      </c>
      <c r="BG44" s="2" t="n">
        <f aca="false">(AA44-$B44)*$A44</f>
        <v>0</v>
      </c>
      <c r="BH44" s="2" t="n">
        <f aca="false">(AB44-$B44)*$A44</f>
        <v>0</v>
      </c>
      <c r="BI44" s="2" t="n">
        <f aca="false">(AC44-$B44)*$A44</f>
        <v>0</v>
      </c>
      <c r="BJ44" s="2" t="n">
        <f aca="false">(AD44-$B44)*$A44</f>
        <v>0</v>
      </c>
      <c r="BK44" s="2" t="n">
        <f aca="false">(AE44-$B44)*$A44</f>
        <v>0</v>
      </c>
      <c r="BL44" s="2" t="n">
        <f aca="false">(AF44-$B44)*$A44</f>
        <v>0</v>
      </c>
      <c r="BM44" s="2" t="n">
        <f aca="false">(AG44-$B44)*$A44</f>
        <v>0</v>
      </c>
    </row>
    <row r="45" customFormat="false" ht="13.8" hidden="false" customHeight="false" outlineLevel="0" collapsed="false">
      <c r="A45" s="1" t="n">
        <f aca="false">1+A44</f>
        <v>43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I45" s="2" t="n">
        <f aca="false">(C45-$B45)*$A45</f>
        <v>0</v>
      </c>
      <c r="AJ45" s="2" t="n">
        <f aca="false">(D45-$B45)*$A45</f>
        <v>0</v>
      </c>
      <c r="AK45" s="2" t="n">
        <f aca="false">(E45-$B45)*$A45</f>
        <v>0</v>
      </c>
      <c r="AL45" s="2" t="n">
        <f aca="false">(F45-$B45)*$A45</f>
        <v>0</v>
      </c>
      <c r="AM45" s="2" t="n">
        <f aca="false">(G45-$B45)*$A45</f>
        <v>0</v>
      </c>
      <c r="AN45" s="2" t="n">
        <f aca="false">(H45-$B45)*$A45</f>
        <v>0</v>
      </c>
      <c r="AO45" s="2" t="n">
        <f aca="false">(I45-$B45)*$A45</f>
        <v>0</v>
      </c>
      <c r="AP45" s="2" t="n">
        <f aca="false">(J45-$B45)*$A45</f>
        <v>0</v>
      </c>
      <c r="AQ45" s="2" t="n">
        <f aca="false">(K45-$B45)*$A45</f>
        <v>0</v>
      </c>
      <c r="AR45" s="2" t="n">
        <f aca="false">(L45-$B45)*$A45</f>
        <v>0</v>
      </c>
      <c r="AS45" s="2" t="n">
        <f aca="false">(M45-$B45)*$A45</f>
        <v>0</v>
      </c>
      <c r="AT45" s="2" t="n">
        <f aca="false">(N45-$B45)*$A45</f>
        <v>0</v>
      </c>
      <c r="AU45" s="2" t="n">
        <f aca="false">(O45-$B45)*$A45</f>
        <v>0</v>
      </c>
      <c r="AV45" s="2" t="n">
        <f aca="false">(P45-$B45)*$A45</f>
        <v>0</v>
      </c>
      <c r="AW45" s="2" t="n">
        <f aca="false">(Q45-$B45)*$A45</f>
        <v>0</v>
      </c>
      <c r="AX45" s="2" t="n">
        <f aca="false">(R45-$B45)*$A45</f>
        <v>0</v>
      </c>
      <c r="AY45" s="2" t="n">
        <f aca="false">(S45-$B45)*$A45</f>
        <v>0</v>
      </c>
      <c r="AZ45" s="2" t="n">
        <f aca="false">(T45-$B45)*$A45</f>
        <v>0</v>
      </c>
      <c r="BA45" s="2" t="n">
        <f aca="false">(U45-$B45)*$A45</f>
        <v>0</v>
      </c>
      <c r="BB45" s="2" t="n">
        <f aca="false">(V45-$B45)*$A45</f>
        <v>0</v>
      </c>
      <c r="BC45" s="2" t="n">
        <f aca="false">(W45-$B45)*$A45</f>
        <v>0</v>
      </c>
      <c r="BD45" s="2" t="n">
        <f aca="false">(X45-$B45)*$A45</f>
        <v>0</v>
      </c>
      <c r="BE45" s="2" t="n">
        <f aca="false">(Y45-$B45)*$A45</f>
        <v>0</v>
      </c>
      <c r="BF45" s="2" t="n">
        <f aca="false">(Z45-$B45)*$A45</f>
        <v>0</v>
      </c>
      <c r="BG45" s="2" t="n">
        <f aca="false">(AA45-$B45)*$A45</f>
        <v>0</v>
      </c>
      <c r="BH45" s="2" t="n">
        <f aca="false">(AB45-$B45)*$A45</f>
        <v>0</v>
      </c>
      <c r="BI45" s="2" t="n">
        <f aca="false">(AC45-$B45)*$A45</f>
        <v>0</v>
      </c>
      <c r="BJ45" s="2" t="n">
        <f aca="false">(AD45-$B45)*$A45</f>
        <v>0</v>
      </c>
      <c r="BK45" s="2" t="n">
        <f aca="false">(AE45-$B45)*$A45</f>
        <v>0</v>
      </c>
      <c r="BL45" s="2" t="n">
        <f aca="false">(AF45-$B45)*$A45</f>
        <v>0</v>
      </c>
      <c r="BM45" s="2" t="n">
        <f aca="false">(AG45-$B45)*$A45</f>
        <v>0</v>
      </c>
    </row>
    <row r="46" customFormat="false" ht="13.8" hidden="false" customHeight="false" outlineLevel="0" collapsed="false">
      <c r="A46" s="1" t="n">
        <f aca="false">1+A45</f>
        <v>44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I46" s="2" t="n">
        <f aca="false">(C46-$B46)*$A46</f>
        <v>0</v>
      </c>
      <c r="AJ46" s="2" t="n">
        <f aca="false">(D46-$B46)*$A46</f>
        <v>0</v>
      </c>
      <c r="AK46" s="2" t="n">
        <f aca="false">(E46-$B46)*$A46</f>
        <v>0</v>
      </c>
      <c r="AL46" s="2" t="n">
        <f aca="false">(F46-$B46)*$A46</f>
        <v>0</v>
      </c>
      <c r="AM46" s="2" t="n">
        <f aca="false">(G46-$B46)*$A46</f>
        <v>0</v>
      </c>
      <c r="AN46" s="2" t="n">
        <f aca="false">(H46-$B46)*$A46</f>
        <v>0</v>
      </c>
      <c r="AO46" s="2" t="n">
        <f aca="false">(I46-$B46)*$A46</f>
        <v>0</v>
      </c>
      <c r="AP46" s="2" t="n">
        <f aca="false">(J46-$B46)*$A46</f>
        <v>0</v>
      </c>
      <c r="AQ46" s="2" t="n">
        <f aca="false">(K46-$B46)*$A46</f>
        <v>0</v>
      </c>
      <c r="AR46" s="2" t="n">
        <f aca="false">(L46-$B46)*$A46</f>
        <v>0</v>
      </c>
      <c r="AS46" s="2" t="n">
        <f aca="false">(M46-$B46)*$A46</f>
        <v>0</v>
      </c>
      <c r="AT46" s="2" t="n">
        <f aca="false">(N46-$B46)*$A46</f>
        <v>0</v>
      </c>
      <c r="AU46" s="2" t="n">
        <f aca="false">(O46-$B46)*$A46</f>
        <v>0</v>
      </c>
      <c r="AV46" s="2" t="n">
        <f aca="false">(P46-$B46)*$A46</f>
        <v>0</v>
      </c>
      <c r="AW46" s="2" t="n">
        <f aca="false">(Q46-$B46)*$A46</f>
        <v>0</v>
      </c>
      <c r="AX46" s="2" t="n">
        <f aca="false">(R46-$B46)*$A46</f>
        <v>0</v>
      </c>
      <c r="AY46" s="2" t="n">
        <f aca="false">(S46-$B46)*$A46</f>
        <v>0</v>
      </c>
      <c r="AZ46" s="2" t="n">
        <f aca="false">(T46-$B46)*$A46</f>
        <v>0</v>
      </c>
      <c r="BA46" s="2" t="n">
        <f aca="false">(U46-$B46)*$A46</f>
        <v>0</v>
      </c>
      <c r="BB46" s="2" t="n">
        <f aca="false">(V46-$B46)*$A46</f>
        <v>0</v>
      </c>
      <c r="BC46" s="2" t="n">
        <f aca="false">(W46-$B46)*$A46</f>
        <v>0</v>
      </c>
      <c r="BD46" s="2" t="n">
        <f aca="false">(X46-$B46)*$A46</f>
        <v>0</v>
      </c>
      <c r="BE46" s="2" t="n">
        <f aca="false">(Y46-$B46)*$A46</f>
        <v>0</v>
      </c>
      <c r="BF46" s="2" t="n">
        <f aca="false">(Z46-$B46)*$A46</f>
        <v>0</v>
      </c>
      <c r="BG46" s="2" t="n">
        <f aca="false">(AA46-$B46)*$A46</f>
        <v>0</v>
      </c>
      <c r="BH46" s="2" t="n">
        <f aca="false">(AB46-$B46)*$A46</f>
        <v>0</v>
      </c>
      <c r="BI46" s="2" t="n">
        <f aca="false">(AC46-$B46)*$A46</f>
        <v>0</v>
      </c>
      <c r="BJ46" s="2" t="n">
        <f aca="false">(AD46-$B46)*$A46</f>
        <v>0</v>
      </c>
      <c r="BK46" s="2" t="n">
        <f aca="false">(AE46-$B46)*$A46</f>
        <v>0</v>
      </c>
      <c r="BL46" s="2" t="n">
        <f aca="false">(AF46-$B46)*$A46</f>
        <v>0</v>
      </c>
      <c r="BM46" s="2" t="n">
        <f aca="false">(AG46-$B46)*$A46</f>
        <v>0</v>
      </c>
    </row>
    <row r="47" customFormat="false" ht="13.8" hidden="false" customHeight="false" outlineLevel="0" collapsed="false">
      <c r="A47" s="1" t="n">
        <f aca="false">1+A46</f>
        <v>45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I47" s="2" t="n">
        <f aca="false">(C47-$B47)*$A47</f>
        <v>0</v>
      </c>
      <c r="AJ47" s="2" t="n">
        <f aca="false">(D47-$B47)*$A47</f>
        <v>0</v>
      </c>
      <c r="AK47" s="2" t="n">
        <f aca="false">(E47-$B47)*$A47</f>
        <v>0</v>
      </c>
      <c r="AL47" s="2" t="n">
        <f aca="false">(F47-$B47)*$A47</f>
        <v>0</v>
      </c>
      <c r="AM47" s="2" t="n">
        <f aca="false">(G47-$B47)*$A47</f>
        <v>0</v>
      </c>
      <c r="AN47" s="2" t="n">
        <f aca="false">(H47-$B47)*$A47</f>
        <v>0</v>
      </c>
      <c r="AO47" s="2" t="n">
        <f aca="false">(I47-$B47)*$A47</f>
        <v>0</v>
      </c>
      <c r="AP47" s="2" t="n">
        <f aca="false">(J47-$B47)*$A47</f>
        <v>0</v>
      </c>
      <c r="AQ47" s="2" t="n">
        <f aca="false">(K47-$B47)*$A47</f>
        <v>0</v>
      </c>
      <c r="AR47" s="2" t="n">
        <f aca="false">(L47-$B47)*$A47</f>
        <v>0</v>
      </c>
      <c r="AS47" s="2" t="n">
        <f aca="false">(M47-$B47)*$A47</f>
        <v>0</v>
      </c>
      <c r="AT47" s="2" t="n">
        <f aca="false">(N47-$B47)*$A47</f>
        <v>0</v>
      </c>
      <c r="AU47" s="2" t="n">
        <f aca="false">(O47-$B47)*$A47</f>
        <v>0</v>
      </c>
      <c r="AV47" s="2" t="n">
        <f aca="false">(P47-$B47)*$A47</f>
        <v>0</v>
      </c>
      <c r="AW47" s="2" t="n">
        <f aca="false">(Q47-$B47)*$A47</f>
        <v>0</v>
      </c>
      <c r="AX47" s="2" t="n">
        <f aca="false">(R47-$B47)*$A47</f>
        <v>0</v>
      </c>
      <c r="AY47" s="2" t="n">
        <f aca="false">(S47-$B47)*$A47</f>
        <v>0</v>
      </c>
      <c r="AZ47" s="2" t="n">
        <f aca="false">(T47-$B47)*$A47</f>
        <v>0</v>
      </c>
      <c r="BA47" s="2" t="n">
        <f aca="false">(U47-$B47)*$A47</f>
        <v>0</v>
      </c>
      <c r="BB47" s="2" t="n">
        <f aca="false">(V47-$B47)*$A47</f>
        <v>0</v>
      </c>
      <c r="BC47" s="2" t="n">
        <f aca="false">(W47-$B47)*$A47</f>
        <v>0</v>
      </c>
      <c r="BD47" s="2" t="n">
        <f aca="false">(X47-$B47)*$A47</f>
        <v>0</v>
      </c>
      <c r="BE47" s="2" t="n">
        <f aca="false">(Y47-$B47)*$A47</f>
        <v>0</v>
      </c>
      <c r="BF47" s="2" t="n">
        <f aca="false">(Z47-$B47)*$A47</f>
        <v>0</v>
      </c>
      <c r="BG47" s="2" t="n">
        <f aca="false">(AA47-$B47)*$A47</f>
        <v>0</v>
      </c>
      <c r="BH47" s="2" t="n">
        <f aca="false">(AB47-$B47)*$A47</f>
        <v>0</v>
      </c>
      <c r="BI47" s="2" t="n">
        <f aca="false">(AC47-$B47)*$A47</f>
        <v>0</v>
      </c>
      <c r="BJ47" s="2" t="n">
        <f aca="false">(AD47-$B47)*$A47</f>
        <v>0</v>
      </c>
      <c r="BK47" s="2" t="n">
        <f aca="false">(AE47-$B47)*$A47</f>
        <v>0</v>
      </c>
      <c r="BL47" s="2" t="n">
        <f aca="false">(AF47-$B47)*$A47</f>
        <v>0</v>
      </c>
      <c r="BM47" s="2" t="n">
        <f aca="false">(AG47-$B47)*$A47</f>
        <v>0</v>
      </c>
    </row>
    <row r="48" customFormat="false" ht="13.8" hidden="false" customHeight="false" outlineLevel="0" collapsed="false">
      <c r="A48" s="1" t="n">
        <f aca="false">1+A47</f>
        <v>46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I48" s="2" t="n">
        <f aca="false">(C48-$B48)*$A48</f>
        <v>0</v>
      </c>
      <c r="AJ48" s="2" t="n">
        <f aca="false">(D48-$B48)*$A48</f>
        <v>0</v>
      </c>
      <c r="AK48" s="2" t="n">
        <f aca="false">(E48-$B48)*$A48</f>
        <v>0</v>
      </c>
      <c r="AL48" s="2" t="n">
        <f aca="false">(F48-$B48)*$A48</f>
        <v>0</v>
      </c>
      <c r="AM48" s="2" t="n">
        <f aca="false">(G48-$B48)*$A48</f>
        <v>0</v>
      </c>
      <c r="AN48" s="2" t="n">
        <f aca="false">(H48-$B48)*$A48</f>
        <v>0</v>
      </c>
      <c r="AO48" s="2" t="n">
        <f aca="false">(I48-$B48)*$A48</f>
        <v>0</v>
      </c>
      <c r="AP48" s="2" t="n">
        <f aca="false">(J48-$B48)*$A48</f>
        <v>0</v>
      </c>
      <c r="AQ48" s="2" t="n">
        <f aca="false">(K48-$B48)*$A48</f>
        <v>0</v>
      </c>
      <c r="AR48" s="2" t="n">
        <f aca="false">(L48-$B48)*$A48</f>
        <v>0</v>
      </c>
      <c r="AS48" s="2" t="n">
        <f aca="false">(M48-$B48)*$A48</f>
        <v>0</v>
      </c>
      <c r="AT48" s="2" t="n">
        <f aca="false">(N48-$B48)*$A48</f>
        <v>0</v>
      </c>
      <c r="AU48" s="2" t="n">
        <f aca="false">(O48-$B48)*$A48</f>
        <v>0</v>
      </c>
      <c r="AV48" s="2" t="n">
        <f aca="false">(P48-$B48)*$A48</f>
        <v>0</v>
      </c>
      <c r="AW48" s="2" t="n">
        <f aca="false">(Q48-$B48)*$A48</f>
        <v>0</v>
      </c>
      <c r="AX48" s="2" t="n">
        <f aca="false">(R48-$B48)*$A48</f>
        <v>0</v>
      </c>
      <c r="AY48" s="2" t="n">
        <f aca="false">(S48-$B48)*$A48</f>
        <v>0</v>
      </c>
      <c r="AZ48" s="2" t="n">
        <f aca="false">(T48-$B48)*$A48</f>
        <v>0</v>
      </c>
      <c r="BA48" s="2" t="n">
        <f aca="false">(U48-$B48)*$A48</f>
        <v>0</v>
      </c>
      <c r="BB48" s="2" t="n">
        <f aca="false">(V48-$B48)*$A48</f>
        <v>0</v>
      </c>
      <c r="BC48" s="2" t="n">
        <f aca="false">(W48-$B48)*$A48</f>
        <v>0</v>
      </c>
      <c r="BD48" s="2" t="n">
        <f aca="false">(X48-$B48)*$A48</f>
        <v>0</v>
      </c>
      <c r="BE48" s="2" t="n">
        <f aca="false">(Y48-$B48)*$A48</f>
        <v>0</v>
      </c>
      <c r="BF48" s="2" t="n">
        <f aca="false">(Z48-$B48)*$A48</f>
        <v>0</v>
      </c>
      <c r="BG48" s="2" t="n">
        <f aca="false">(AA48-$B48)*$A48</f>
        <v>0</v>
      </c>
      <c r="BH48" s="2" t="n">
        <f aca="false">(AB48-$B48)*$A48</f>
        <v>0</v>
      </c>
      <c r="BI48" s="2" t="n">
        <f aca="false">(AC48-$B48)*$A48</f>
        <v>0</v>
      </c>
      <c r="BJ48" s="2" t="n">
        <f aca="false">(AD48-$B48)*$A48</f>
        <v>0</v>
      </c>
      <c r="BK48" s="2" t="n">
        <f aca="false">(AE48-$B48)*$A48</f>
        <v>0</v>
      </c>
      <c r="BL48" s="2" t="n">
        <f aca="false">(AF48-$B48)*$A48</f>
        <v>0</v>
      </c>
      <c r="BM48" s="2" t="n">
        <f aca="false">(AG48-$B48)*$A48</f>
        <v>0</v>
      </c>
    </row>
    <row r="49" customFormat="false" ht="13.8" hidden="false" customHeight="false" outlineLevel="0" collapsed="false">
      <c r="A49" s="1" t="n">
        <f aca="false">1+A48</f>
        <v>47</v>
      </c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I49" s="2" t="n">
        <f aca="false">(C49-$B49)*$A49</f>
        <v>0</v>
      </c>
      <c r="AJ49" s="2" t="n">
        <f aca="false">(D49-$B49)*$A49</f>
        <v>0</v>
      </c>
      <c r="AK49" s="2" t="n">
        <f aca="false">(E49-$B49)*$A49</f>
        <v>0</v>
      </c>
      <c r="AL49" s="2" t="n">
        <f aca="false">(F49-$B49)*$A49</f>
        <v>0</v>
      </c>
      <c r="AM49" s="2" t="n">
        <f aca="false">(G49-$B49)*$A49</f>
        <v>0</v>
      </c>
      <c r="AN49" s="2" t="n">
        <f aca="false">(H49-$B49)*$A49</f>
        <v>0</v>
      </c>
      <c r="AO49" s="2" t="n">
        <f aca="false">(I49-$B49)*$A49</f>
        <v>0</v>
      </c>
      <c r="AP49" s="2" t="n">
        <f aca="false">(J49-$B49)*$A49</f>
        <v>0</v>
      </c>
      <c r="AQ49" s="2" t="n">
        <f aca="false">(K49-$B49)*$A49</f>
        <v>0</v>
      </c>
      <c r="AR49" s="2" t="n">
        <f aca="false">(L49-$B49)*$A49</f>
        <v>0</v>
      </c>
      <c r="AS49" s="2" t="n">
        <f aca="false">(M49-$B49)*$A49</f>
        <v>0</v>
      </c>
      <c r="AT49" s="2" t="n">
        <f aca="false">(N49-$B49)*$A49</f>
        <v>0</v>
      </c>
      <c r="AU49" s="2" t="n">
        <f aca="false">(O49-$B49)*$A49</f>
        <v>0</v>
      </c>
      <c r="AV49" s="2" t="n">
        <f aca="false">(P49-$B49)*$A49</f>
        <v>0</v>
      </c>
      <c r="AW49" s="2" t="n">
        <f aca="false">(Q49-$B49)*$A49</f>
        <v>0</v>
      </c>
      <c r="AX49" s="2" t="n">
        <f aca="false">(R49-$B49)*$A49</f>
        <v>0</v>
      </c>
      <c r="AY49" s="2" t="n">
        <f aca="false">(S49-$B49)*$A49</f>
        <v>0</v>
      </c>
      <c r="AZ49" s="2" t="n">
        <f aca="false">(T49-$B49)*$A49</f>
        <v>0</v>
      </c>
      <c r="BA49" s="2" t="n">
        <f aca="false">(U49-$B49)*$A49</f>
        <v>0</v>
      </c>
      <c r="BB49" s="2" t="n">
        <f aca="false">(V49-$B49)*$A49</f>
        <v>0</v>
      </c>
      <c r="BC49" s="2" t="n">
        <f aca="false">(W49-$B49)*$A49</f>
        <v>0</v>
      </c>
      <c r="BD49" s="2" t="n">
        <f aca="false">(X49-$B49)*$A49</f>
        <v>0</v>
      </c>
      <c r="BE49" s="2" t="n">
        <f aca="false">(Y49-$B49)*$A49</f>
        <v>0</v>
      </c>
      <c r="BF49" s="2" t="n">
        <f aca="false">(Z49-$B49)*$A49</f>
        <v>0</v>
      </c>
      <c r="BG49" s="2" t="n">
        <f aca="false">(AA49-$B49)*$A49</f>
        <v>0</v>
      </c>
      <c r="BH49" s="2" t="n">
        <f aca="false">(AB49-$B49)*$A49</f>
        <v>0</v>
      </c>
      <c r="BI49" s="2" t="n">
        <f aca="false">(AC49-$B49)*$A49</f>
        <v>0</v>
      </c>
      <c r="BJ49" s="2" t="n">
        <f aca="false">(AD49-$B49)*$A49</f>
        <v>0</v>
      </c>
      <c r="BK49" s="2" t="n">
        <f aca="false">(AE49-$B49)*$A49</f>
        <v>0</v>
      </c>
      <c r="BL49" s="2" t="n">
        <f aca="false">(AF49-$B49)*$A49</f>
        <v>0</v>
      </c>
      <c r="BM49" s="2" t="n">
        <f aca="false">(AG49-$B49)*$A49</f>
        <v>0</v>
      </c>
    </row>
    <row r="50" customFormat="false" ht="13.8" hidden="false" customHeight="false" outlineLevel="0" collapsed="false">
      <c r="A50" s="1" t="n">
        <f aca="false">1+A49</f>
        <v>48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I50" s="2" t="n">
        <f aca="false">(C50-$B50)*$A50</f>
        <v>0</v>
      </c>
      <c r="AJ50" s="2" t="n">
        <f aca="false">(D50-$B50)*$A50</f>
        <v>0</v>
      </c>
      <c r="AK50" s="2" t="n">
        <f aca="false">(E50-$B50)*$A50</f>
        <v>0</v>
      </c>
      <c r="AL50" s="2" t="n">
        <f aca="false">(F50-$B50)*$A50</f>
        <v>0</v>
      </c>
      <c r="AM50" s="2" t="n">
        <f aca="false">(G50-$B50)*$A50</f>
        <v>0</v>
      </c>
      <c r="AN50" s="2" t="n">
        <f aca="false">(H50-$B50)*$A50</f>
        <v>0</v>
      </c>
      <c r="AO50" s="2" t="n">
        <f aca="false">(I50-$B50)*$A50</f>
        <v>0</v>
      </c>
      <c r="AP50" s="2" t="n">
        <f aca="false">(J50-$B50)*$A50</f>
        <v>0</v>
      </c>
      <c r="AQ50" s="2" t="n">
        <f aca="false">(K50-$B50)*$A50</f>
        <v>0</v>
      </c>
      <c r="AR50" s="2" t="n">
        <f aca="false">(L50-$B50)*$A50</f>
        <v>0</v>
      </c>
      <c r="AS50" s="2" t="n">
        <f aca="false">(M50-$B50)*$A50</f>
        <v>0</v>
      </c>
      <c r="AT50" s="2" t="n">
        <f aca="false">(N50-$B50)*$A50</f>
        <v>0</v>
      </c>
      <c r="AU50" s="2" t="n">
        <f aca="false">(O50-$B50)*$A50</f>
        <v>0</v>
      </c>
      <c r="AV50" s="2" t="n">
        <f aca="false">(P50-$B50)*$A50</f>
        <v>0</v>
      </c>
      <c r="AW50" s="2" t="n">
        <f aca="false">(Q50-$B50)*$A50</f>
        <v>0</v>
      </c>
      <c r="AX50" s="2" t="n">
        <f aca="false">(R50-$B50)*$A50</f>
        <v>0</v>
      </c>
      <c r="AY50" s="2" t="n">
        <f aca="false">(S50-$B50)*$A50</f>
        <v>0</v>
      </c>
      <c r="AZ50" s="2" t="n">
        <f aca="false">(T50-$B50)*$A50</f>
        <v>0</v>
      </c>
      <c r="BA50" s="2" t="n">
        <f aca="false">(U50-$B50)*$A50</f>
        <v>0</v>
      </c>
      <c r="BB50" s="2" t="n">
        <f aca="false">(V50-$B50)*$A50</f>
        <v>0</v>
      </c>
      <c r="BC50" s="2" t="n">
        <f aca="false">(W50-$B50)*$A50</f>
        <v>0</v>
      </c>
      <c r="BD50" s="2" t="n">
        <f aca="false">(X50-$B50)*$A50</f>
        <v>0</v>
      </c>
      <c r="BE50" s="2" t="n">
        <f aca="false">(Y50-$B50)*$A50</f>
        <v>0</v>
      </c>
      <c r="BF50" s="2" t="n">
        <f aca="false">(Z50-$B50)*$A50</f>
        <v>0</v>
      </c>
      <c r="BG50" s="2" t="n">
        <f aca="false">(AA50-$B50)*$A50</f>
        <v>0</v>
      </c>
      <c r="BH50" s="2" t="n">
        <f aca="false">(AB50-$B50)*$A50</f>
        <v>0</v>
      </c>
      <c r="BI50" s="2" t="n">
        <f aca="false">(AC50-$B50)*$A50</f>
        <v>0</v>
      </c>
      <c r="BJ50" s="2" t="n">
        <f aca="false">(AD50-$B50)*$A50</f>
        <v>0</v>
      </c>
      <c r="BK50" s="2" t="n">
        <f aca="false">(AE50-$B50)*$A50</f>
        <v>0</v>
      </c>
      <c r="BL50" s="2" t="n">
        <f aca="false">(AF50-$B50)*$A50</f>
        <v>0</v>
      </c>
      <c r="BM50" s="2" t="n">
        <f aca="false">(AG50-$B50)*$A50</f>
        <v>0</v>
      </c>
    </row>
    <row r="51" customFormat="false" ht="13.8" hidden="false" customHeight="false" outlineLevel="0" collapsed="false">
      <c r="A51" s="1" t="n">
        <f aca="false">1+A50</f>
        <v>49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I51" s="2" t="n">
        <f aca="false">(C51-$B51)*$A51</f>
        <v>0</v>
      </c>
      <c r="AJ51" s="2" t="n">
        <f aca="false">(D51-$B51)*$A51</f>
        <v>0</v>
      </c>
      <c r="AK51" s="2" t="n">
        <f aca="false">(E51-$B51)*$A51</f>
        <v>0</v>
      </c>
      <c r="AL51" s="2" t="n">
        <f aca="false">(F51-$B51)*$A51</f>
        <v>0</v>
      </c>
      <c r="AM51" s="2" t="n">
        <f aca="false">(G51-$B51)*$A51</f>
        <v>0</v>
      </c>
      <c r="AN51" s="2" t="n">
        <f aca="false">(H51-$B51)*$A51</f>
        <v>0</v>
      </c>
      <c r="AO51" s="2" t="n">
        <f aca="false">(I51-$B51)*$A51</f>
        <v>0</v>
      </c>
      <c r="AP51" s="2" t="n">
        <f aca="false">(J51-$B51)*$A51</f>
        <v>0</v>
      </c>
      <c r="AQ51" s="2" t="n">
        <f aca="false">(K51-$B51)*$A51</f>
        <v>0</v>
      </c>
      <c r="AR51" s="2" t="n">
        <f aca="false">(L51-$B51)*$A51</f>
        <v>0</v>
      </c>
      <c r="AS51" s="2" t="n">
        <f aca="false">(M51-$B51)*$A51</f>
        <v>0</v>
      </c>
      <c r="AT51" s="2" t="n">
        <f aca="false">(N51-$B51)*$A51</f>
        <v>0</v>
      </c>
      <c r="AU51" s="2" t="n">
        <f aca="false">(O51-$B51)*$A51</f>
        <v>0</v>
      </c>
      <c r="AV51" s="2" t="n">
        <f aca="false">(P51-$B51)*$A51</f>
        <v>0</v>
      </c>
      <c r="AW51" s="2" t="n">
        <f aca="false">(Q51-$B51)*$A51</f>
        <v>0</v>
      </c>
      <c r="AX51" s="2" t="n">
        <f aca="false">(R51-$B51)*$A51</f>
        <v>0</v>
      </c>
      <c r="AY51" s="2" t="n">
        <f aca="false">(S51-$B51)*$A51</f>
        <v>0</v>
      </c>
      <c r="AZ51" s="2" t="n">
        <f aca="false">(T51-$B51)*$A51</f>
        <v>0</v>
      </c>
      <c r="BA51" s="2" t="n">
        <f aca="false">(U51-$B51)*$A51</f>
        <v>0</v>
      </c>
      <c r="BB51" s="2" t="n">
        <f aca="false">(V51-$B51)*$A51</f>
        <v>0</v>
      </c>
      <c r="BC51" s="2" t="n">
        <f aca="false">(W51-$B51)*$A51</f>
        <v>0</v>
      </c>
      <c r="BD51" s="2" t="n">
        <f aca="false">(X51-$B51)*$A51</f>
        <v>0</v>
      </c>
      <c r="BE51" s="2" t="n">
        <f aca="false">(Y51-$B51)*$A51</f>
        <v>0</v>
      </c>
      <c r="BF51" s="2" t="n">
        <f aca="false">(Z51-$B51)*$A51</f>
        <v>0</v>
      </c>
      <c r="BG51" s="2" t="n">
        <f aca="false">(AA51-$B51)*$A51</f>
        <v>0</v>
      </c>
      <c r="BH51" s="2" t="n">
        <f aca="false">(AB51-$B51)*$A51</f>
        <v>0</v>
      </c>
      <c r="BI51" s="2" t="n">
        <f aca="false">(AC51-$B51)*$A51</f>
        <v>0</v>
      </c>
      <c r="BJ51" s="2" t="n">
        <f aca="false">(AD51-$B51)*$A51</f>
        <v>0</v>
      </c>
      <c r="BK51" s="2" t="n">
        <f aca="false">(AE51-$B51)*$A51</f>
        <v>0</v>
      </c>
      <c r="BL51" s="2" t="n">
        <f aca="false">(AF51-$B51)*$A51</f>
        <v>0</v>
      </c>
      <c r="BM51" s="2" t="n">
        <f aca="false">(AG51-$B51)*$A51</f>
        <v>0</v>
      </c>
    </row>
    <row r="52" customFormat="false" ht="13.8" hidden="false" customHeight="false" outlineLevel="0" collapsed="false">
      <c r="A52" s="1" t="n">
        <f aca="false">1+A51</f>
        <v>50</v>
      </c>
      <c r="AI52" s="2" t="n">
        <f aca="false">(C52-$B52)*$A52</f>
        <v>0</v>
      </c>
      <c r="AJ52" s="2" t="n">
        <f aca="false">(D52-$B52)*$A52</f>
        <v>0</v>
      </c>
      <c r="AK52" s="2" t="n">
        <f aca="false">(E52-$B52)*$A52</f>
        <v>0</v>
      </c>
      <c r="AL52" s="2" t="n">
        <f aca="false">(F52-$B52)*$A52</f>
        <v>0</v>
      </c>
      <c r="AM52" s="2" t="n">
        <f aca="false">(G52-$B52)*$A52</f>
        <v>0</v>
      </c>
      <c r="AN52" s="2" t="n">
        <f aca="false">(H52-$B52)*$A52</f>
        <v>0</v>
      </c>
      <c r="AO52" s="2" t="n">
        <f aca="false">(I52-$B52)*$A52</f>
        <v>0</v>
      </c>
      <c r="AP52" s="2" t="n">
        <f aca="false">(J52-$B52)*$A52</f>
        <v>0</v>
      </c>
      <c r="AQ52" s="2" t="n">
        <f aca="false">(K52-$B52)*$A52</f>
        <v>0</v>
      </c>
      <c r="AR52" s="2" t="n">
        <f aca="false">(L52-$B52)*$A52</f>
        <v>0</v>
      </c>
      <c r="AS52" s="2" t="n">
        <f aca="false">(M52-$B52)*$A52</f>
        <v>0</v>
      </c>
      <c r="AT52" s="2" t="n">
        <f aca="false">(N52-$B52)*$A52</f>
        <v>0</v>
      </c>
      <c r="AU52" s="2" t="n">
        <f aca="false">(O52-$B52)*$A52</f>
        <v>0</v>
      </c>
      <c r="AV52" s="2" t="n">
        <f aca="false">(P52-$B52)*$A52</f>
        <v>0</v>
      </c>
      <c r="AW52" s="2" t="n">
        <f aca="false">(Q52-$B52)*$A52</f>
        <v>0</v>
      </c>
      <c r="AX52" s="2" t="n">
        <f aca="false">(R52-$B52)*$A52</f>
        <v>0</v>
      </c>
      <c r="AY52" s="2" t="n">
        <f aca="false">(S52-$B52)*$A52</f>
        <v>0</v>
      </c>
      <c r="AZ52" s="2" t="n">
        <f aca="false">(T52-$B52)*$A52</f>
        <v>0</v>
      </c>
      <c r="BA52" s="2" t="n">
        <f aca="false">(U52-$B52)*$A52</f>
        <v>0</v>
      </c>
      <c r="BB52" s="2" t="n">
        <f aca="false">(V52-$B52)*$A52</f>
        <v>0</v>
      </c>
      <c r="BC52" s="2" t="n">
        <f aca="false">(W52-$B52)*$A52</f>
        <v>0</v>
      </c>
      <c r="BD52" s="2" t="n">
        <f aca="false">(X52-$B52)*$A52</f>
        <v>0</v>
      </c>
      <c r="BE52" s="2" t="n">
        <f aca="false">(Y52-$B52)*$A52</f>
        <v>0</v>
      </c>
      <c r="BF52" s="2" t="n">
        <f aca="false">(Z52-$B52)*$A52</f>
        <v>0</v>
      </c>
      <c r="BG52" s="2" t="n">
        <f aca="false">(AA52-$B52)*$A52</f>
        <v>0</v>
      </c>
      <c r="BH52" s="2" t="n">
        <f aca="false">(AB52-$B52)*$A52</f>
        <v>0</v>
      </c>
      <c r="BI52" s="2" t="n">
        <f aca="false">(AC52-$B52)*$A52</f>
        <v>0</v>
      </c>
      <c r="BJ52" s="2" t="n">
        <f aca="false">(AD52-$B52)*$A52</f>
        <v>0</v>
      </c>
      <c r="BK52" s="2" t="n">
        <f aca="false">(AE52-$B52)*$A52</f>
        <v>0</v>
      </c>
      <c r="BL52" s="2" t="n">
        <f aca="false">(AF52-$B52)*$A52</f>
        <v>0</v>
      </c>
      <c r="BM52" s="2" t="n">
        <f aca="false">(AG52-$B52)*$A52</f>
        <v>0</v>
      </c>
    </row>
    <row r="53" customFormat="false" ht="13.8" hidden="false" customHeight="false" outlineLevel="0" collapsed="false">
      <c r="A53" s="1" t="n">
        <f aca="false">1+A52</f>
        <v>51</v>
      </c>
      <c r="AI53" s="2" t="n">
        <f aca="false">(C53-$B53)*$A53</f>
        <v>0</v>
      </c>
      <c r="AJ53" s="2" t="n">
        <f aca="false">(D53-$B53)*$A53</f>
        <v>0</v>
      </c>
      <c r="AK53" s="2" t="n">
        <f aca="false">(E53-$B53)*$A53</f>
        <v>0</v>
      </c>
      <c r="AL53" s="2" t="n">
        <f aca="false">(F53-$B53)*$A53</f>
        <v>0</v>
      </c>
      <c r="AM53" s="2" t="n">
        <f aca="false">(G53-$B53)*$A53</f>
        <v>0</v>
      </c>
      <c r="AN53" s="2" t="n">
        <f aca="false">(H53-$B53)*$A53</f>
        <v>0</v>
      </c>
      <c r="AO53" s="2" t="n">
        <f aca="false">(I53-$B53)*$A53</f>
        <v>0</v>
      </c>
      <c r="AP53" s="2" t="n">
        <f aca="false">(J53-$B53)*$A53</f>
        <v>0</v>
      </c>
      <c r="AQ53" s="2" t="n">
        <f aca="false">(K53-$B53)*$A53</f>
        <v>0</v>
      </c>
      <c r="AR53" s="2" t="n">
        <f aca="false">(L53-$B53)*$A53</f>
        <v>0</v>
      </c>
      <c r="AS53" s="2" t="n">
        <f aca="false">(M53-$B53)*$A53</f>
        <v>0</v>
      </c>
      <c r="AT53" s="2" t="n">
        <f aca="false">(N53-$B53)*$A53</f>
        <v>0</v>
      </c>
      <c r="AU53" s="2" t="n">
        <f aca="false">(O53-$B53)*$A53</f>
        <v>0</v>
      </c>
      <c r="AV53" s="2" t="n">
        <f aca="false">(P53-$B53)*$A53</f>
        <v>0</v>
      </c>
      <c r="AW53" s="2" t="n">
        <f aca="false">(Q53-$B53)*$A53</f>
        <v>0</v>
      </c>
      <c r="AX53" s="2" t="n">
        <f aca="false">(R53-$B53)*$A53</f>
        <v>0</v>
      </c>
      <c r="AY53" s="2" t="n">
        <f aca="false">(S53-$B53)*$A53</f>
        <v>0</v>
      </c>
      <c r="AZ53" s="2" t="n">
        <f aca="false">(T53-$B53)*$A53</f>
        <v>0</v>
      </c>
      <c r="BA53" s="2" t="n">
        <f aca="false">(U53-$B53)*$A53</f>
        <v>0</v>
      </c>
      <c r="BB53" s="2" t="n">
        <f aca="false">(V53-$B53)*$A53</f>
        <v>0</v>
      </c>
      <c r="BC53" s="2" t="n">
        <f aca="false">(W53-$B53)*$A53</f>
        <v>0</v>
      </c>
      <c r="BD53" s="2" t="n">
        <f aca="false">(X53-$B53)*$A53</f>
        <v>0</v>
      </c>
      <c r="BE53" s="2" t="n">
        <f aca="false">(Y53-$B53)*$A53</f>
        <v>0</v>
      </c>
      <c r="BF53" s="2" t="n">
        <f aca="false">(Z53-$B53)*$A53</f>
        <v>0</v>
      </c>
      <c r="BG53" s="2" t="n">
        <f aca="false">(AA53-$B53)*$A53</f>
        <v>0</v>
      </c>
      <c r="BH53" s="2" t="n">
        <f aca="false">(AB53-$B53)*$A53</f>
        <v>0</v>
      </c>
      <c r="BI53" s="2" t="n">
        <f aca="false">(AC53-$B53)*$A53</f>
        <v>0</v>
      </c>
      <c r="BJ53" s="2" t="n">
        <f aca="false">(AD53-$B53)*$A53</f>
        <v>0</v>
      </c>
      <c r="BK53" s="2" t="n">
        <f aca="false">(AE53-$B53)*$A53</f>
        <v>0</v>
      </c>
      <c r="BL53" s="2" t="n">
        <f aca="false">(AF53-$B53)*$A53</f>
        <v>0</v>
      </c>
      <c r="BM53" s="2" t="n">
        <f aca="false">(AG53-$B53)*$A53</f>
        <v>0</v>
      </c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 t="n">
        <f aca="false">(D54-$B54)*$A54</f>
        <v>0</v>
      </c>
      <c r="AK54" s="2" t="n">
        <f aca="false">(E54-$B54)*$A54</f>
        <v>0</v>
      </c>
      <c r="AL54" s="2" t="n">
        <f aca="false">(F54-$B54)*$A54</f>
        <v>0</v>
      </c>
      <c r="AM54" s="2" t="n">
        <f aca="false">(G54-$B54)*$A54</f>
        <v>0</v>
      </c>
      <c r="AN54" s="2" t="n">
        <f aca="false">(H54-$B54)*$A54</f>
        <v>0</v>
      </c>
      <c r="AO54" s="2" t="n">
        <f aca="false">(I54-$B54)*$A54</f>
        <v>0</v>
      </c>
      <c r="AP54" s="2" t="n">
        <f aca="false">(J54-$B54)*$A54</f>
        <v>0</v>
      </c>
      <c r="AQ54" s="2" t="n">
        <f aca="false">(K54-$B54)*$A54</f>
        <v>0</v>
      </c>
      <c r="AR54" s="2" t="n">
        <f aca="false">(L54-$B54)*$A54</f>
        <v>0</v>
      </c>
      <c r="AS54" s="2" t="n">
        <f aca="false">(M54-$B54)*$A54</f>
        <v>0</v>
      </c>
      <c r="AT54" s="2" t="n">
        <f aca="false">(N54-$B54)*$A54</f>
        <v>0</v>
      </c>
      <c r="AU54" s="2" t="n">
        <f aca="false">(O54-$B54)*$A54</f>
        <v>0</v>
      </c>
      <c r="AV54" s="2" t="n">
        <f aca="false">(P54-$B54)*$A54</f>
        <v>0</v>
      </c>
      <c r="AW54" s="2" t="n">
        <f aca="false">(Q54-$B54)*$A54</f>
        <v>0</v>
      </c>
      <c r="AX54" s="2" t="n">
        <f aca="false">(R54-$B54)*$A54</f>
        <v>0</v>
      </c>
      <c r="AY54" s="2" t="n">
        <f aca="false">(S54-$B54)*$A54</f>
        <v>0</v>
      </c>
      <c r="AZ54" s="2" t="n">
        <f aca="false">(T54-$B54)*$A54</f>
        <v>0</v>
      </c>
      <c r="BA54" s="2" t="n">
        <f aca="false">(U54-$B54)*$A54</f>
        <v>0</v>
      </c>
      <c r="BB54" s="2" t="n">
        <f aca="false">(V54-$B54)*$A54</f>
        <v>0</v>
      </c>
      <c r="BC54" s="2" t="n">
        <f aca="false">(W54-$B54)*$A54</f>
        <v>0</v>
      </c>
      <c r="BD54" s="2" t="n">
        <f aca="false">(X54-$B54)*$A54</f>
        <v>0</v>
      </c>
      <c r="BE54" s="2" t="n">
        <f aca="false">(Y54-$B54)*$A54</f>
        <v>0</v>
      </c>
      <c r="BF54" s="2" t="n">
        <f aca="false">(Z54-$B54)*$A54</f>
        <v>0</v>
      </c>
      <c r="BG54" s="2" t="n">
        <f aca="false">(AA54-$B54)*$A54</f>
        <v>0</v>
      </c>
      <c r="BH54" s="2" t="n">
        <f aca="false">(AB54-$B54)*$A54</f>
        <v>0</v>
      </c>
      <c r="BI54" s="2" t="n">
        <f aca="false">(AC54-$B54)*$A54</f>
        <v>0</v>
      </c>
      <c r="BJ54" s="2" t="n">
        <f aca="false">(AD54-$B54)*$A54</f>
        <v>0</v>
      </c>
      <c r="BK54" s="2" t="n">
        <f aca="false">(AE54-$B54)*$A54</f>
        <v>0</v>
      </c>
      <c r="BL54" s="2" t="n">
        <f aca="false">(AF54-$B54)*$A54</f>
        <v>0</v>
      </c>
      <c r="BM54" s="2" t="n">
        <f aca="false">(AG54-$B54)*$A54</f>
        <v>0</v>
      </c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 t="n">
        <f aca="false">(D55-$B55)*$A55</f>
        <v>0</v>
      </c>
      <c r="AK55" s="2" t="n">
        <f aca="false">(E55-$B55)*$A55</f>
        <v>0</v>
      </c>
      <c r="AL55" s="2" t="n">
        <f aca="false">(F55-$B55)*$A55</f>
        <v>0</v>
      </c>
      <c r="AM55" s="2" t="n">
        <f aca="false">(G55-$B55)*$A55</f>
        <v>0</v>
      </c>
      <c r="AN55" s="2" t="n">
        <f aca="false">(H55-$B55)*$A55</f>
        <v>0</v>
      </c>
      <c r="AO55" s="2" t="n">
        <f aca="false">(I55-$B55)*$A55</f>
        <v>0</v>
      </c>
      <c r="AP55" s="2" t="n">
        <f aca="false">(J55-$B55)*$A55</f>
        <v>0</v>
      </c>
      <c r="AQ55" s="2" t="n">
        <f aca="false">(K55-$B55)*$A55</f>
        <v>0</v>
      </c>
      <c r="AR55" s="2" t="n">
        <f aca="false">(L55-$B55)*$A55</f>
        <v>0</v>
      </c>
      <c r="AS55" s="2" t="n">
        <f aca="false">(M55-$B55)*$A55</f>
        <v>0</v>
      </c>
      <c r="AT55" s="2" t="n">
        <f aca="false">(N55-$B55)*$A55</f>
        <v>0</v>
      </c>
      <c r="AU55" s="2" t="n">
        <f aca="false">(O55-$B55)*$A55</f>
        <v>0</v>
      </c>
      <c r="AV55" s="2" t="n">
        <f aca="false">(P55-$B55)*$A55</f>
        <v>0</v>
      </c>
      <c r="AW55" s="2" t="n">
        <f aca="false">(Q55-$B55)*$A55</f>
        <v>0</v>
      </c>
      <c r="AX55" s="2" t="n">
        <f aca="false">(R55-$B55)*$A55</f>
        <v>0</v>
      </c>
      <c r="AY55" s="2" t="n">
        <f aca="false">(S55-$B55)*$A55</f>
        <v>0</v>
      </c>
      <c r="AZ55" s="2" t="n">
        <f aca="false">(T55-$B55)*$A55</f>
        <v>0</v>
      </c>
      <c r="BA55" s="2" t="n">
        <f aca="false">(U55-$B55)*$A55</f>
        <v>0</v>
      </c>
      <c r="BB55" s="2" t="n">
        <f aca="false">(V55-$B55)*$A55</f>
        <v>0</v>
      </c>
      <c r="BC55" s="2" t="n">
        <f aca="false">(W55-$B55)*$A55</f>
        <v>0</v>
      </c>
      <c r="BD55" s="2" t="n">
        <f aca="false">(X55-$B55)*$A55</f>
        <v>0</v>
      </c>
      <c r="BE55" s="2" t="n">
        <f aca="false">(Y55-$B55)*$A55</f>
        <v>0</v>
      </c>
      <c r="BF55" s="2" t="n">
        <f aca="false">(Z55-$B55)*$A55</f>
        <v>0</v>
      </c>
      <c r="BG55" s="2" t="n">
        <f aca="false">(AA55-$B55)*$A55</f>
        <v>0</v>
      </c>
      <c r="BH55" s="2" t="n">
        <f aca="false">(AB55-$B55)*$A55</f>
        <v>0</v>
      </c>
      <c r="BI55" s="2" t="n">
        <f aca="false">(AC55-$B55)*$A55</f>
        <v>0</v>
      </c>
      <c r="BJ55" s="2" t="n">
        <f aca="false">(AD55-$B55)*$A55</f>
        <v>0</v>
      </c>
      <c r="BK55" s="2" t="n">
        <f aca="false">(AE55-$B55)*$A55</f>
        <v>0</v>
      </c>
      <c r="BL55" s="2" t="n">
        <f aca="false">(AF55-$B55)*$A55</f>
        <v>0</v>
      </c>
      <c r="BM55" s="2" t="n">
        <f aca="false">(AG55-$B55)*$A55</f>
        <v>0</v>
      </c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 t="n">
        <f aca="false">(D56-$B56)*$A56</f>
        <v>0</v>
      </c>
      <c r="AK56" s="2" t="n">
        <f aca="false">(E56-$B56)*$A56</f>
        <v>0</v>
      </c>
      <c r="AL56" s="2" t="n">
        <f aca="false">(F56-$B56)*$A56</f>
        <v>0</v>
      </c>
      <c r="AM56" s="2" t="n">
        <f aca="false">(G56-$B56)*$A56</f>
        <v>0</v>
      </c>
      <c r="AN56" s="2" t="n">
        <f aca="false">(H56-$B56)*$A56</f>
        <v>0</v>
      </c>
      <c r="AO56" s="2" t="n">
        <f aca="false">(I56-$B56)*$A56</f>
        <v>0</v>
      </c>
      <c r="AP56" s="2" t="n">
        <f aca="false">(J56-$B56)*$A56</f>
        <v>0</v>
      </c>
      <c r="AQ56" s="2" t="n">
        <f aca="false">(K56-$B56)*$A56</f>
        <v>0</v>
      </c>
      <c r="AR56" s="2" t="n">
        <f aca="false">(L56-$B56)*$A56</f>
        <v>0</v>
      </c>
      <c r="AS56" s="2" t="n">
        <f aca="false">(M56-$B56)*$A56</f>
        <v>0</v>
      </c>
      <c r="AT56" s="2" t="n">
        <f aca="false">(N56-$B56)*$A56</f>
        <v>0</v>
      </c>
      <c r="AU56" s="2" t="n">
        <f aca="false">(O56-$B56)*$A56</f>
        <v>0</v>
      </c>
      <c r="AV56" s="2" t="n">
        <f aca="false">(P56-$B56)*$A56</f>
        <v>0</v>
      </c>
      <c r="AW56" s="2" t="n">
        <f aca="false">(Q56-$B56)*$A56</f>
        <v>0</v>
      </c>
      <c r="AX56" s="2" t="n">
        <f aca="false">(R56-$B56)*$A56</f>
        <v>0</v>
      </c>
      <c r="AY56" s="2" t="n">
        <f aca="false">(S56-$B56)*$A56</f>
        <v>0</v>
      </c>
      <c r="AZ56" s="2" t="n">
        <f aca="false">(T56-$B56)*$A56</f>
        <v>0</v>
      </c>
      <c r="BA56" s="2" t="n">
        <f aca="false">(U56-$B56)*$A56</f>
        <v>0</v>
      </c>
      <c r="BB56" s="2" t="n">
        <f aca="false">(V56-$B56)*$A56</f>
        <v>0</v>
      </c>
      <c r="BC56" s="2" t="n">
        <f aca="false">(W56-$B56)*$A56</f>
        <v>0</v>
      </c>
      <c r="BD56" s="2" t="n">
        <f aca="false">(X56-$B56)*$A56</f>
        <v>0</v>
      </c>
      <c r="BE56" s="2" t="n">
        <f aca="false">(Y56-$B56)*$A56</f>
        <v>0</v>
      </c>
      <c r="BF56" s="2" t="n">
        <f aca="false">(Z56-$B56)*$A56</f>
        <v>0</v>
      </c>
      <c r="BG56" s="2" t="n">
        <f aca="false">(AA56-$B56)*$A56</f>
        <v>0</v>
      </c>
      <c r="BH56" s="2" t="n">
        <f aca="false">(AB56-$B56)*$A56</f>
        <v>0</v>
      </c>
      <c r="BI56" s="2" t="n">
        <f aca="false">(AC56-$B56)*$A56</f>
        <v>0</v>
      </c>
      <c r="BJ56" s="2" t="n">
        <f aca="false">(AD56-$B56)*$A56</f>
        <v>0</v>
      </c>
      <c r="BK56" s="2" t="n">
        <f aca="false">(AE56-$B56)*$A56</f>
        <v>0</v>
      </c>
      <c r="BL56" s="2" t="n">
        <f aca="false">(AF56-$B56)*$A56</f>
        <v>0</v>
      </c>
      <c r="BM56" s="2" t="n">
        <f aca="false">(AG56-$B56)*$A56</f>
        <v>0</v>
      </c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 t="n">
        <f aca="false">(D57-$B57)*$A57</f>
        <v>0</v>
      </c>
      <c r="AK57" s="2" t="n">
        <f aca="false">(E57-$B57)*$A57</f>
        <v>0</v>
      </c>
      <c r="AL57" s="2" t="n">
        <f aca="false">(F57-$B57)*$A57</f>
        <v>0</v>
      </c>
      <c r="AM57" s="2" t="n">
        <f aca="false">(G57-$B57)*$A57</f>
        <v>0</v>
      </c>
      <c r="AN57" s="2" t="n">
        <f aca="false">(H57-$B57)*$A57</f>
        <v>0</v>
      </c>
      <c r="AO57" s="2" t="n">
        <f aca="false">(I57-$B57)*$A57</f>
        <v>0</v>
      </c>
      <c r="AP57" s="2" t="n">
        <f aca="false">(J57-$B57)*$A57</f>
        <v>0</v>
      </c>
      <c r="AQ57" s="2" t="n">
        <f aca="false">(K57-$B57)*$A57</f>
        <v>0</v>
      </c>
      <c r="AR57" s="2" t="n">
        <f aca="false">(L57-$B57)*$A57</f>
        <v>0</v>
      </c>
      <c r="AS57" s="2" t="n">
        <f aca="false">(M57-$B57)*$A57</f>
        <v>0</v>
      </c>
      <c r="AT57" s="2" t="n">
        <f aca="false">(N57-$B57)*$A57</f>
        <v>0</v>
      </c>
      <c r="AU57" s="2" t="n">
        <f aca="false">(O57-$B57)*$A57</f>
        <v>0</v>
      </c>
      <c r="AV57" s="2" t="n">
        <f aca="false">(P57-$B57)*$A57</f>
        <v>0</v>
      </c>
      <c r="AW57" s="2" t="n">
        <f aca="false">(Q57-$B57)*$A57</f>
        <v>0</v>
      </c>
      <c r="AX57" s="2" t="n">
        <f aca="false">(R57-$B57)*$A57</f>
        <v>0</v>
      </c>
      <c r="AY57" s="2" t="n">
        <f aca="false">(S57-$B57)*$A57</f>
        <v>0</v>
      </c>
      <c r="AZ57" s="2" t="n">
        <f aca="false">(T57-$B57)*$A57</f>
        <v>0</v>
      </c>
      <c r="BA57" s="2" t="n">
        <f aca="false">(U57-$B57)*$A57</f>
        <v>0</v>
      </c>
      <c r="BB57" s="2" t="n">
        <f aca="false">(V57-$B57)*$A57</f>
        <v>0</v>
      </c>
      <c r="BC57" s="2" t="n">
        <f aca="false">(W57-$B57)*$A57</f>
        <v>0</v>
      </c>
      <c r="BD57" s="2" t="n">
        <f aca="false">(X57-$B57)*$A57</f>
        <v>0</v>
      </c>
      <c r="BE57" s="2" t="n">
        <f aca="false">(Y57-$B57)*$A57</f>
        <v>0</v>
      </c>
      <c r="BF57" s="2" t="n">
        <f aca="false">(Z57-$B57)*$A57</f>
        <v>0</v>
      </c>
      <c r="BG57" s="2" t="n">
        <f aca="false">(AA57-$B57)*$A57</f>
        <v>0</v>
      </c>
      <c r="BH57" s="2" t="n">
        <f aca="false">(AB57-$B57)*$A57</f>
        <v>0</v>
      </c>
      <c r="BI57" s="2" t="n">
        <f aca="false">(AC57-$B57)*$A57</f>
        <v>0</v>
      </c>
      <c r="BJ57" s="2" t="n">
        <f aca="false">(AD57-$B57)*$A57</f>
        <v>0</v>
      </c>
      <c r="BK57" s="2" t="n">
        <f aca="false">(AE57-$B57)*$A57</f>
        <v>0</v>
      </c>
      <c r="BL57" s="2" t="n">
        <f aca="false">(AF57-$B57)*$A57</f>
        <v>0</v>
      </c>
      <c r="BM57" s="2" t="n">
        <f aca="false">(AG57-$B57)*$A57</f>
        <v>0</v>
      </c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 t="n">
        <f aca="false">(D58-$B58)*$A58</f>
        <v>0</v>
      </c>
      <c r="AK58" s="2" t="n">
        <f aca="false">(E58-$B58)*$A58</f>
        <v>0</v>
      </c>
      <c r="AL58" s="2" t="n">
        <f aca="false">(F58-$B58)*$A58</f>
        <v>0</v>
      </c>
      <c r="AM58" s="2" t="n">
        <f aca="false">(G58-$B58)*$A58</f>
        <v>0</v>
      </c>
      <c r="AN58" s="2" t="n">
        <f aca="false">(H58-$B58)*$A58</f>
        <v>0</v>
      </c>
      <c r="AO58" s="2" t="n">
        <f aca="false">(I58-$B58)*$A58</f>
        <v>0</v>
      </c>
      <c r="AP58" s="2" t="n">
        <f aca="false">(J58-$B58)*$A58</f>
        <v>0</v>
      </c>
      <c r="AQ58" s="2" t="n">
        <f aca="false">(K58-$B58)*$A58</f>
        <v>0</v>
      </c>
      <c r="AR58" s="2" t="n">
        <f aca="false">(L58-$B58)*$A58</f>
        <v>0</v>
      </c>
      <c r="AS58" s="2" t="n">
        <f aca="false">(M58-$B58)*$A58</f>
        <v>0</v>
      </c>
      <c r="AT58" s="2" t="n">
        <f aca="false">(N58-$B58)*$A58</f>
        <v>0</v>
      </c>
      <c r="AU58" s="2" t="n">
        <f aca="false">(O58-$B58)*$A58</f>
        <v>0</v>
      </c>
      <c r="AV58" s="2" t="n">
        <f aca="false">(P58-$B58)*$A58</f>
        <v>0</v>
      </c>
      <c r="AW58" s="2" t="n">
        <f aca="false">(Q58-$B58)*$A58</f>
        <v>0</v>
      </c>
      <c r="AX58" s="2" t="n">
        <f aca="false">(R58-$B58)*$A58</f>
        <v>0</v>
      </c>
      <c r="AY58" s="2" t="n">
        <f aca="false">(S58-$B58)*$A58</f>
        <v>0</v>
      </c>
      <c r="AZ58" s="2" t="n">
        <f aca="false">(T58-$B58)*$A58</f>
        <v>0</v>
      </c>
      <c r="BA58" s="2" t="n">
        <f aca="false">(U58-$B58)*$A58</f>
        <v>0</v>
      </c>
      <c r="BB58" s="2" t="n">
        <f aca="false">(V58-$B58)*$A58</f>
        <v>0</v>
      </c>
      <c r="BC58" s="2" t="n">
        <f aca="false">(W58-$B58)*$A58</f>
        <v>0</v>
      </c>
      <c r="BD58" s="2" t="n">
        <f aca="false">(X58-$B58)*$A58</f>
        <v>0</v>
      </c>
      <c r="BE58" s="2" t="n">
        <f aca="false">(Y58-$B58)*$A58</f>
        <v>0</v>
      </c>
      <c r="BF58" s="2" t="n">
        <f aca="false">(Z58-$B58)*$A58</f>
        <v>0</v>
      </c>
      <c r="BG58" s="2" t="n">
        <f aca="false">(AA58-$B58)*$A58</f>
        <v>0</v>
      </c>
      <c r="BH58" s="2" t="n">
        <f aca="false">(AB58-$B58)*$A58</f>
        <v>0</v>
      </c>
      <c r="BI58" s="2" t="n">
        <f aca="false">(AC58-$B58)*$A58</f>
        <v>0</v>
      </c>
      <c r="BJ58" s="2" t="n">
        <f aca="false">(AD58-$B58)*$A58</f>
        <v>0</v>
      </c>
      <c r="BK58" s="2" t="n">
        <f aca="false">(AE58-$B58)*$A58</f>
        <v>0</v>
      </c>
      <c r="BL58" s="2" t="n">
        <f aca="false">(AF58-$B58)*$A58</f>
        <v>0</v>
      </c>
      <c r="BM58" s="2" t="n">
        <f aca="false">(AG58-$B58)*$A58</f>
        <v>0</v>
      </c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 t="n">
        <f aca="false">(D59-$B59)*$A59</f>
        <v>0</v>
      </c>
      <c r="AK59" s="2" t="n">
        <f aca="false">(E59-$B59)*$A59</f>
        <v>0</v>
      </c>
      <c r="AL59" s="2" t="n">
        <f aca="false">(F59-$B59)*$A59</f>
        <v>0</v>
      </c>
      <c r="AM59" s="2" t="n">
        <f aca="false">(G59-$B59)*$A59</f>
        <v>0</v>
      </c>
      <c r="AN59" s="2" t="n">
        <f aca="false">(H59-$B59)*$A59</f>
        <v>0</v>
      </c>
      <c r="AO59" s="2" t="n">
        <f aca="false">(I59-$B59)*$A59</f>
        <v>0</v>
      </c>
      <c r="AP59" s="2" t="n">
        <f aca="false">(J59-$B59)*$A59</f>
        <v>0</v>
      </c>
      <c r="AQ59" s="2" t="n">
        <f aca="false">(K59-$B59)*$A59</f>
        <v>0</v>
      </c>
      <c r="AR59" s="2" t="n">
        <f aca="false">(L59-$B59)*$A59</f>
        <v>0</v>
      </c>
      <c r="AS59" s="2" t="n">
        <f aca="false">(M59-$B59)*$A59</f>
        <v>0</v>
      </c>
      <c r="AT59" s="2" t="n">
        <f aca="false">(N59-$B59)*$A59</f>
        <v>0</v>
      </c>
      <c r="AU59" s="2" t="n">
        <f aca="false">(O59-$B59)*$A59</f>
        <v>0</v>
      </c>
      <c r="AV59" s="2" t="n">
        <f aca="false">(P59-$B59)*$A59</f>
        <v>0</v>
      </c>
      <c r="AW59" s="2" t="n">
        <f aca="false">(Q59-$B59)*$A59</f>
        <v>0</v>
      </c>
      <c r="AX59" s="2" t="n">
        <f aca="false">(R59-$B59)*$A59</f>
        <v>0</v>
      </c>
      <c r="AY59" s="2" t="n">
        <f aca="false">(S59-$B59)*$A59</f>
        <v>0</v>
      </c>
      <c r="AZ59" s="2" t="n">
        <f aca="false">(T59-$B59)*$A59</f>
        <v>0</v>
      </c>
      <c r="BA59" s="2" t="n">
        <f aca="false">(U59-$B59)*$A59</f>
        <v>0</v>
      </c>
      <c r="BB59" s="2" t="n">
        <f aca="false">(V59-$B59)*$A59</f>
        <v>0</v>
      </c>
      <c r="BC59" s="2" t="n">
        <f aca="false">(W59-$B59)*$A59</f>
        <v>0</v>
      </c>
      <c r="BD59" s="2" t="n">
        <f aca="false">(X59-$B59)*$A59</f>
        <v>0</v>
      </c>
      <c r="BE59" s="2" t="n">
        <f aca="false">(Y59-$B59)*$A59</f>
        <v>0</v>
      </c>
      <c r="BF59" s="2" t="n">
        <f aca="false">(Z59-$B59)*$A59</f>
        <v>0</v>
      </c>
      <c r="BG59" s="2" t="n">
        <f aca="false">(AA59-$B59)*$A59</f>
        <v>0</v>
      </c>
      <c r="BH59" s="2" t="n">
        <f aca="false">(AB59-$B59)*$A59</f>
        <v>0</v>
      </c>
      <c r="BI59" s="2" t="n">
        <f aca="false">(AC59-$B59)*$A59</f>
        <v>0</v>
      </c>
      <c r="BJ59" s="2" t="n">
        <f aca="false">(AD59-$B59)*$A59</f>
        <v>0</v>
      </c>
      <c r="BK59" s="2" t="n">
        <f aca="false">(AE59-$B59)*$A59</f>
        <v>0</v>
      </c>
      <c r="BL59" s="2" t="n">
        <f aca="false">(AF59-$B59)*$A59</f>
        <v>0</v>
      </c>
      <c r="BM59" s="2" t="n">
        <f aca="false">(AG59-$B59)*$A59</f>
        <v>0</v>
      </c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 t="n">
        <f aca="false">(D60-$B60)*$A60</f>
        <v>0</v>
      </c>
      <c r="AK60" s="2" t="n">
        <f aca="false">(E60-$B60)*$A60</f>
        <v>0</v>
      </c>
      <c r="AL60" s="2" t="n">
        <f aca="false">(F60-$B60)*$A60</f>
        <v>0</v>
      </c>
      <c r="AM60" s="2" t="n">
        <f aca="false">(G60-$B60)*$A60</f>
        <v>0</v>
      </c>
      <c r="AN60" s="2" t="n">
        <f aca="false">(H60-$B60)*$A60</f>
        <v>0</v>
      </c>
      <c r="AO60" s="2" t="n">
        <f aca="false">(I60-$B60)*$A60</f>
        <v>0</v>
      </c>
      <c r="AP60" s="2" t="n">
        <f aca="false">(J60-$B60)*$A60</f>
        <v>0</v>
      </c>
      <c r="AQ60" s="2" t="n">
        <f aca="false">(K60-$B60)*$A60</f>
        <v>0</v>
      </c>
      <c r="AR60" s="2" t="n">
        <f aca="false">(L60-$B60)*$A60</f>
        <v>0</v>
      </c>
      <c r="AS60" s="2" t="n">
        <f aca="false">(M60-$B60)*$A60</f>
        <v>0</v>
      </c>
      <c r="AT60" s="2" t="n">
        <f aca="false">(N60-$B60)*$A60</f>
        <v>0</v>
      </c>
      <c r="AU60" s="2" t="n">
        <f aca="false">(O60-$B60)*$A60</f>
        <v>0</v>
      </c>
      <c r="AV60" s="2" t="n">
        <f aca="false">(P60-$B60)*$A60</f>
        <v>0</v>
      </c>
      <c r="AW60" s="2" t="n">
        <f aca="false">(Q60-$B60)*$A60</f>
        <v>0</v>
      </c>
      <c r="AX60" s="2" t="n">
        <f aca="false">(R60-$B60)*$A60</f>
        <v>0</v>
      </c>
      <c r="AY60" s="2" t="n">
        <f aca="false">(S60-$B60)*$A60</f>
        <v>0</v>
      </c>
      <c r="AZ60" s="2" t="n">
        <f aca="false">(T60-$B60)*$A60</f>
        <v>0</v>
      </c>
      <c r="BA60" s="2" t="n">
        <f aca="false">(U60-$B60)*$A60</f>
        <v>0</v>
      </c>
      <c r="BB60" s="2" t="n">
        <f aca="false">(V60-$B60)*$A60</f>
        <v>0</v>
      </c>
      <c r="BC60" s="2" t="n">
        <f aca="false">(W60-$B60)*$A60</f>
        <v>0</v>
      </c>
      <c r="BD60" s="2" t="n">
        <f aca="false">(X60-$B60)*$A60</f>
        <v>0</v>
      </c>
      <c r="BE60" s="2" t="n">
        <f aca="false">(Y60-$B60)*$A60</f>
        <v>0</v>
      </c>
      <c r="BF60" s="2" t="n">
        <f aca="false">(Z60-$B60)*$A60</f>
        <v>0</v>
      </c>
      <c r="BG60" s="2" t="n">
        <f aca="false">(AA60-$B60)*$A60</f>
        <v>0</v>
      </c>
      <c r="BH60" s="2" t="n">
        <f aca="false">(AB60-$B60)*$A60</f>
        <v>0</v>
      </c>
      <c r="BI60" s="2" t="n">
        <f aca="false">(AC60-$B60)*$A60</f>
        <v>0</v>
      </c>
      <c r="BJ60" s="2" t="n">
        <f aca="false">(AD60-$B60)*$A60</f>
        <v>0</v>
      </c>
      <c r="BK60" s="2" t="n">
        <f aca="false">(AE60-$B60)*$A60</f>
        <v>0</v>
      </c>
      <c r="BL60" s="2" t="n">
        <f aca="false">(AF60-$B60)*$A60</f>
        <v>0</v>
      </c>
      <c r="BM60" s="2" t="n">
        <f aca="false">(AG60-$B60)*$A60</f>
        <v>0</v>
      </c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 t="n">
        <f aca="false">(D61-$B61)*$A61</f>
        <v>0</v>
      </c>
      <c r="AK61" s="2" t="n">
        <f aca="false">(E61-$B61)*$A61</f>
        <v>0</v>
      </c>
      <c r="AL61" s="2" t="n">
        <f aca="false">(F61-$B61)*$A61</f>
        <v>0</v>
      </c>
      <c r="AM61" s="2" t="n">
        <f aca="false">(G61-$B61)*$A61</f>
        <v>0</v>
      </c>
      <c r="AN61" s="2" t="n">
        <f aca="false">(H61-$B61)*$A61</f>
        <v>0</v>
      </c>
      <c r="AO61" s="2" t="n">
        <f aca="false">(I61-$B61)*$A61</f>
        <v>0</v>
      </c>
      <c r="AP61" s="2" t="n">
        <f aca="false">(J61-$B61)*$A61</f>
        <v>0</v>
      </c>
      <c r="AQ61" s="2" t="n">
        <f aca="false">(K61-$B61)*$A61</f>
        <v>0</v>
      </c>
      <c r="AR61" s="2" t="n">
        <f aca="false">(L61-$B61)*$A61</f>
        <v>0</v>
      </c>
      <c r="AS61" s="2" t="n">
        <f aca="false">(M61-$B61)*$A61</f>
        <v>0</v>
      </c>
      <c r="AT61" s="2" t="n">
        <f aca="false">(N61-$B61)*$A61</f>
        <v>0</v>
      </c>
      <c r="AU61" s="2" t="n">
        <f aca="false">(O61-$B61)*$A61</f>
        <v>0</v>
      </c>
      <c r="AV61" s="2" t="n">
        <f aca="false">(P61-$B61)*$A61</f>
        <v>0</v>
      </c>
      <c r="AW61" s="2" t="n">
        <f aca="false">(Q61-$B61)*$A61</f>
        <v>0</v>
      </c>
      <c r="AX61" s="2" t="n">
        <f aca="false">(R61-$B61)*$A61</f>
        <v>0</v>
      </c>
      <c r="AY61" s="2" t="n">
        <f aca="false">(S61-$B61)*$A61</f>
        <v>0</v>
      </c>
      <c r="AZ61" s="2" t="n">
        <f aca="false">(T61-$B61)*$A61</f>
        <v>0</v>
      </c>
      <c r="BA61" s="2" t="n">
        <f aca="false">(U61-$B61)*$A61</f>
        <v>0</v>
      </c>
      <c r="BB61" s="2" t="n">
        <f aca="false">(V61-$B61)*$A61</f>
        <v>0</v>
      </c>
      <c r="BC61" s="2" t="n">
        <f aca="false">(W61-$B61)*$A61</f>
        <v>0</v>
      </c>
      <c r="BD61" s="2" t="n">
        <f aca="false">(X61-$B61)*$A61</f>
        <v>0</v>
      </c>
      <c r="BE61" s="2" t="n">
        <f aca="false">(Y61-$B61)*$A61</f>
        <v>0</v>
      </c>
      <c r="BF61" s="2" t="n">
        <f aca="false">(Z61-$B61)*$A61</f>
        <v>0</v>
      </c>
      <c r="BG61" s="2" t="n">
        <f aca="false">(AA61-$B61)*$A61</f>
        <v>0</v>
      </c>
      <c r="BH61" s="2" t="n">
        <f aca="false">(AB61-$B61)*$A61</f>
        <v>0</v>
      </c>
      <c r="BI61" s="2" t="n">
        <f aca="false">(AC61-$B61)*$A61</f>
        <v>0</v>
      </c>
      <c r="BJ61" s="2" t="n">
        <f aca="false">(AD61-$B61)*$A61</f>
        <v>0</v>
      </c>
      <c r="BK61" s="2" t="n">
        <f aca="false">(AE61-$B61)*$A61</f>
        <v>0</v>
      </c>
      <c r="BL61" s="2" t="n">
        <f aca="false">(AF61-$B61)*$A61</f>
        <v>0</v>
      </c>
      <c r="BM61" s="2" t="n">
        <f aca="false">(AG61-$B61)*$A61</f>
        <v>0</v>
      </c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 t="n">
        <f aca="false">(D62-$B62)*$A62</f>
        <v>0</v>
      </c>
      <c r="AK62" s="2" t="n">
        <f aca="false">(E62-$B62)*$A62</f>
        <v>0</v>
      </c>
      <c r="AL62" s="2" t="n">
        <f aca="false">(F62-$B62)*$A62</f>
        <v>0</v>
      </c>
      <c r="AM62" s="2" t="n">
        <f aca="false">(G62-$B62)*$A62</f>
        <v>0</v>
      </c>
      <c r="AN62" s="2" t="n">
        <f aca="false">(H62-$B62)*$A62</f>
        <v>0</v>
      </c>
      <c r="AO62" s="2" t="n">
        <f aca="false">(I62-$B62)*$A62</f>
        <v>0</v>
      </c>
      <c r="AP62" s="2" t="n">
        <f aca="false">(J62-$B62)*$A62</f>
        <v>0</v>
      </c>
      <c r="AQ62" s="2" t="n">
        <f aca="false">(K62-$B62)*$A62</f>
        <v>0</v>
      </c>
      <c r="AR62" s="2" t="n">
        <f aca="false">(L62-$B62)*$A62</f>
        <v>0</v>
      </c>
      <c r="AS62" s="2" t="n">
        <f aca="false">(M62-$B62)*$A62</f>
        <v>0</v>
      </c>
      <c r="AT62" s="2" t="n">
        <f aca="false">(N62-$B62)*$A62</f>
        <v>0</v>
      </c>
      <c r="AU62" s="2" t="n">
        <f aca="false">(O62-$B62)*$A62</f>
        <v>0</v>
      </c>
      <c r="AV62" s="2" t="n">
        <f aca="false">(P62-$B62)*$A62</f>
        <v>0</v>
      </c>
      <c r="AW62" s="2" t="n">
        <f aca="false">(Q62-$B62)*$A62</f>
        <v>0</v>
      </c>
      <c r="AX62" s="2" t="n">
        <f aca="false">(R62-$B62)*$A62</f>
        <v>0</v>
      </c>
      <c r="AY62" s="2" t="n">
        <f aca="false">(S62-$B62)*$A62</f>
        <v>0</v>
      </c>
      <c r="AZ62" s="2" t="n">
        <f aca="false">(T62-$B62)*$A62</f>
        <v>0</v>
      </c>
      <c r="BA62" s="2" t="n">
        <f aca="false">(U62-$B62)*$A62</f>
        <v>0</v>
      </c>
      <c r="BB62" s="2" t="n">
        <f aca="false">(V62-$B62)*$A62</f>
        <v>0</v>
      </c>
      <c r="BC62" s="2" t="n">
        <f aca="false">(W62-$B62)*$A62</f>
        <v>0</v>
      </c>
      <c r="BD62" s="2" t="n">
        <f aca="false">(X62-$B62)*$A62</f>
        <v>0</v>
      </c>
      <c r="BE62" s="2" t="n">
        <f aca="false">(Y62-$B62)*$A62</f>
        <v>0</v>
      </c>
      <c r="BF62" s="2" t="n">
        <f aca="false">(Z62-$B62)*$A62</f>
        <v>0</v>
      </c>
      <c r="BG62" s="2" t="n">
        <f aca="false">(AA62-$B62)*$A62</f>
        <v>0</v>
      </c>
      <c r="BH62" s="2" t="n">
        <f aca="false">(AB62-$B62)*$A62</f>
        <v>0</v>
      </c>
      <c r="BI62" s="2" t="n">
        <f aca="false">(AC62-$B62)*$A62</f>
        <v>0</v>
      </c>
      <c r="BJ62" s="2" t="n">
        <f aca="false">(AD62-$B62)*$A62</f>
        <v>0</v>
      </c>
      <c r="BK62" s="2" t="n">
        <f aca="false">(AE62-$B62)*$A62</f>
        <v>0</v>
      </c>
      <c r="BL62" s="2" t="n">
        <f aca="false">(AF62-$B62)*$A62</f>
        <v>0</v>
      </c>
      <c r="BM62" s="2" t="n">
        <f aca="false">(AG62-$B62)*$A62</f>
        <v>0</v>
      </c>
    </row>
    <row r="63" customFormat="false" ht="13.8" hidden="false" customHeight="false" outlineLevel="0" collapsed="false">
      <c r="A63" s="1" t="n">
        <f aca="false">1+A62</f>
        <v>61</v>
      </c>
      <c r="B63" s="3"/>
      <c r="E63" s="3"/>
      <c r="F63" s="3"/>
      <c r="O63" s="3"/>
      <c r="P63" s="3"/>
      <c r="AI63" s="2" t="n">
        <f aca="false">(C63-$B63)*$A63</f>
        <v>0</v>
      </c>
      <c r="AJ63" s="2" t="n">
        <f aca="false">(D63-$B63)*$A63</f>
        <v>0</v>
      </c>
      <c r="AK63" s="2" t="n">
        <f aca="false">(E63-$B63)*$A63</f>
        <v>0</v>
      </c>
      <c r="AL63" s="2" t="n">
        <f aca="false">(F63-$B63)*$A63</f>
        <v>0</v>
      </c>
      <c r="AM63" s="2" t="n">
        <f aca="false">(G63-$B63)*$A63</f>
        <v>0</v>
      </c>
      <c r="AN63" s="2" t="n">
        <f aca="false">(H63-$B63)*$A63</f>
        <v>0</v>
      </c>
      <c r="AO63" s="2" t="n">
        <f aca="false">(I63-$B63)*$A63</f>
        <v>0</v>
      </c>
      <c r="AP63" s="2" t="n">
        <f aca="false">(J63-$B63)*$A63</f>
        <v>0</v>
      </c>
      <c r="AQ63" s="2" t="n">
        <f aca="false">(K63-$B63)*$A63</f>
        <v>0</v>
      </c>
      <c r="AR63" s="2" t="n">
        <f aca="false">(L63-$B63)*$A63</f>
        <v>0</v>
      </c>
      <c r="AS63" s="2" t="n">
        <f aca="false">(M63-$B63)*$A63</f>
        <v>0</v>
      </c>
      <c r="AT63" s="2" t="n">
        <f aca="false">(N63-$B63)*$A63</f>
        <v>0</v>
      </c>
      <c r="AU63" s="2" t="n">
        <f aca="false">(O63-$B63)*$A63</f>
        <v>0</v>
      </c>
      <c r="AV63" s="2" t="n">
        <f aca="false">(P63-$B63)*$A63</f>
        <v>0</v>
      </c>
      <c r="AW63" s="2" t="n">
        <f aca="false">(Q63-$B63)*$A63</f>
        <v>0</v>
      </c>
      <c r="AX63" s="2" t="n">
        <f aca="false">(R63-$B63)*$A63</f>
        <v>0</v>
      </c>
      <c r="AY63" s="2" t="n">
        <f aca="false">(S63-$B63)*$A63</f>
        <v>0</v>
      </c>
      <c r="AZ63" s="2" t="n">
        <f aca="false">(T63-$B63)*$A63</f>
        <v>0</v>
      </c>
      <c r="BA63" s="2" t="n">
        <f aca="false">(U63-$B63)*$A63</f>
        <v>0</v>
      </c>
      <c r="BB63" s="2" t="n">
        <f aca="false">(V63-$B63)*$A63</f>
        <v>0</v>
      </c>
      <c r="BC63" s="2" t="n">
        <f aca="false">(W63-$B63)*$A63</f>
        <v>0</v>
      </c>
      <c r="BD63" s="2" t="n">
        <f aca="false">(X63-$B63)*$A63</f>
        <v>0</v>
      </c>
      <c r="BE63" s="2" t="n">
        <f aca="false">(Y63-$B63)*$A63</f>
        <v>0</v>
      </c>
      <c r="BF63" s="2" t="n">
        <f aca="false">(Z63-$B63)*$A63</f>
        <v>0</v>
      </c>
      <c r="BG63" s="2" t="n">
        <f aca="false">(AA63-$B63)*$A63</f>
        <v>0</v>
      </c>
      <c r="BH63" s="2" t="n">
        <f aca="false">(AB63-$B63)*$A63</f>
        <v>0</v>
      </c>
      <c r="BI63" s="2" t="n">
        <f aca="false">(AC63-$B63)*$A63</f>
        <v>0</v>
      </c>
      <c r="BJ63" s="2" t="n">
        <f aca="false">(AD63-$B63)*$A63</f>
        <v>0</v>
      </c>
      <c r="BK63" s="2" t="n">
        <f aca="false">(AE63-$B63)*$A63</f>
        <v>0</v>
      </c>
      <c r="BL63" s="2" t="n">
        <f aca="false">(AF63-$B63)*$A63</f>
        <v>0</v>
      </c>
      <c r="BM63" s="2" t="n">
        <f aca="false">(AG63-$B63)*$A63</f>
        <v>0</v>
      </c>
    </row>
    <row r="64" customFormat="false" ht="13.8" hidden="false" customHeight="false" outlineLevel="0" collapsed="false">
      <c r="A64" s="1" t="n">
        <f aca="false">1+A63</f>
        <v>62</v>
      </c>
      <c r="B64" s="3"/>
      <c r="D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 t="n">
        <f aca="false">(D64-$B64)*$A64</f>
        <v>0</v>
      </c>
      <c r="AK64" s="2" t="n">
        <f aca="false">(E64-$B64)*$A64</f>
        <v>0</v>
      </c>
      <c r="AL64" s="2" t="n">
        <f aca="false">(F64-$B64)*$A64</f>
        <v>0</v>
      </c>
      <c r="AM64" s="2" t="n">
        <f aca="false">(G64-$B64)*$A64</f>
        <v>0</v>
      </c>
      <c r="AN64" s="2" t="n">
        <f aca="false">(H64-$B64)*$A64</f>
        <v>0</v>
      </c>
      <c r="AO64" s="2" t="n">
        <f aca="false">(I64-$B64)*$A64</f>
        <v>0</v>
      </c>
      <c r="AP64" s="2" t="n">
        <f aca="false">(J64-$B64)*$A64</f>
        <v>0</v>
      </c>
      <c r="AQ64" s="2" t="n">
        <f aca="false">(K64-$B64)*$A64</f>
        <v>0</v>
      </c>
      <c r="AR64" s="2" t="n">
        <f aca="false">(L64-$B64)*$A64</f>
        <v>0</v>
      </c>
      <c r="AS64" s="2" t="n">
        <f aca="false">(M64-$B64)*$A64</f>
        <v>0</v>
      </c>
      <c r="AT64" s="2" t="n">
        <f aca="false">(N64-$B64)*$A64</f>
        <v>0</v>
      </c>
      <c r="AU64" s="2" t="n">
        <f aca="false">(O64-$B64)*$A64</f>
        <v>0</v>
      </c>
      <c r="AV64" s="2" t="n">
        <f aca="false">(P64-$B64)*$A64</f>
        <v>0</v>
      </c>
      <c r="AW64" s="2" t="n">
        <f aca="false">(Q64-$B64)*$A64</f>
        <v>0</v>
      </c>
      <c r="AX64" s="2" t="n">
        <f aca="false">(R64-$B64)*$A64</f>
        <v>0</v>
      </c>
      <c r="AY64" s="2" t="n">
        <f aca="false">(S64-$B64)*$A64</f>
        <v>0</v>
      </c>
      <c r="AZ64" s="2" t="n">
        <f aca="false">(T64-$B64)*$A64</f>
        <v>0</v>
      </c>
      <c r="BA64" s="2" t="n">
        <f aca="false">(U64-$B64)*$A64</f>
        <v>0</v>
      </c>
      <c r="BB64" s="2" t="n">
        <f aca="false">(V64-$B64)*$A64</f>
        <v>0</v>
      </c>
      <c r="BC64" s="2" t="n">
        <f aca="false">(W64-$B64)*$A64</f>
        <v>0</v>
      </c>
      <c r="BD64" s="2" t="n">
        <f aca="false">(X64-$B64)*$A64</f>
        <v>0</v>
      </c>
      <c r="BE64" s="2" t="n">
        <f aca="false">(Y64-$B64)*$A64</f>
        <v>0</v>
      </c>
      <c r="BF64" s="2" t="n">
        <f aca="false">(Z64-$B64)*$A64</f>
        <v>0</v>
      </c>
      <c r="BG64" s="2" t="n">
        <f aca="false">(AA64-$B64)*$A64</f>
        <v>0</v>
      </c>
      <c r="BH64" s="2" t="n">
        <f aca="false">(AB64-$B64)*$A64</f>
        <v>0</v>
      </c>
      <c r="BI64" s="2" t="n">
        <f aca="false">(AC64-$B64)*$A64</f>
        <v>0</v>
      </c>
      <c r="BJ64" s="2" t="n">
        <f aca="false">(AD64-$B64)*$A64</f>
        <v>0</v>
      </c>
      <c r="BK64" s="2" t="n">
        <f aca="false">(AE64-$B64)*$A64</f>
        <v>0</v>
      </c>
      <c r="BL64" s="2" t="n">
        <f aca="false">(AF64-$B64)*$A64</f>
        <v>0</v>
      </c>
      <c r="BM64" s="2" t="n">
        <f aca="false">(AG64-$B64)*$A64</f>
        <v>0</v>
      </c>
    </row>
    <row r="65" customFormat="false" ht="13.8" hidden="false" customHeight="false" outlineLevel="0" collapsed="false">
      <c r="A65" s="1" t="n">
        <f aca="false">1+A64</f>
        <v>63</v>
      </c>
      <c r="B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 t="n">
        <f aca="false">(D65-$B65)*$A65</f>
        <v>0</v>
      </c>
      <c r="AK65" s="2" t="n">
        <f aca="false">(E65-$B65)*$A65</f>
        <v>0</v>
      </c>
      <c r="AL65" s="2" t="n">
        <f aca="false">(F65-$B65)*$A65</f>
        <v>0</v>
      </c>
      <c r="AM65" s="2" t="n">
        <f aca="false">(G65-$B65)*$A65</f>
        <v>0</v>
      </c>
      <c r="AN65" s="2" t="n">
        <f aca="false">(H65-$B65)*$A65</f>
        <v>0</v>
      </c>
      <c r="AO65" s="2" t="n">
        <f aca="false">(I65-$B65)*$A65</f>
        <v>0</v>
      </c>
      <c r="AP65" s="2" t="n">
        <f aca="false">(J65-$B65)*$A65</f>
        <v>0</v>
      </c>
      <c r="AQ65" s="2" t="n">
        <f aca="false">(K65-$B65)*$A65</f>
        <v>0</v>
      </c>
      <c r="AR65" s="2" t="n">
        <f aca="false">(L65-$B65)*$A65</f>
        <v>0</v>
      </c>
      <c r="AS65" s="2" t="n">
        <f aca="false">(M65-$B65)*$A65</f>
        <v>0</v>
      </c>
      <c r="AT65" s="2" t="n">
        <f aca="false">(N65-$B65)*$A65</f>
        <v>0</v>
      </c>
      <c r="AU65" s="2" t="n">
        <f aca="false">(O65-$B65)*$A65</f>
        <v>0</v>
      </c>
      <c r="AV65" s="2" t="n">
        <f aca="false">(P65-$B65)*$A65</f>
        <v>0</v>
      </c>
      <c r="AW65" s="2" t="n">
        <f aca="false">(Q65-$B65)*$A65</f>
        <v>0</v>
      </c>
      <c r="AX65" s="2" t="n">
        <f aca="false">(R65-$B65)*$A65</f>
        <v>0</v>
      </c>
      <c r="AY65" s="2" t="n">
        <f aca="false">(S65-$B65)*$A65</f>
        <v>0</v>
      </c>
      <c r="AZ65" s="2" t="n">
        <f aca="false">(T65-$B65)*$A65</f>
        <v>0</v>
      </c>
      <c r="BA65" s="2" t="n">
        <f aca="false">(U65-$B65)*$A65</f>
        <v>0</v>
      </c>
      <c r="BB65" s="2" t="n">
        <f aca="false">(V65-$B65)*$A65</f>
        <v>0</v>
      </c>
      <c r="BC65" s="2" t="n">
        <f aca="false">(W65-$B65)*$A65</f>
        <v>0</v>
      </c>
      <c r="BD65" s="2" t="n">
        <f aca="false">(X65-$B65)*$A65</f>
        <v>0</v>
      </c>
      <c r="BE65" s="2" t="n">
        <f aca="false">(Y65-$B65)*$A65</f>
        <v>0</v>
      </c>
      <c r="BF65" s="2" t="n">
        <f aca="false">(Z65-$B65)*$A65</f>
        <v>0</v>
      </c>
      <c r="BG65" s="2" t="n">
        <f aca="false">(AA65-$B65)*$A65</f>
        <v>0</v>
      </c>
      <c r="BH65" s="2" t="n">
        <f aca="false">(AB65-$B65)*$A65</f>
        <v>0</v>
      </c>
      <c r="BI65" s="2" t="n">
        <f aca="false">(AC65-$B65)*$A65</f>
        <v>0</v>
      </c>
      <c r="BJ65" s="2" t="n">
        <f aca="false">(AD65-$B65)*$A65</f>
        <v>0</v>
      </c>
      <c r="BK65" s="2" t="n">
        <f aca="false">(AE65-$B65)*$A65</f>
        <v>0</v>
      </c>
      <c r="BL65" s="2" t="n">
        <f aca="false">(AF65-$B65)*$A65</f>
        <v>0</v>
      </c>
      <c r="BM65" s="2" t="n">
        <f aca="false">(AG65-$B65)*$A65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D1" activeCellId="0" sqref="D1"/>
    </sheetView>
  </sheetViews>
  <sheetFormatPr defaultColWidth="10.542968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8.75"/>
    <col collapsed="false" customWidth="true" hidden="false" outlineLevel="0" max="3" min="3" style="1" width="13.55"/>
    <col collapsed="false" customWidth="true" hidden="false" outlineLevel="0" max="6" min="4" style="1" width="12.15"/>
    <col collapsed="false" customWidth="true" hidden="false" outlineLevel="0" max="7" min="7" style="1" width="20.59"/>
    <col collapsed="false" customWidth="true" hidden="false" outlineLevel="0" max="11" min="8" style="1" width="12.15"/>
    <col collapsed="false" customWidth="true" hidden="false" outlineLevel="0" max="12" min="12" style="1" width="11.43"/>
  </cols>
  <sheetData>
    <row r="1" customFormat="false" ht="15" hidden="false" customHeight="false" outlineLevel="0" collapsed="false">
      <c r="A1" s="1" t="s">
        <v>0</v>
      </c>
      <c r="B1" s="1" t="str">
        <f aca="false">"master(3pp-net)="  &amp; SUMPRODUCT($A2:$A33,B2:B33)/100</f>
        <v>master(3pp-net)=2,97041886657</v>
      </c>
      <c r="C1" s="1" t="str">
        <f aca="false">"master_old="  &amp; SUMPRODUCT($A2:$A33,C2:C33)/100</f>
        <v>master_old=2,9153558107</v>
      </c>
      <c r="D1" s="1" t="str">
        <f aca="false">"n%(w+6)="  &amp; SUMPRODUCT($A2:$A33,D2:D33)/100</f>
        <v>n%(w+6)=2,9251105874</v>
      </c>
      <c r="E1" s="1" t="str">
        <f aca="false">"n%(w+4)="  &amp; SUMPRODUCT($A2:$A33,E2:E33)/100</f>
        <v>n%(w+4)=2,9654215765</v>
      </c>
      <c r="F1" s="1" t="str">
        <f aca="false">"n%(w+5)="  &amp; SUMPRODUCT($A2:$A33,F2:F33)/100</f>
        <v>n%(w+5)=2,9580371643</v>
      </c>
      <c r="G1" s="1" t="str">
        <f aca="false">"n%(w+28m)="  &amp; SUMPRODUCT($A2:$A33,G2:G33)/100</f>
        <v>n%(w+28m)=2,9160552117</v>
      </c>
      <c r="H1" s="1" t="str">
        <f aca="false">"n%(w+14m)="  &amp; SUMPRODUCT($A2:$A33,H2:H33)/100</f>
        <v>n%(w+14m)=0</v>
      </c>
      <c r="K1" s="1" t="str">
        <f aca="false">C1</f>
        <v>master_old=2,9153558107</v>
      </c>
      <c r="L1" s="1" t="str">
        <f aca="false">C1</f>
        <v>master_old=2,9153558107</v>
      </c>
      <c r="M1" s="1" t="str">
        <f aca="false">D1</f>
        <v>n%(w+6)=2,9251105874</v>
      </c>
      <c r="N1" s="1" t="str">
        <f aca="false">D1</f>
        <v>n%(w+6)=2,9251105874</v>
      </c>
      <c r="O1" s="1" t="str">
        <f aca="false">E1</f>
        <v>n%(w+4)=2,9654215765</v>
      </c>
      <c r="P1" s="1" t="str">
        <f aca="false">E1</f>
        <v>n%(w+4)=2,9654215765</v>
      </c>
      <c r="Q1" s="1" t="str">
        <f aca="false">F1</f>
        <v>n%(w+5)=2,9580371643</v>
      </c>
      <c r="R1" s="1" t="str">
        <f aca="false">F1</f>
        <v>n%(w+5)=2,9580371643</v>
      </c>
      <c r="S1" s="1" t="str">
        <f aca="false">G1</f>
        <v>n%(w+28m)=2,9160552117</v>
      </c>
      <c r="T1" s="1" t="str">
        <f aca="false">G1</f>
        <v>n%(w+28m)=2,9160552117</v>
      </c>
      <c r="U1" s="1" t="str">
        <f aca="false">H1</f>
        <v>n%(w+14m)=0</v>
      </c>
      <c r="V1" s="1" t="str">
        <f aca="false">H1</f>
        <v>n%(w+14m)=0</v>
      </c>
    </row>
    <row r="2" customFormat="false" ht="15" hidden="false" customHeight="false" outlineLevel="0" collapsed="false">
      <c r="A2" s="1" t="n">
        <v>0</v>
      </c>
      <c r="B2" s="1" t="n">
        <v>25.8026</v>
      </c>
      <c r="C2" s="1" t="n">
        <v>26.2663</v>
      </c>
      <c r="D2" s="1" t="n">
        <v>26.0259</v>
      </c>
      <c r="E2" s="1" t="n">
        <v>25.782</v>
      </c>
      <c r="F2" s="1" t="n">
        <v>25.8397</v>
      </c>
      <c r="G2" s="1" t="n">
        <v>25.8111</v>
      </c>
      <c r="J2" s="2" t="n">
        <f aca="false">LN(B2/(100-B2))-LN($B2/(100-$B2))</f>
        <v>0</v>
      </c>
      <c r="K2" s="2" t="n">
        <f aca="false">LN(C2)-LN($B2)</f>
        <v>0.0178114866635362</v>
      </c>
      <c r="L2" s="2" t="n">
        <f aca="false">C2-$B2</f>
        <v>0.463699999999999</v>
      </c>
      <c r="M2" s="2" t="n">
        <f aca="false">LN(D2)-LN($B2)</f>
        <v>0.00861693399175767</v>
      </c>
      <c r="N2" s="2" t="n">
        <f aca="false">D2-$B2</f>
        <v>0.223299999999998</v>
      </c>
      <c r="O2" s="2" t="n">
        <f aca="false">LN(E2)-LN($B2)</f>
        <v>-0.000798688022978666</v>
      </c>
      <c r="P2" s="2" t="n">
        <f aca="false">E2-$B2</f>
        <v>-0.0206000000000017</v>
      </c>
      <c r="Q2" s="2" t="n">
        <f aca="false">LN(F2)-LN($B2)</f>
        <v>0.00143680689599313</v>
      </c>
      <c r="R2" s="2" t="n">
        <f aca="false">F2-$B2</f>
        <v>0.0370999999999988</v>
      </c>
      <c r="S2" s="2" t="n">
        <f aca="false">LN(G2)-LN($B2)</f>
        <v>0.000329369918329103</v>
      </c>
      <c r="T2" s="2" t="n">
        <f aca="false">G2-$B2</f>
        <v>0.00849999999999795</v>
      </c>
      <c r="U2" s="2" t="e">
        <f aca="false">LN(H2)-LN($B2)</f>
        <v>#VALUE!</v>
      </c>
      <c r="V2" s="2" t="n">
        <f aca="false">H2-$B2</f>
        <v>-25.8026</v>
      </c>
    </row>
    <row r="3" customFormat="false" ht="15" hidden="false" customHeight="false" outlineLevel="0" collapsed="false">
      <c r="A3" s="1" t="n">
        <f aca="false">1+A2</f>
        <v>1</v>
      </c>
      <c r="B3" s="1" t="n">
        <v>27.8843</v>
      </c>
      <c r="C3" s="1" t="n">
        <v>27.9971</v>
      </c>
      <c r="D3" s="1" t="n">
        <v>28.2711</v>
      </c>
      <c r="E3" s="1" t="n">
        <v>27.6413</v>
      </c>
      <c r="F3" s="1" t="n">
        <v>28.0917</v>
      </c>
      <c r="G3" s="1" t="n">
        <v>28.9877</v>
      </c>
      <c r="J3" s="2" t="n">
        <f aca="false">B3-$B3</f>
        <v>0</v>
      </c>
      <c r="K3" s="2" t="n">
        <f aca="false">LN(C3)-LN($B3)</f>
        <v>0.00403712695833924</v>
      </c>
      <c r="L3" s="2" t="n">
        <f aca="false">C3-$B3</f>
        <v>0.1128</v>
      </c>
      <c r="M3" s="2" t="n">
        <f aca="false">LN(D3)-LN($B3)</f>
        <v>0.0137762750299388</v>
      </c>
      <c r="N3" s="2" t="n">
        <f aca="false">D3-$B3</f>
        <v>0.386800000000001</v>
      </c>
      <c r="O3" s="2" t="n">
        <f aca="false">LN(E3)-LN($B3)</f>
        <v>-0.0087527753458696</v>
      </c>
      <c r="P3" s="2" t="n">
        <f aca="false">E3-$B3</f>
        <v>-0.242999999999999</v>
      </c>
      <c r="Q3" s="2" t="n">
        <f aca="false">LN(F3)-LN($B3)</f>
        <v>0.00741035261842393</v>
      </c>
      <c r="R3" s="2" t="n">
        <f aca="false">F3-$B3</f>
        <v>0.2074</v>
      </c>
      <c r="S3" s="2" t="n">
        <f aca="false">LN(G3)-LN($B3)</f>
        <v>0.0388077956591033</v>
      </c>
      <c r="T3" s="2" t="n">
        <f aca="false">G3-$B3</f>
        <v>1.1034</v>
      </c>
      <c r="U3" s="2" t="e">
        <f aca="false">LN(H3)-LN($B3)</f>
        <v>#VALUE!</v>
      </c>
      <c r="V3" s="2" t="n">
        <f aca="false">H3-$B3</f>
        <v>-27.8843</v>
      </c>
    </row>
    <row r="4" customFormat="false" ht="15" hidden="false" customHeight="false" outlineLevel="0" collapsed="false">
      <c r="A4" s="1" t="n">
        <f aca="false">1+A3</f>
        <v>2</v>
      </c>
      <c r="B4" s="1" t="n">
        <v>8.38808</v>
      </c>
      <c r="C4" s="1" t="n">
        <v>8.45358</v>
      </c>
      <c r="D4" s="1" t="n">
        <v>8.38264</v>
      </c>
      <c r="E4" s="1" t="n">
        <v>8.39193</v>
      </c>
      <c r="F4" s="1" t="n">
        <v>8.36457</v>
      </c>
      <c r="G4" s="1" t="n">
        <v>8.18975</v>
      </c>
      <c r="J4" s="2" t="n">
        <f aca="false">LN(B4)-LN($B4)</f>
        <v>0</v>
      </c>
      <c r="K4" s="2" t="n">
        <f aca="false">LN(C4)-LN($B4)</f>
        <v>0.00777836985729596</v>
      </c>
      <c r="L4" s="2" t="n">
        <f aca="false">C4-$B4</f>
        <v>0.0655000000000001</v>
      </c>
      <c r="M4" s="2" t="n">
        <f aca="false">LN(D4)-LN($B4)</f>
        <v>-0.00064874974846596</v>
      </c>
      <c r="N4" s="2" t="n">
        <f aca="false">D4-$B4</f>
        <v>-0.00544000000000011</v>
      </c>
      <c r="O4" s="2" t="n">
        <f aca="false">LN(E4)-LN($B4)</f>
        <v>0.000458879353177899</v>
      </c>
      <c r="P4" s="2" t="n">
        <f aca="false">E4-$B4</f>
        <v>0.00384999999999991</v>
      </c>
      <c r="Q4" s="2" t="n">
        <f aca="false">LN(F4)-LN($B4)</f>
        <v>-0.00280672197338339</v>
      </c>
      <c r="R4" s="2" t="n">
        <f aca="false">F4-$B4</f>
        <v>-0.0235099999999999</v>
      </c>
      <c r="S4" s="2" t="n">
        <f aca="false">LN(G4)-LN($B4)</f>
        <v>-0.0239282780600676</v>
      </c>
      <c r="T4" s="2" t="n">
        <f aca="false">G4-$B4</f>
        <v>-0.19833</v>
      </c>
      <c r="U4" s="2" t="e">
        <f aca="false">LN(H4)-LN($B4)</f>
        <v>#VALUE!</v>
      </c>
      <c r="V4" s="2" t="n">
        <f aca="false">H4-$B4</f>
        <v>-8.38808</v>
      </c>
    </row>
    <row r="5" customFormat="false" ht="15" hidden="false" customHeight="false" outlineLevel="0" collapsed="false">
      <c r="A5" s="1" t="n">
        <f aca="false">1+A4</f>
        <v>3</v>
      </c>
      <c r="B5" s="1" t="n">
        <v>7.68033</v>
      </c>
      <c r="C5" s="1" t="n">
        <v>7.78302</v>
      </c>
      <c r="D5" s="1" t="n">
        <v>7.64597</v>
      </c>
      <c r="E5" s="1" t="n">
        <v>7.75436</v>
      </c>
      <c r="F5" s="1" t="n">
        <v>7.66565</v>
      </c>
      <c r="G5" s="1" t="n">
        <v>7.53411</v>
      </c>
      <c r="K5" s="2" t="n">
        <f aca="false">LN(C5)-LN($B5)</f>
        <v>0.0132819226906982</v>
      </c>
      <c r="L5" s="2" t="n">
        <f aca="false">C5-$B5</f>
        <v>0.10269</v>
      </c>
      <c r="M5" s="2" t="n">
        <f aca="false">LN(D5)-LN($B5)</f>
        <v>-0.00448380334012022</v>
      </c>
      <c r="N5" s="2" t="n">
        <f aca="false">D5-$B5</f>
        <v>-0.0343599999999995</v>
      </c>
      <c r="O5" s="2" t="n">
        <f aca="false">LN(E5)-LN($B5)</f>
        <v>0.00959275083480193</v>
      </c>
      <c r="P5" s="2" t="n">
        <f aca="false">E5-$B5</f>
        <v>0.0740300000000005</v>
      </c>
      <c r="Q5" s="2" t="n">
        <f aca="false">LN(F5)-LN($B5)</f>
        <v>-0.0019132052143731</v>
      </c>
      <c r="R5" s="2" t="n">
        <f aca="false">F5-$B5</f>
        <v>-0.0146799999999994</v>
      </c>
      <c r="S5" s="2" t="n">
        <f aca="false">LN(G5)-LN($B5)</f>
        <v>-0.019221805345353</v>
      </c>
      <c r="T5" s="2" t="n">
        <f aca="false">G5-$B5</f>
        <v>-0.14622</v>
      </c>
      <c r="U5" s="2" t="e">
        <f aca="false">LN(H5)-LN($B5)</f>
        <v>#VALUE!</v>
      </c>
      <c r="V5" s="2" t="n">
        <f aca="false">H5-$B5</f>
        <v>-7.68033</v>
      </c>
    </row>
    <row r="6" customFormat="false" ht="15" hidden="false" customHeight="false" outlineLevel="0" collapsed="false">
      <c r="A6" s="1" t="n">
        <f aca="false">1+A5</f>
        <v>4</v>
      </c>
      <c r="B6" s="1" t="n">
        <v>6.29467</v>
      </c>
      <c r="C6" s="1" t="n">
        <v>6.28993</v>
      </c>
      <c r="D6" s="1" t="n">
        <v>6.2465</v>
      </c>
      <c r="E6" s="1" t="n">
        <v>6.40944</v>
      </c>
      <c r="F6" s="1" t="n">
        <v>6.28354</v>
      </c>
      <c r="G6" s="1" t="n">
        <v>6.18139</v>
      </c>
      <c r="K6" s="2" t="n">
        <f aca="false">LN(C6)-LN($B6)</f>
        <v>-0.000753301690025632</v>
      </c>
      <c r="L6" s="2" t="n">
        <f aca="false">C6-$B6</f>
        <v>-0.00473999999999997</v>
      </c>
      <c r="M6" s="2" t="n">
        <f aca="false">LN(D6)-LN($B6)</f>
        <v>-0.00768193667486794</v>
      </c>
      <c r="N6" s="2" t="n">
        <f aca="false">D6-$B6</f>
        <v>-0.0481699999999998</v>
      </c>
      <c r="O6" s="2" t="n">
        <f aca="false">LN(E6)-LN($B6)</f>
        <v>0.0180686600570117</v>
      </c>
      <c r="P6" s="2" t="n">
        <f aca="false">E6-$B6</f>
        <v>0.11477</v>
      </c>
      <c r="Q6" s="2" t="n">
        <f aca="false">LN(F6)-LN($B6)</f>
        <v>-0.0017697276329256</v>
      </c>
      <c r="R6" s="2" t="n">
        <f aca="false">F6-$B6</f>
        <v>-0.0111299999999996</v>
      </c>
      <c r="S6" s="2" t="n">
        <f aca="false">LN(G6)-LN($B6)</f>
        <v>-0.0181600782916715</v>
      </c>
      <c r="T6" s="2" t="n">
        <f aca="false">G6-$B6</f>
        <v>-0.11328</v>
      </c>
      <c r="U6" s="2" t="e">
        <f aca="false">LN(H6)-LN($B6)</f>
        <v>#VALUE!</v>
      </c>
      <c r="V6" s="2" t="n">
        <f aca="false">H6-$B6</f>
        <v>-6.29467</v>
      </c>
    </row>
    <row r="7" customFormat="false" ht="15" hidden="false" customHeight="false" outlineLevel="0" collapsed="false">
      <c r="A7" s="1" t="n">
        <f aca="false">1+A6</f>
        <v>5</v>
      </c>
      <c r="B7" s="1" t="n">
        <v>4.84316</v>
      </c>
      <c r="C7" s="1" t="n">
        <v>4.71501</v>
      </c>
      <c r="D7" s="1" t="n">
        <v>4.79142</v>
      </c>
      <c r="E7" s="1" t="n">
        <v>4.97971</v>
      </c>
      <c r="F7" s="1" t="n">
        <v>4.83452</v>
      </c>
      <c r="G7" s="1" t="n">
        <v>4.75071</v>
      </c>
      <c r="K7" s="2" t="n">
        <f aca="false">LN(C7)-LN($B7)</f>
        <v>-0.026816363274953</v>
      </c>
      <c r="L7" s="2" t="n">
        <f aca="false">C7-$B7</f>
        <v>-0.12815</v>
      </c>
      <c r="M7" s="2" t="n">
        <f aca="false">LN(D7)-LN($B7)</f>
        <v>-0.0107405818195152</v>
      </c>
      <c r="N7" s="2" t="n">
        <f aca="false">D7-$B7</f>
        <v>-0.0517400000000006</v>
      </c>
      <c r="O7" s="2" t="n">
        <f aca="false">LN(E7)-LN($B7)</f>
        <v>0.0278042561603327</v>
      </c>
      <c r="P7" s="2" t="n">
        <f aca="false">E7-$B7</f>
        <v>0.13655</v>
      </c>
      <c r="Q7" s="2" t="n">
        <f aca="false">LN(F7)-LN($B7)</f>
        <v>-0.00178555238352618</v>
      </c>
      <c r="R7" s="2" t="n">
        <f aca="false">F7-$B7</f>
        <v>-0.00863999999999976</v>
      </c>
      <c r="S7" s="2" t="n">
        <f aca="false">LN(G7)-LN($B7)</f>
        <v>-0.0192733196882167</v>
      </c>
      <c r="T7" s="2" t="n">
        <f aca="false">G7-$B7</f>
        <v>-0.0924500000000004</v>
      </c>
      <c r="U7" s="2" t="e">
        <f aca="false">LN(H7)-LN($B7)</f>
        <v>#VALUE!</v>
      </c>
      <c r="V7" s="2" t="n">
        <f aca="false">H7-$B7</f>
        <v>-4.84316</v>
      </c>
    </row>
    <row r="8" customFormat="false" ht="15" hidden="false" customHeight="false" outlineLevel="0" collapsed="false">
      <c r="A8" s="1" t="n">
        <f aca="false">1+A7</f>
        <v>6</v>
      </c>
      <c r="B8" s="1" t="n">
        <v>3.77075</v>
      </c>
      <c r="C8" s="1" t="n">
        <v>3.60666</v>
      </c>
      <c r="D8" s="1" t="n">
        <v>3.72211</v>
      </c>
      <c r="E8" s="1" t="n">
        <v>3.8997</v>
      </c>
      <c r="F8" s="1" t="n">
        <v>3.75927</v>
      </c>
      <c r="G8" s="1" t="n">
        <v>3.69426</v>
      </c>
      <c r="K8" s="2" t="n">
        <f aca="false">LN(C8)-LN($B8)</f>
        <v>-0.0444917843465427</v>
      </c>
      <c r="L8" s="2" t="n">
        <f aca="false">C8-$B8</f>
        <v>-0.16409</v>
      </c>
      <c r="M8" s="2" t="n">
        <f aca="false">LN(D8)-LN($B8)</f>
        <v>-0.0129832088796527</v>
      </c>
      <c r="N8" s="2" t="n">
        <f aca="false">D8-$B8</f>
        <v>-0.0486400000000002</v>
      </c>
      <c r="O8" s="2" t="n">
        <f aca="false">LN(E8)-LN($B8)</f>
        <v>0.0336257064337213</v>
      </c>
      <c r="P8" s="2" t="n">
        <f aca="false">E8-$B8</f>
        <v>0.12895</v>
      </c>
      <c r="Q8" s="2" t="n">
        <f aca="false">LN(F8)-LN($B8)</f>
        <v>-0.00304913104993632</v>
      </c>
      <c r="R8" s="2" t="n">
        <f aca="false">F8-$B8</f>
        <v>-0.0114800000000002</v>
      </c>
      <c r="S8" s="2" t="n">
        <f aca="false">LN(G8)-LN($B8)</f>
        <v>-0.020493656958896</v>
      </c>
      <c r="T8" s="2" t="n">
        <f aca="false">G8-$B8</f>
        <v>-0.0764900000000002</v>
      </c>
      <c r="U8" s="2" t="e">
        <f aca="false">LN(H8)-LN($B8)</f>
        <v>#VALUE!</v>
      </c>
      <c r="V8" s="2" t="n">
        <f aca="false">H8-$B8</f>
        <v>-3.77075</v>
      </c>
    </row>
    <row r="9" customFormat="false" ht="15" hidden="false" customHeight="false" outlineLevel="0" collapsed="false">
      <c r="A9" s="1" t="n">
        <f aca="false">1+A8</f>
        <v>7</v>
      </c>
      <c r="B9" s="1" t="n">
        <v>3.14605</v>
      </c>
      <c r="C9" s="1" t="n">
        <v>2.99493</v>
      </c>
      <c r="D9" s="1" t="n">
        <v>3.09296</v>
      </c>
      <c r="E9" s="1" t="n">
        <v>3.21885</v>
      </c>
      <c r="F9" s="1" t="n">
        <v>3.12511</v>
      </c>
      <c r="G9" s="1" t="n">
        <v>3.06634</v>
      </c>
      <c r="K9" s="2" t="n">
        <f aca="false">LN(C9)-LN($B9)</f>
        <v>-0.0492268387003705</v>
      </c>
      <c r="L9" s="2" t="n">
        <f aca="false">C9-$B9</f>
        <v>-0.15112</v>
      </c>
      <c r="M9" s="2" t="n">
        <f aca="false">LN(D9)-LN($B9)</f>
        <v>-0.0170191365162571</v>
      </c>
      <c r="N9" s="2" t="n">
        <f aca="false">D9-$B9</f>
        <v>-0.0530899999999996</v>
      </c>
      <c r="O9" s="2" t="n">
        <f aca="false">LN(E9)-LN($B9)</f>
        <v>0.0228764552009735</v>
      </c>
      <c r="P9" s="2" t="n">
        <f aca="false">E9-$B9</f>
        <v>0.0728000000000004</v>
      </c>
      <c r="Q9" s="2" t="n">
        <f aca="false">LN(F9)-LN($B9)</f>
        <v>-0.00667821513864242</v>
      </c>
      <c r="R9" s="2" t="n">
        <f aca="false">F9-$B9</f>
        <v>-0.02094</v>
      </c>
      <c r="S9" s="2" t="n">
        <f aca="false">LN(G9)-LN($B9)</f>
        <v>-0.0256630297335907</v>
      </c>
      <c r="T9" s="2" t="n">
        <f aca="false">G9-$B9</f>
        <v>-0.07971</v>
      </c>
      <c r="U9" s="2" t="e">
        <f aca="false">LN(H9)-LN($B9)</f>
        <v>#VALUE!</v>
      </c>
      <c r="V9" s="2" t="n">
        <f aca="false">H9-$B9</f>
        <v>-3.14605</v>
      </c>
    </row>
    <row r="10" customFormat="false" ht="15" hidden="false" customHeight="false" outlineLevel="0" collapsed="false">
      <c r="A10" s="1" t="n">
        <f aca="false">1+A9</f>
        <v>8</v>
      </c>
      <c r="B10" s="1" t="n">
        <v>2.63541</v>
      </c>
      <c r="C10" s="1" t="n">
        <v>2.53763</v>
      </c>
      <c r="D10" s="1" t="n">
        <v>2.57318</v>
      </c>
      <c r="E10" s="1" t="n">
        <v>2.64889</v>
      </c>
      <c r="F10" s="1" t="n">
        <v>2.60278</v>
      </c>
      <c r="G10" s="1" t="n">
        <v>2.54989</v>
      </c>
      <c r="K10" s="2" t="n">
        <f aca="false">LN(C10)-LN($B10)</f>
        <v>-0.0378081930295061</v>
      </c>
      <c r="L10" s="2" t="n">
        <f aca="false">C10-$B10</f>
        <v>-0.0977799999999998</v>
      </c>
      <c r="M10" s="2" t="n">
        <f aca="false">LN(D10)-LN($B10)</f>
        <v>-0.0238962795111546</v>
      </c>
      <c r="N10" s="2" t="n">
        <f aca="false">D10-$B10</f>
        <v>-0.06223</v>
      </c>
      <c r="O10" s="2" t="n">
        <f aca="false">LN(E10)-LN($B10)</f>
        <v>0.00510191671171334</v>
      </c>
      <c r="P10" s="2" t="n">
        <f aca="false">E10-$B10</f>
        <v>0.0134800000000004</v>
      </c>
      <c r="Q10" s="2" t="n">
        <f aca="false">LN(F10)-LN($B10)</f>
        <v>-0.0124586630356263</v>
      </c>
      <c r="R10" s="2" t="n">
        <f aca="false">F10-$B10</f>
        <v>-0.0326299999999997</v>
      </c>
      <c r="S10" s="2" t="n">
        <f aca="false">LN(G10)-LN($B10)</f>
        <v>-0.032988546627221</v>
      </c>
      <c r="T10" s="2" t="n">
        <f aca="false">G10-$B10</f>
        <v>-0.0855199999999998</v>
      </c>
      <c r="U10" s="2" t="e">
        <f aca="false">LN(H10)-LN($B10)</f>
        <v>#VALUE!</v>
      </c>
      <c r="V10" s="2" t="n">
        <f aca="false">H10-$B10</f>
        <v>-2.63541</v>
      </c>
    </row>
    <row r="11" customFormat="false" ht="15" hidden="false" customHeight="false" outlineLevel="0" collapsed="false">
      <c r="A11" s="1" t="n">
        <f aca="false">1+A10</f>
        <v>9</v>
      </c>
      <c r="B11" s="1" t="n">
        <v>2.17763</v>
      </c>
      <c r="C11" s="1" t="n">
        <v>2.12875</v>
      </c>
      <c r="D11" s="1" t="n">
        <v>2.09931</v>
      </c>
      <c r="E11" s="1" t="n">
        <v>2.13553</v>
      </c>
      <c r="F11" s="1" t="n">
        <v>2.12664</v>
      </c>
      <c r="G11" s="1" t="n">
        <v>2.08035</v>
      </c>
      <c r="K11" s="2" t="n">
        <f aca="false">LN(C11)-LN($B11)</f>
        <v>-0.022702176460234</v>
      </c>
      <c r="L11" s="2" t="n">
        <f aca="false">C11-$B11</f>
        <v>-0.04888</v>
      </c>
      <c r="M11" s="2" t="n">
        <f aca="false">LN(D11)-LN($B11)</f>
        <v>-0.036628410145608</v>
      </c>
      <c r="N11" s="2" t="n">
        <f aca="false">D11-$B11</f>
        <v>-0.0783200000000002</v>
      </c>
      <c r="O11" s="2" t="n">
        <f aca="false">LN(E11)-LN($B11)</f>
        <v>-0.0195222700220222</v>
      </c>
      <c r="P11" s="2" t="n">
        <f aca="false">E11-$B11</f>
        <v>-0.0421</v>
      </c>
      <c r="Q11" s="2" t="n">
        <f aca="false">LN(F11)-LN($B11)</f>
        <v>-0.0236938600299754</v>
      </c>
      <c r="R11" s="2" t="n">
        <f aca="false">F11-$B11</f>
        <v>-0.0509900000000001</v>
      </c>
      <c r="S11" s="2" t="n">
        <f aca="false">LN(G11)-LN($B11)</f>
        <v>-0.0457009806666782</v>
      </c>
      <c r="T11" s="2" t="n">
        <f aca="false">G11-$B11</f>
        <v>-0.09728</v>
      </c>
      <c r="U11" s="2" t="e">
        <f aca="false">LN(H11)-LN($B11)</f>
        <v>#VALUE!</v>
      </c>
      <c r="V11" s="2" t="n">
        <f aca="false">H11-$B11</f>
        <v>-2.17763</v>
      </c>
    </row>
    <row r="12" customFormat="false" ht="15" hidden="false" customHeight="false" outlineLevel="0" collapsed="false">
      <c r="A12" s="1" t="n">
        <f aca="false">1+A11</f>
        <v>10</v>
      </c>
      <c r="B12" s="1" t="n">
        <v>1.75032</v>
      </c>
      <c r="C12" s="1" t="n">
        <v>1.73073</v>
      </c>
      <c r="D12" s="1" t="n">
        <v>1.6782</v>
      </c>
      <c r="E12" s="1" t="n">
        <v>1.68691</v>
      </c>
      <c r="F12" s="1" t="n">
        <v>1.70418</v>
      </c>
      <c r="G12" s="1" t="n">
        <v>1.66348</v>
      </c>
      <c r="K12" s="2" t="n">
        <f aca="false">LN(C12)-LN($B12)</f>
        <v>-0.0112553435366719</v>
      </c>
      <c r="L12" s="2" t="n">
        <f aca="false">C12-$B12</f>
        <v>-0.01959</v>
      </c>
      <c r="M12" s="2" t="n">
        <f aca="false">LN(D12)-LN($B12)</f>
        <v>-0.0420768379081183</v>
      </c>
      <c r="N12" s="2" t="n">
        <f aca="false">D12-$B12</f>
        <v>-0.0721200000000002</v>
      </c>
      <c r="O12" s="2" t="n">
        <f aca="false">LN(E12)-LN($B12)</f>
        <v>-0.0369001753617212</v>
      </c>
      <c r="P12" s="2" t="n">
        <f aca="false">E12-$B12</f>
        <v>-0.0634100000000002</v>
      </c>
      <c r="Q12" s="2" t="n">
        <f aca="false">LN(F12)-LN($B12)</f>
        <v>-0.0267145717308667</v>
      </c>
      <c r="R12" s="2" t="n">
        <f aca="false">F12-$B12</f>
        <v>-0.0461400000000001</v>
      </c>
      <c r="S12" s="2" t="n">
        <f aca="false">LN(G12)-LN($B12)</f>
        <v>-0.0508868348012332</v>
      </c>
      <c r="T12" s="2" t="n">
        <f aca="false">G12-$B12</f>
        <v>-0.08684</v>
      </c>
      <c r="U12" s="2" t="e">
        <f aca="false">LN(H12)-LN($B12)</f>
        <v>#VALUE!</v>
      </c>
      <c r="V12" s="2" t="n">
        <f aca="false">H12-$B12</f>
        <v>-1.75032</v>
      </c>
    </row>
    <row r="13" customFormat="false" ht="15" hidden="false" customHeight="false" outlineLevel="0" collapsed="false">
      <c r="A13" s="1" t="n">
        <f aca="false">1+A12</f>
        <v>11</v>
      </c>
      <c r="B13" s="1" t="n">
        <v>1.39229</v>
      </c>
      <c r="C13" s="1" t="n">
        <v>1.39171</v>
      </c>
      <c r="D13" s="1" t="n">
        <v>1.32994</v>
      </c>
      <c r="E13" s="1" t="n">
        <v>1.3303</v>
      </c>
      <c r="F13" s="1" t="n">
        <v>1.3535</v>
      </c>
      <c r="G13" s="1" t="n">
        <v>1.3205</v>
      </c>
      <c r="K13" s="2" t="n">
        <f aca="false">LN(C13)-LN($B13)</f>
        <v>-0.000416666672694854</v>
      </c>
      <c r="L13" s="2" t="n">
        <f aca="false">C13-$B13</f>
        <v>-0.000580000000000025</v>
      </c>
      <c r="M13" s="2" t="n">
        <f aca="false">LN(D13)-LN($B13)</f>
        <v>-0.0458160451130907</v>
      </c>
      <c r="N13" s="2" t="n">
        <f aca="false">D13-$B13</f>
        <v>-0.0623500000000001</v>
      </c>
      <c r="O13" s="2" t="n">
        <f aca="false">LN(E13)-LN($B13)</f>
        <v>-0.045545392839463</v>
      </c>
      <c r="P13" s="2" t="n">
        <f aca="false">E13-$B13</f>
        <v>-0.06199</v>
      </c>
      <c r="Q13" s="2" t="n">
        <f aca="false">LN(F13)-LN($B13)</f>
        <v>-0.0282560434749672</v>
      </c>
      <c r="R13" s="2" t="n">
        <f aca="false">F13-$B13</f>
        <v>-0.0387900000000001</v>
      </c>
      <c r="S13" s="2" t="n">
        <f aca="false">LN(G13)-LN($B13)</f>
        <v>-0.0529394207921361</v>
      </c>
      <c r="T13" s="2" t="n">
        <f aca="false">G13-$B13</f>
        <v>-0.07179</v>
      </c>
      <c r="U13" s="2" t="e">
        <f aca="false">LN(H13)-LN($B13)</f>
        <v>#VALUE!</v>
      </c>
      <c r="V13" s="2" t="n">
        <f aca="false">H13-$B13</f>
        <v>-1.39229</v>
      </c>
    </row>
    <row r="14" customFormat="false" ht="15" hidden="false" customHeight="false" outlineLevel="0" collapsed="false">
      <c r="A14" s="1" t="n">
        <f aca="false">1+A13</f>
        <v>12</v>
      </c>
      <c r="B14" s="1" t="n">
        <v>1.09297</v>
      </c>
      <c r="C14" s="1" t="n">
        <v>1.08697</v>
      </c>
      <c r="D14" s="1" t="n">
        <v>1.04777</v>
      </c>
      <c r="E14" s="1" t="n">
        <v>1.04424</v>
      </c>
      <c r="F14" s="1" t="n">
        <v>1.0684</v>
      </c>
      <c r="G14" s="1" t="n">
        <v>1.04352</v>
      </c>
      <c r="K14" s="2" t="n">
        <f aca="false">LN(C14)-LN($B14)</f>
        <v>-0.00550475256304554</v>
      </c>
      <c r="L14" s="2" t="n">
        <f aca="false">C14-$B14</f>
        <v>-0.00600000000000001</v>
      </c>
      <c r="M14" s="2" t="n">
        <f aca="false">LN(D14)-LN($B14)</f>
        <v>-0.0422346652613313</v>
      </c>
      <c r="N14" s="2" t="n">
        <f aca="false">D14-$B14</f>
        <v>-0.0451999999999999</v>
      </c>
      <c r="O14" s="2" t="n">
        <f aca="false">LN(E14)-LN($B14)</f>
        <v>-0.0456094133268199</v>
      </c>
      <c r="P14" s="2" t="n">
        <f aca="false">E14-$B14</f>
        <v>-0.0487299999999999</v>
      </c>
      <c r="Q14" s="2" t="n">
        <f aca="false">LN(F14)-LN($B14)</f>
        <v>-0.0227365591715485</v>
      </c>
      <c r="R14" s="2" t="n">
        <f aca="false">F14-$B14</f>
        <v>-0.02457</v>
      </c>
      <c r="S14" s="2" t="n">
        <f aca="false">LN(G14)-LN($B14)</f>
        <v>-0.0462991478064</v>
      </c>
      <c r="T14" s="2" t="n">
        <f aca="false">G14-$B14</f>
        <v>-0.04945</v>
      </c>
      <c r="U14" s="2" t="e">
        <f aca="false">LN(H14)-LN($B14)</f>
        <v>#VALUE!</v>
      </c>
      <c r="V14" s="2" t="n">
        <f aca="false">H14-$B14</f>
        <v>-1.09297</v>
      </c>
    </row>
    <row r="15" customFormat="false" ht="15" hidden="false" customHeight="false" outlineLevel="0" collapsed="false">
      <c r="A15" s="1" t="n">
        <f aca="false">1+A14</f>
        <v>13</v>
      </c>
      <c r="B15" s="1" t="n">
        <v>0.837173</v>
      </c>
      <c r="C15" s="1" t="n">
        <v>0.820004</v>
      </c>
      <c r="D15" s="1" t="n">
        <v>0.809317</v>
      </c>
      <c r="E15" s="1" t="n">
        <v>0.803802</v>
      </c>
      <c r="F15" s="1" t="n">
        <v>0.826994</v>
      </c>
      <c r="G15" s="1" t="n">
        <v>0.809205</v>
      </c>
      <c r="K15" s="2" t="n">
        <f aca="false">LN(C15)-LN($B15)</f>
        <v>-0.0207215213982717</v>
      </c>
      <c r="L15" s="2" t="n">
        <f aca="false">C15-$B15</f>
        <v>-0.017169</v>
      </c>
      <c r="M15" s="2" t="n">
        <f aca="false">LN(D15)-LN($B15)</f>
        <v>-0.0338400576049281</v>
      </c>
      <c r="N15" s="2" t="n">
        <f aca="false">D15-$B15</f>
        <v>-0.027856</v>
      </c>
      <c r="O15" s="2" t="n">
        <f aca="false">LN(E15)-LN($B15)</f>
        <v>-0.0406777695003085</v>
      </c>
      <c r="P15" s="2" t="n">
        <f aca="false">E15-$B15</f>
        <v>-0.0333709999999999</v>
      </c>
      <c r="Q15" s="2" t="n">
        <f aca="false">LN(F15)-LN($B15)</f>
        <v>-0.0122332998351375</v>
      </c>
      <c r="R15" s="2" t="n">
        <f aca="false">F15-$B15</f>
        <v>-0.0101789999999999</v>
      </c>
      <c r="S15" s="2" t="n">
        <f aca="false">LN(G15)-LN($B15)</f>
        <v>-0.0339784554767874</v>
      </c>
      <c r="T15" s="2" t="n">
        <f aca="false">G15-$B15</f>
        <v>-0.027968</v>
      </c>
      <c r="U15" s="2" t="e">
        <f aca="false">LN(H15)-LN($B15)</f>
        <v>#VALUE!</v>
      </c>
      <c r="V15" s="2" t="n">
        <f aca="false">H15-$B15</f>
        <v>-0.837173</v>
      </c>
    </row>
    <row r="16" customFormat="false" ht="15" hidden="false" customHeight="false" outlineLevel="0" collapsed="false">
      <c r="A16" s="1" t="n">
        <f aca="false">1+A15</f>
        <v>14</v>
      </c>
      <c r="B16" s="1" t="n">
        <v>0.632933</v>
      </c>
      <c r="C16" s="1" t="n">
        <v>0.608468</v>
      </c>
      <c r="D16" s="1" t="n">
        <v>0.6177</v>
      </c>
      <c r="E16" s="1" t="n">
        <v>0.611386</v>
      </c>
      <c r="F16" s="1" t="n">
        <v>0.632526</v>
      </c>
      <c r="G16" s="1" t="n">
        <v>0.620983</v>
      </c>
      <c r="K16" s="2" t="n">
        <f aca="false">LN(C16)-LN($B16)</f>
        <v>-0.0394202486477018</v>
      </c>
      <c r="L16" s="2" t="n">
        <f aca="false">C16-$B16</f>
        <v>-0.024465</v>
      </c>
      <c r="M16" s="2" t="n">
        <f aca="false">LN(D16)-LN($B16)</f>
        <v>-0.0243616686586515</v>
      </c>
      <c r="N16" s="2" t="n">
        <f aca="false">D16-$B16</f>
        <v>-0.0152329999999999</v>
      </c>
      <c r="O16" s="2" t="n">
        <f aca="false">LN(E16)-LN($B16)</f>
        <v>-0.0346360604322143</v>
      </c>
      <c r="P16" s="2" t="n">
        <f aca="false">E16-$B16</f>
        <v>-0.021547</v>
      </c>
      <c r="Q16" s="2" t="n">
        <f aca="false">LN(F16)-LN($B16)</f>
        <v>-0.000643244884320104</v>
      </c>
      <c r="R16" s="2" t="n">
        <f aca="false">F16-$B16</f>
        <v>-0.000406999999999935</v>
      </c>
      <c r="S16" s="2" t="n">
        <f aca="false">LN(G16)-LN($B16)</f>
        <v>-0.0190608650030222</v>
      </c>
      <c r="T16" s="2" t="n">
        <f aca="false">G16-$B16</f>
        <v>-0.01195</v>
      </c>
      <c r="U16" s="2" t="e">
        <f aca="false">LN(H16)-LN($B16)</f>
        <v>#VALUE!</v>
      </c>
      <c r="V16" s="2" t="n">
        <f aca="false">H16-$B16</f>
        <v>-0.632933</v>
      </c>
    </row>
    <row r="17" customFormat="false" ht="15" hidden="false" customHeight="false" outlineLevel="0" collapsed="false">
      <c r="A17" s="1" t="n">
        <f aca="false">1+A16</f>
        <v>15</v>
      </c>
      <c r="B17" s="1" t="n">
        <v>0.471794</v>
      </c>
      <c r="C17" s="1" t="n">
        <v>0.444986</v>
      </c>
      <c r="D17" s="1" t="n">
        <v>0.462876</v>
      </c>
      <c r="E17" s="1" t="n">
        <v>0.458151</v>
      </c>
      <c r="F17" s="1" t="n">
        <v>0.475818</v>
      </c>
      <c r="G17" s="1" t="n">
        <v>0.468119</v>
      </c>
      <c r="K17" s="2" t="n">
        <f aca="false">LN(C17)-LN($B17)</f>
        <v>-0.0584996286424508</v>
      </c>
      <c r="L17" s="2" t="n">
        <f aca="false">C17-$B17</f>
        <v>-0.026808</v>
      </c>
      <c r="M17" s="2" t="n">
        <f aca="false">LN(D17)-LN($B17)</f>
        <v>-0.0190832499977153</v>
      </c>
      <c r="N17" s="2" t="n">
        <f aca="false">D17-$B17</f>
        <v>-0.00891799999999998</v>
      </c>
      <c r="O17" s="2" t="n">
        <f aca="false">LN(E17)-LN($B17)</f>
        <v>-0.029343625539538</v>
      </c>
      <c r="P17" s="2" t="n">
        <f aca="false">E17-$B17</f>
        <v>-0.013643</v>
      </c>
      <c r="Q17" s="2" t="n">
        <f aca="false">LN(F17)-LN($B17)</f>
        <v>0.00849297853508346</v>
      </c>
      <c r="R17" s="2" t="n">
        <f aca="false">F17-$B17</f>
        <v>0.00402400000000003</v>
      </c>
      <c r="S17" s="2" t="n">
        <f aca="false">LN(G17)-LN($B17)</f>
        <v>-0.00781991253974468</v>
      </c>
      <c r="T17" s="2" t="n">
        <f aca="false">G17-$B17</f>
        <v>-0.00367499999999998</v>
      </c>
      <c r="U17" s="2" t="e">
        <f aca="false">LN(H17)-LN($B17)</f>
        <v>#VALUE!</v>
      </c>
      <c r="V17" s="2" t="n">
        <f aca="false">H17-$B17</f>
        <v>-0.471794</v>
      </c>
    </row>
    <row r="18" customFormat="false" ht="15" hidden="false" customHeight="false" outlineLevel="0" collapsed="false">
      <c r="A18" s="1" t="n">
        <f aca="false">1+A17</f>
        <v>16</v>
      </c>
      <c r="B18" s="1" t="n">
        <v>0.348</v>
      </c>
      <c r="C18" s="1" t="n">
        <v>0.324951</v>
      </c>
      <c r="D18" s="1" t="n">
        <v>0.342433</v>
      </c>
      <c r="E18" s="1" t="n">
        <v>0.339749</v>
      </c>
      <c r="F18" s="1" t="n">
        <v>0.353286</v>
      </c>
      <c r="G18" s="1" t="n">
        <v>0.348556</v>
      </c>
      <c r="K18" s="2" t="n">
        <f aca="false">LN(C18)-LN($B18)</f>
        <v>-0.068528078042329</v>
      </c>
      <c r="L18" s="2" t="n">
        <f aca="false">C18-$B18</f>
        <v>-0.023049</v>
      </c>
      <c r="M18" s="2" t="n">
        <f aca="false">LN(D18)-LN($B18)</f>
        <v>-0.0161264616463241</v>
      </c>
      <c r="N18" s="2" t="n">
        <f aca="false">D18-$B18</f>
        <v>-0.00556699999999999</v>
      </c>
      <c r="O18" s="2" t="n">
        <f aca="false">LN(E18)-LN($B18)</f>
        <v>-0.0239953700882445</v>
      </c>
      <c r="P18" s="2" t="n">
        <f aca="false">E18-$B18</f>
        <v>-0.00825099999999995</v>
      </c>
      <c r="Q18" s="2" t="n">
        <f aca="false">LN(F18)-LN($B18)</f>
        <v>0.0150754474256323</v>
      </c>
      <c r="R18" s="2" t="n">
        <f aca="false">F18-$B18</f>
        <v>0.00528600000000001</v>
      </c>
      <c r="S18" s="2" t="n">
        <f aca="false">LN(G18)-LN($B18)</f>
        <v>0.00159642618277367</v>
      </c>
      <c r="T18" s="2" t="n">
        <f aca="false">G18-$B18</f>
        <v>0.000556000000000001</v>
      </c>
      <c r="U18" s="2" t="e">
        <f aca="false">LN(H18)-LN($B18)</f>
        <v>#VALUE!</v>
      </c>
      <c r="V18" s="2" t="n">
        <f aca="false">H18-$B18</f>
        <v>-0.348</v>
      </c>
    </row>
    <row r="19" customFormat="false" ht="15" hidden="false" customHeight="false" outlineLevel="0" collapsed="false">
      <c r="A19" s="1" t="n">
        <f aca="false">1+A18</f>
        <v>17</v>
      </c>
      <c r="B19" s="1" t="n">
        <v>0.254459</v>
      </c>
      <c r="C19" s="1" t="n">
        <v>0.236503</v>
      </c>
      <c r="D19" s="1" t="n">
        <v>0.250929</v>
      </c>
      <c r="E19" s="1" t="n">
        <v>0.249861</v>
      </c>
      <c r="F19" s="1" t="n">
        <v>0.259533</v>
      </c>
      <c r="G19" s="1" t="n">
        <v>0.256425</v>
      </c>
      <c r="K19" s="2" t="n">
        <f aca="false">LN(C19)-LN($B19)</f>
        <v>-0.0731788299751202</v>
      </c>
      <c r="L19" s="2" t="n">
        <f aca="false">C19-$B19</f>
        <v>-0.017956</v>
      </c>
      <c r="M19" s="2" t="n">
        <f aca="false">LN(D19)-LN($B19)</f>
        <v>-0.0139696922250434</v>
      </c>
      <c r="N19" s="2" t="n">
        <f aca="false">D19-$B19</f>
        <v>-0.00352999999999998</v>
      </c>
      <c r="O19" s="2" t="n">
        <f aca="false">LN(E19)-LN($B19)</f>
        <v>-0.018234959579154</v>
      </c>
      <c r="P19" s="2" t="n">
        <f aca="false">E19-$B19</f>
        <v>-0.00459799999999999</v>
      </c>
      <c r="Q19" s="2" t="n">
        <f aca="false">LN(F19)-LN($B19)</f>
        <v>0.0197441393348003</v>
      </c>
      <c r="R19" s="2" t="n">
        <f aca="false">F19-$B19</f>
        <v>0.00507400000000002</v>
      </c>
      <c r="S19" s="2" t="n">
        <f aca="false">LN(G19)-LN($B19)</f>
        <v>0.00769650137739153</v>
      </c>
      <c r="T19" s="2" t="n">
        <f aca="false">G19-$B19</f>
        <v>0.00196600000000002</v>
      </c>
      <c r="U19" s="2" t="e">
        <f aca="false">LN(H19)-LN($B19)</f>
        <v>#VALUE!</v>
      </c>
      <c r="V19" s="2" t="n">
        <f aca="false">H19-$B19</f>
        <v>-0.254459</v>
      </c>
    </row>
    <row r="20" customFormat="false" ht="15" hidden="false" customHeight="false" outlineLevel="0" collapsed="false">
      <c r="A20" s="1" t="n">
        <f aca="false">1+A19</f>
        <v>18</v>
      </c>
      <c r="B20" s="1" t="n">
        <v>0.183004</v>
      </c>
      <c r="C20" s="1" t="n">
        <v>0.170747</v>
      </c>
      <c r="D20" s="1" t="n">
        <v>0.180806</v>
      </c>
      <c r="E20" s="1" t="n">
        <v>0.181075</v>
      </c>
      <c r="F20" s="1" t="n">
        <v>0.187781</v>
      </c>
      <c r="G20" s="1" t="n">
        <v>0.185587</v>
      </c>
      <c r="K20" s="2" t="n">
        <f aca="false">LN(C20)-LN($B20)</f>
        <v>-0.0693250817756039</v>
      </c>
      <c r="L20" s="2" t="n">
        <f aca="false">C20-$B20</f>
        <v>-0.012257</v>
      </c>
      <c r="M20" s="2" t="n">
        <f aca="false">LN(D20)-LN($B20)</f>
        <v>-0.012083377277891</v>
      </c>
      <c r="N20" s="2" t="n">
        <f aca="false">D20-$B20</f>
        <v>-0.00219800000000001</v>
      </c>
      <c r="O20" s="2" t="n">
        <f aca="false">LN(E20)-LN($B20)</f>
        <v>-0.0105967004446474</v>
      </c>
      <c r="P20" s="2" t="n">
        <f aca="false">E20-$B20</f>
        <v>-0.00192899999999999</v>
      </c>
      <c r="Q20" s="2" t="n">
        <f aca="false">LN(F20)-LN($B20)</f>
        <v>0.0257683796709491</v>
      </c>
      <c r="R20" s="2" t="n">
        <f aca="false">F20-$B20</f>
        <v>0.004777</v>
      </c>
      <c r="S20" s="2" t="n">
        <f aca="false">LN(G20)-LN($B20)</f>
        <v>0.014015764269482</v>
      </c>
      <c r="T20" s="2" t="n">
        <f aca="false">G20-$B20</f>
        <v>0.002583</v>
      </c>
      <c r="U20" s="2" t="e">
        <f aca="false">LN(H20)-LN($B20)</f>
        <v>#VALUE!</v>
      </c>
      <c r="V20" s="2" t="n">
        <f aca="false">H20-$B20</f>
        <v>-0.183004</v>
      </c>
    </row>
    <row r="21" customFormat="false" ht="15" hidden="false" customHeight="false" outlineLevel="0" collapsed="false">
      <c r="A21" s="1" t="n">
        <f aca="false">1+A20</f>
        <v>19</v>
      </c>
      <c r="B21" s="1" t="n">
        <v>0.129821</v>
      </c>
      <c r="C21" s="1" t="n">
        <v>0.122323</v>
      </c>
      <c r="D21" s="1" t="n">
        <v>0.128794</v>
      </c>
      <c r="E21" s="1" t="n">
        <v>0.129723</v>
      </c>
      <c r="F21" s="1" t="n">
        <v>0.134256</v>
      </c>
      <c r="G21" s="1" t="n">
        <v>0.132824</v>
      </c>
      <c r="K21" s="2" t="n">
        <f aca="false">LN(C21)-LN($B21)</f>
        <v>-0.0594914913950704</v>
      </c>
      <c r="L21" s="2" t="n">
        <f aca="false">C21-$B21</f>
        <v>-0.00749799999999999</v>
      </c>
      <c r="M21" s="2" t="n">
        <f aca="false">LN(D21)-LN($B21)</f>
        <v>-0.0079423498147424</v>
      </c>
      <c r="N21" s="2" t="n">
        <f aca="false">D21-$B21</f>
        <v>-0.001027</v>
      </c>
      <c r="O21" s="2" t="n">
        <f aca="false">LN(E21)-LN($B21)</f>
        <v>-0.000755170642798841</v>
      </c>
      <c r="P21" s="2" t="n">
        <f aca="false">E21-$B21</f>
        <v>-9.7999999999987E-005</v>
      </c>
      <c r="Q21" s="2" t="n">
        <f aca="false">LN(F21)-LN($B21)</f>
        <v>0.0335918465787111</v>
      </c>
      <c r="R21" s="2" t="n">
        <f aca="false">F21-$B21</f>
        <v>0.00443499999999999</v>
      </c>
      <c r="S21" s="2" t="n">
        <f aca="false">LN(G21)-LN($B21)</f>
        <v>0.0228683650564827</v>
      </c>
      <c r="T21" s="2" t="n">
        <f aca="false">G21-$B21</f>
        <v>0.00300300000000001</v>
      </c>
      <c r="U21" s="2" t="e">
        <f aca="false">LN(H21)-LN($B21)</f>
        <v>#VALUE!</v>
      </c>
      <c r="V21" s="2" t="n">
        <f aca="false">H21-$B21</f>
        <v>-0.129821</v>
      </c>
    </row>
    <row r="22" customFormat="false" ht="15" hidden="false" customHeight="false" outlineLevel="0" collapsed="false">
      <c r="A22" s="1" t="n">
        <f aca="false">1+A21</f>
        <v>20</v>
      </c>
      <c r="B22" s="1" t="n">
        <v>0.0909841</v>
      </c>
      <c r="C22" s="1" t="n">
        <v>0.0871234</v>
      </c>
      <c r="D22" s="1" t="n">
        <v>0.0910779</v>
      </c>
      <c r="E22" s="1" t="n">
        <v>0.0920991</v>
      </c>
      <c r="F22" s="1" t="n">
        <v>0.0951015</v>
      </c>
      <c r="G22" s="1" t="n">
        <v>0.0941419</v>
      </c>
      <c r="K22" s="2" t="n">
        <f aca="false">LN(C22)-LN($B22)</f>
        <v>-0.043359261482764</v>
      </c>
      <c r="L22" s="2" t="n">
        <f aca="false">C22-$B22</f>
        <v>-0.00386069999999999</v>
      </c>
      <c r="M22" s="2" t="n">
        <f aca="false">LN(D22)-LN($B22)</f>
        <v>0.00103041830035311</v>
      </c>
      <c r="N22" s="2" t="n">
        <f aca="false">D22-$B22</f>
        <v>9.3800000000005E-005</v>
      </c>
      <c r="O22" s="2" t="n">
        <f aca="false">LN(E22)-LN($B22)</f>
        <v>0.0121804052506587</v>
      </c>
      <c r="P22" s="2" t="n">
        <f aca="false">E22-$B22</f>
        <v>0.001115</v>
      </c>
      <c r="Q22" s="2" t="n">
        <f aca="false">LN(F22)-LN($B22)</f>
        <v>0.0442599763217313</v>
      </c>
      <c r="R22" s="2" t="n">
        <f aca="false">F22-$B22</f>
        <v>0.00411740000000001</v>
      </c>
      <c r="S22" s="2" t="n">
        <f aca="false">LN(G22)-LN($B22)</f>
        <v>0.0341184525000497</v>
      </c>
      <c r="T22" s="2" t="n">
        <f aca="false">G22-$B22</f>
        <v>0.0031578</v>
      </c>
      <c r="U22" s="2" t="e">
        <f aca="false">LN(H22)-LN($B22)</f>
        <v>#VALUE!</v>
      </c>
      <c r="V22" s="2" t="n">
        <f aca="false">H22-$B22</f>
        <v>-0.0909841</v>
      </c>
    </row>
    <row r="23" customFormat="false" ht="15" hidden="false" customHeight="false" outlineLevel="0" collapsed="false">
      <c r="A23" s="1" t="n">
        <f aca="false">1+A22</f>
        <v>21</v>
      </c>
      <c r="B23" s="1" t="n">
        <v>0.063216</v>
      </c>
      <c r="C23" s="1" t="n">
        <v>0.0617216</v>
      </c>
      <c r="D23" s="1" t="n">
        <v>0.0641303</v>
      </c>
      <c r="E23" s="1" t="n">
        <v>0.0649616</v>
      </c>
      <c r="F23" s="1" t="n">
        <v>0.0669841</v>
      </c>
      <c r="G23" s="1" t="n">
        <v>0.0662703</v>
      </c>
      <c r="K23" s="2" t="n">
        <f aca="false">LN(C23)-LN($B23)</f>
        <v>-0.0239234829844839</v>
      </c>
      <c r="L23" s="2" t="n">
        <f aca="false">C23-$B23</f>
        <v>-0.00149439999999999</v>
      </c>
      <c r="M23" s="2" t="n">
        <f aca="false">LN(D23)-LN($B23)</f>
        <v>0.0143595174786118</v>
      </c>
      <c r="N23" s="2" t="n">
        <f aca="false">D23-$B23</f>
        <v>0.000914300000000007</v>
      </c>
      <c r="O23" s="2" t="n">
        <f aca="false">LN(E23)-LN($B23)</f>
        <v>0.027238892422933</v>
      </c>
      <c r="P23" s="2" t="n">
        <f aca="false">E23-$B23</f>
        <v>0.0017456</v>
      </c>
      <c r="Q23" s="2" t="n">
        <f aca="false">LN(F23)-LN($B23)</f>
        <v>0.0578978441258071</v>
      </c>
      <c r="R23" s="2" t="n">
        <f aca="false">F23-$B23</f>
        <v>0.00376810000000001</v>
      </c>
      <c r="S23" s="2" t="n">
        <f aca="false">LN(G23)-LN($B23)</f>
        <v>0.047184399356119</v>
      </c>
      <c r="T23" s="2" t="n">
        <f aca="false">G23-$B23</f>
        <v>0.00305430000000001</v>
      </c>
      <c r="U23" s="2" t="e">
        <f aca="false">LN(H23)-LN($B23)</f>
        <v>#VALUE!</v>
      </c>
      <c r="V23" s="2" t="n">
        <f aca="false">H23-$B23</f>
        <v>-0.063216</v>
      </c>
    </row>
    <row r="24" customFormat="false" ht="15" hidden="false" customHeight="false" outlineLevel="0" collapsed="false">
      <c r="A24" s="1" t="n">
        <f aca="false">1+A23</f>
        <v>22</v>
      </c>
      <c r="B24" s="1" t="n">
        <v>0.0434022</v>
      </c>
      <c r="C24" s="1" t="n">
        <v>0.0433984</v>
      </c>
      <c r="D24" s="1" t="n">
        <v>0.0448466</v>
      </c>
      <c r="E24" s="1" t="n">
        <v>0.045533</v>
      </c>
      <c r="F24" s="1" t="n">
        <v>0.046708</v>
      </c>
      <c r="G24" s="1" t="n">
        <v>0.0461615</v>
      </c>
      <c r="K24" s="2" t="n">
        <f aca="false">LN(C24)-LN($B24)</f>
        <v>-8.75569985101521E-005</v>
      </c>
      <c r="L24" s="2" t="n">
        <f aca="false">C24-$B24</f>
        <v>-3.80000000000519E-006</v>
      </c>
      <c r="M24" s="2" t="n">
        <f aca="false">LN(D24)-LN($B24)</f>
        <v>0.0327376463156521</v>
      </c>
      <c r="N24" s="2" t="n">
        <f aca="false">D24-$B24</f>
        <v>0.0014444</v>
      </c>
      <c r="O24" s="2" t="n">
        <f aca="false">LN(E24)-LN($B24)</f>
        <v>0.047927206731726</v>
      </c>
      <c r="P24" s="2" t="n">
        <f aca="false">E24-$B24</f>
        <v>0.0021308</v>
      </c>
      <c r="Q24" s="2" t="n">
        <f aca="false">LN(F24)-LN($B24)</f>
        <v>0.0734053251476272</v>
      </c>
      <c r="R24" s="2" t="n">
        <f aca="false">F24-$B24</f>
        <v>0.0033058</v>
      </c>
      <c r="S24" s="2" t="n">
        <f aca="false">LN(G24)-LN($B24)</f>
        <v>0.0616359862732745</v>
      </c>
      <c r="T24" s="2" t="n">
        <f aca="false">G24-$B24</f>
        <v>0.0027593</v>
      </c>
      <c r="U24" s="2" t="e">
        <f aca="false">LN(H24)-LN($B24)</f>
        <v>#VALUE!</v>
      </c>
      <c r="V24" s="2" t="n">
        <f aca="false">H24-$B24</f>
        <v>-0.0434022</v>
      </c>
    </row>
    <row r="25" customFormat="false" ht="15" hidden="false" customHeight="false" outlineLevel="0" collapsed="false">
      <c r="A25" s="1" t="n">
        <f aca="false">1+A24</f>
        <v>23</v>
      </c>
      <c r="B25" s="1" t="n">
        <v>0.029377</v>
      </c>
      <c r="C25" s="1" t="n">
        <v>0.0303281</v>
      </c>
      <c r="D25" s="1" t="n">
        <v>0.0312322</v>
      </c>
      <c r="E25" s="1" t="n">
        <v>0.031706</v>
      </c>
      <c r="F25" s="1" t="n">
        <v>0.032369</v>
      </c>
      <c r="G25" s="1" t="n">
        <v>0.0318577</v>
      </c>
      <c r="K25" s="2" t="n">
        <f aca="false">LN(C25)-LN($B25)</f>
        <v>0.0318626202386163</v>
      </c>
      <c r="L25" s="2" t="n">
        <f aca="false">C25-$B25</f>
        <v>0.0009511</v>
      </c>
      <c r="M25" s="2" t="n">
        <f aca="false">LN(D25)-LN($B25)</f>
        <v>0.0612375586456828</v>
      </c>
      <c r="N25" s="2" t="n">
        <f aca="false">D25-$B25</f>
        <v>0.0018552</v>
      </c>
      <c r="O25" s="2" t="n">
        <f aca="false">LN(E25)-LN($B25)</f>
        <v>0.0762938821680157</v>
      </c>
      <c r="P25" s="2" t="n">
        <f aca="false">E25-$B25</f>
        <v>0.002329</v>
      </c>
      <c r="Q25" s="2" t="n">
        <f aca="false">LN(F25)-LN($B25)</f>
        <v>0.0969891194059631</v>
      </c>
      <c r="R25" s="2" t="n">
        <f aca="false">F25-$B25</f>
        <v>0.002992</v>
      </c>
      <c r="S25" s="2" t="n">
        <f aca="false">LN(G25)-LN($B25)</f>
        <v>0.0810670557880959</v>
      </c>
      <c r="T25" s="2" t="n">
        <f aca="false">G25-$B25</f>
        <v>0.0024807</v>
      </c>
      <c r="U25" s="2" t="e">
        <f aca="false">LN(H25)-LN($B25)</f>
        <v>#VALUE!</v>
      </c>
      <c r="V25" s="2" t="n">
        <f aca="false">H25-$B25</f>
        <v>-0.029377</v>
      </c>
    </row>
    <row r="26" customFormat="false" ht="15" hidden="false" customHeight="false" outlineLevel="0" collapsed="false">
      <c r="A26" s="1" t="n">
        <f aca="false">1+A25</f>
        <v>24</v>
      </c>
      <c r="B26" s="1" t="n">
        <v>0.0197719</v>
      </c>
      <c r="C26" s="1" t="n">
        <v>0.0211236</v>
      </c>
      <c r="D26" s="1" t="n">
        <v>0.0217377</v>
      </c>
      <c r="E26" s="1" t="n">
        <v>0.0220716</v>
      </c>
      <c r="F26" s="1" t="n">
        <v>0.0223263</v>
      </c>
      <c r="G26" s="1" t="n">
        <v>0.0219541</v>
      </c>
      <c r="K26" s="2" t="n">
        <f aca="false">LN(C26)-LN($B26)</f>
        <v>0.0661291610831603</v>
      </c>
      <c r="L26" s="2" t="n">
        <f aca="false">C26-$B26</f>
        <v>0.0013517</v>
      </c>
      <c r="M26" s="2" t="n">
        <f aca="false">LN(D26)-LN($B26)</f>
        <v>0.0947863425534972</v>
      </c>
      <c r="N26" s="2" t="n">
        <f aca="false">D26-$B26</f>
        <v>0.0019658</v>
      </c>
      <c r="O26" s="2" t="n">
        <f aca="false">LN(E26)-LN($B26)</f>
        <v>0.110029976467986</v>
      </c>
      <c r="P26" s="2" t="n">
        <f aca="false">E26-$B26</f>
        <v>0.0022997</v>
      </c>
      <c r="Q26" s="2" t="n">
        <f aca="false">LN(F26)-LN($B26)</f>
        <v>0.121503617975683</v>
      </c>
      <c r="R26" s="2" t="n">
        <f aca="false">F26-$B26</f>
        <v>0.0025544</v>
      </c>
      <c r="S26" s="2" t="n">
        <f aca="false">LN(G26)-LN($B26)</f>
        <v>0.104692172458713</v>
      </c>
      <c r="T26" s="2" t="n">
        <f aca="false">G26-$B26</f>
        <v>0.0021822</v>
      </c>
      <c r="U26" s="2" t="e">
        <f aca="false">LN(H26)-LN($B26)</f>
        <v>#VALUE!</v>
      </c>
      <c r="V26" s="2" t="n">
        <f aca="false">H26-$B26</f>
        <v>-0.0197719</v>
      </c>
    </row>
    <row r="27" customFormat="false" ht="15" hidden="false" customHeight="false" outlineLevel="0" collapsed="false">
      <c r="A27" s="1" t="n">
        <f aca="false">1+A26</f>
        <v>25</v>
      </c>
      <c r="B27" s="1" t="n">
        <v>0.0132366</v>
      </c>
      <c r="C27" s="1" t="n">
        <v>0.0146606</v>
      </c>
      <c r="D27" s="1" t="n">
        <v>0.0151236</v>
      </c>
      <c r="E27" s="1" t="n">
        <v>0.0152941</v>
      </c>
      <c r="F27" s="1" t="n">
        <v>0.0153092</v>
      </c>
      <c r="G27" s="1" t="n">
        <v>0.0150177</v>
      </c>
      <c r="K27" s="2" t="n">
        <f aca="false">LN(C27)-LN($B27)</f>
        <v>0.102177903367762</v>
      </c>
      <c r="L27" s="2" t="n">
        <f aca="false">C27-$B27</f>
        <v>0.001424</v>
      </c>
      <c r="M27" s="2" t="n">
        <f aca="false">LN(D27)-LN($B27)</f>
        <v>0.133270717701675</v>
      </c>
      <c r="N27" s="2" t="n">
        <f aca="false">D27-$B27</f>
        <v>0.001887</v>
      </c>
      <c r="O27" s="2" t="n">
        <f aca="false">LN(E27)-LN($B27)</f>
        <v>0.144481413164857</v>
      </c>
      <c r="P27" s="2" t="n">
        <f aca="false">E27-$B27</f>
        <v>0.0020575</v>
      </c>
      <c r="Q27" s="2" t="n">
        <f aca="false">LN(F27)-LN($B27)</f>
        <v>0.145468234927568</v>
      </c>
      <c r="R27" s="2" t="n">
        <f aca="false">F27-$B27</f>
        <v>0.0020726</v>
      </c>
      <c r="S27" s="2" t="n">
        <f aca="false">LN(G27)-LN($B27)</f>
        <v>0.126243785501768</v>
      </c>
      <c r="T27" s="2" t="n">
        <f aca="false">G27-$B27</f>
        <v>0.0017811</v>
      </c>
      <c r="U27" s="2" t="e">
        <f aca="false">LN(H27)-LN($B27)</f>
        <v>#VALUE!</v>
      </c>
      <c r="V27" s="2" t="n">
        <f aca="false">H27-$B27</f>
        <v>-0.0132366</v>
      </c>
    </row>
    <row r="28" customFormat="false" ht="15" hidden="false" customHeight="false" outlineLevel="0" collapsed="false">
      <c r="A28" s="1" t="n">
        <f aca="false">1+A27</f>
        <v>26</v>
      </c>
      <c r="B28" s="1" t="n">
        <v>0.00874697</v>
      </c>
      <c r="C28" s="1" t="n">
        <v>0.0101137</v>
      </c>
      <c r="D28" s="1" t="n">
        <v>0.0104981</v>
      </c>
      <c r="E28" s="1" t="n">
        <v>0.0105221</v>
      </c>
      <c r="F28" s="1" t="n">
        <v>0.0104144</v>
      </c>
      <c r="G28" s="1" t="n">
        <v>0.0101725</v>
      </c>
      <c r="K28" s="2" t="n">
        <f aca="false">LN(C28)-LN($B28)</f>
        <v>0.145183585678521</v>
      </c>
      <c r="L28" s="2" t="n">
        <f aca="false">C28-$B28</f>
        <v>0.00136673</v>
      </c>
      <c r="M28" s="2" t="n">
        <f aca="false">LN(D28)-LN($B28)</f>
        <v>0.182486933724174</v>
      </c>
      <c r="N28" s="2" t="n">
        <f aca="false">D28-$B28</f>
        <v>0.00175113</v>
      </c>
      <c r="O28" s="2" t="n">
        <f aca="false">LN(E28)-LN($B28)</f>
        <v>0.184770452475558</v>
      </c>
      <c r="P28" s="2" t="n">
        <f aca="false">E28-$B28</f>
        <v>0.00177513</v>
      </c>
      <c r="Q28" s="2" t="n">
        <f aca="false">LN(F28)-LN($B28)</f>
        <v>0.174482109151492</v>
      </c>
      <c r="R28" s="2" t="n">
        <f aca="false">F28-$B28</f>
        <v>0.00166743</v>
      </c>
      <c r="S28" s="2" t="n">
        <f aca="false">LN(G28)-LN($B28)</f>
        <v>0.150980646209214</v>
      </c>
      <c r="T28" s="2" t="n">
        <f aca="false">G28-$B28</f>
        <v>0.00142553</v>
      </c>
      <c r="U28" s="2" t="e">
        <f aca="false">LN(H28)-LN($B28)</f>
        <v>#VALUE!</v>
      </c>
      <c r="V28" s="2" t="n">
        <f aca="false">H28-$B28</f>
        <v>-0.00874697</v>
      </c>
    </row>
    <row r="29" customFormat="false" ht="15" hidden="false" customHeight="false" outlineLevel="0" collapsed="false">
      <c r="A29" s="1" t="n">
        <f aca="false">1+A28</f>
        <v>27</v>
      </c>
      <c r="B29" s="1" t="n">
        <v>0.00572124</v>
      </c>
      <c r="C29" s="1" t="n">
        <v>0.00696465</v>
      </c>
      <c r="D29" s="1" t="n">
        <v>0.00726279</v>
      </c>
      <c r="E29" s="1" t="n">
        <v>0.00717665</v>
      </c>
      <c r="F29" s="1" t="n">
        <v>0.00706582</v>
      </c>
      <c r="G29" s="1" t="n">
        <v>0.00683943</v>
      </c>
      <c r="K29" s="2" t="n">
        <f aca="false">LN(C29)-LN($B29)</f>
        <v>0.196661789598448</v>
      </c>
      <c r="L29" s="2" t="n">
        <f aca="false">C29-$B29</f>
        <v>0.00124341</v>
      </c>
      <c r="M29" s="2" t="n">
        <f aca="false">LN(D29)-LN($B29)</f>
        <v>0.238578487419583</v>
      </c>
      <c r="N29" s="2" t="n">
        <f aca="false">D29-$B29</f>
        <v>0.00154155</v>
      </c>
      <c r="O29" s="2" t="n">
        <f aca="false">LN(E29)-LN($B29)</f>
        <v>0.226647135250142</v>
      </c>
      <c r="P29" s="2" t="n">
        <f aca="false">E29-$B29</f>
        <v>0.00145541</v>
      </c>
      <c r="Q29" s="2" t="n">
        <f aca="false">LN(F29)-LN($B29)</f>
        <v>0.211083509396749</v>
      </c>
      <c r="R29" s="2" t="n">
        <f aca="false">F29-$B29</f>
        <v>0.00134458</v>
      </c>
      <c r="S29" s="2" t="n">
        <f aca="false">LN(G29)-LN($B29)</f>
        <v>0.178518829714307</v>
      </c>
      <c r="T29" s="2" t="n">
        <f aca="false">G29-$B29</f>
        <v>0.00111819</v>
      </c>
      <c r="U29" s="2" t="e">
        <f aca="false">LN(H29)-LN($B29)</f>
        <v>#VALUE!</v>
      </c>
      <c r="V29" s="2" t="n">
        <f aca="false">H29-$B29</f>
        <v>-0.00572124</v>
      </c>
    </row>
    <row r="30" customFormat="false" ht="15" hidden="false" customHeight="false" outlineLevel="0" collapsed="false">
      <c r="A30" s="1" t="n">
        <f aca="false">1+A29</f>
        <v>28</v>
      </c>
      <c r="B30" s="1" t="n">
        <v>0.00369809</v>
      </c>
      <c r="C30" s="1" t="n">
        <v>0.00474793</v>
      </c>
      <c r="D30" s="1" t="n">
        <v>0.00494872</v>
      </c>
      <c r="E30" s="1" t="n">
        <v>0.00486885</v>
      </c>
      <c r="F30" s="1" t="n">
        <v>0.00475739</v>
      </c>
      <c r="G30" s="1" t="n">
        <v>0.00457475</v>
      </c>
      <c r="K30" s="2" t="n">
        <f aca="false">LN(C30)-LN($B30)</f>
        <v>0.249892263440537</v>
      </c>
      <c r="L30" s="2" t="n">
        <f aca="false">C30-$B30</f>
        <v>0.00104984</v>
      </c>
      <c r="M30" s="2" t="n">
        <f aca="false">LN(D30)-LN($B30)</f>
        <v>0.291312487134426</v>
      </c>
      <c r="N30" s="2" t="n">
        <f aca="false">D30-$B30</f>
        <v>0.00125063</v>
      </c>
      <c r="O30" s="2" t="n">
        <f aca="false">LN(E30)-LN($B30)</f>
        <v>0.275041299430256</v>
      </c>
      <c r="P30" s="2" t="n">
        <f aca="false">E30-$B30</f>
        <v>0.00117076</v>
      </c>
      <c r="Q30" s="2" t="n">
        <f aca="false">LN(F30)-LN($B30)</f>
        <v>0.251882728385081</v>
      </c>
      <c r="R30" s="2" t="n">
        <f aca="false">F30-$B30</f>
        <v>0.0010593</v>
      </c>
      <c r="S30" s="2" t="n">
        <f aca="false">LN(G30)-LN($B30)</f>
        <v>0.212735582277159</v>
      </c>
      <c r="T30" s="2" t="n">
        <f aca="false">G30-$B30</f>
        <v>0.00087666</v>
      </c>
      <c r="U30" s="2" t="e">
        <f aca="false">LN(H30)-LN($B30)</f>
        <v>#VALUE!</v>
      </c>
      <c r="V30" s="2" t="n">
        <f aca="false">H30-$B30</f>
        <v>-0.00369809</v>
      </c>
    </row>
    <row r="31" customFormat="false" ht="15" hidden="false" customHeight="false" outlineLevel="0" collapsed="false">
      <c r="A31" s="1" t="n">
        <f aca="false">1+A30</f>
        <v>29</v>
      </c>
      <c r="B31" s="1" t="n">
        <v>0.00233629</v>
      </c>
      <c r="C31" s="1" t="n">
        <v>0.00323517</v>
      </c>
      <c r="D31" s="1" t="n">
        <v>0.00334466</v>
      </c>
      <c r="E31" s="1" t="n">
        <v>0.00327058</v>
      </c>
      <c r="F31" s="1" t="n">
        <v>0.00320619</v>
      </c>
      <c r="G31" s="1" t="n">
        <v>0.00301701</v>
      </c>
      <c r="K31" s="2" t="n">
        <f aca="false">LN(C31)-LN($B31)</f>
        <v>0.325517275707599</v>
      </c>
      <c r="L31" s="2" t="n">
        <f aca="false">C31-$B31</f>
        <v>0.00089888</v>
      </c>
      <c r="M31" s="2" t="n">
        <f aca="false">LN(D31)-LN($B31)</f>
        <v>0.358800843072534</v>
      </c>
      <c r="N31" s="2" t="n">
        <f aca="false">D31-$B31</f>
        <v>0.00100837</v>
      </c>
      <c r="O31" s="2" t="n">
        <f aca="false">LN(E31)-LN($B31)</f>
        <v>0.336403138115149</v>
      </c>
      <c r="P31" s="2" t="n">
        <f aca="false">E31-$B31</f>
        <v>0.00093429</v>
      </c>
      <c r="Q31" s="2" t="n">
        <f aca="false">LN(F31)-LN($B31)</f>
        <v>0.316519115215162</v>
      </c>
      <c r="R31" s="2" t="n">
        <f aca="false">F31-$B31</f>
        <v>0.0008699</v>
      </c>
      <c r="S31" s="2" t="n">
        <f aca="false">LN(G31)-LN($B31)</f>
        <v>0.25570207362592</v>
      </c>
      <c r="T31" s="2" t="n">
        <f aca="false">G31-$B31</f>
        <v>0.00068072</v>
      </c>
      <c r="U31" s="2" t="e">
        <f aca="false">LN(H31)-LN($B31)</f>
        <v>#VALUE!</v>
      </c>
      <c r="V31" s="2" t="n">
        <f aca="false">H31-$B31</f>
        <v>-0.00233629</v>
      </c>
    </row>
    <row r="32" customFormat="false" ht="15" hidden="false" customHeight="false" outlineLevel="0" collapsed="false">
      <c r="A32" s="1" t="n">
        <f aca="false">1+A31</f>
        <v>30</v>
      </c>
      <c r="B32" s="1" t="n">
        <v>0.00145136</v>
      </c>
      <c r="C32" s="1" t="n">
        <v>0.00218124</v>
      </c>
      <c r="D32" s="1" t="n">
        <v>0.00221232</v>
      </c>
      <c r="E32" s="1" t="n">
        <v>0.00214359</v>
      </c>
      <c r="F32" s="1" t="n">
        <v>0.00214018</v>
      </c>
      <c r="G32" s="1" t="n">
        <v>0.00194912</v>
      </c>
      <c r="K32" s="2" t="n">
        <f aca="false">LN(C32)-LN($B32)</f>
        <v>0.407392474546374</v>
      </c>
      <c r="L32" s="2" t="n">
        <f aca="false">C32-$B32</f>
        <v>0.00072988</v>
      </c>
      <c r="M32" s="2" t="n">
        <f aca="false">LN(D32)-LN($B32)</f>
        <v>0.421540690773673</v>
      </c>
      <c r="N32" s="2" t="n">
        <f aca="false">D32-$B32</f>
        <v>0.00076096</v>
      </c>
      <c r="O32" s="2" t="n">
        <f aca="false">LN(E32)-LN($B32)</f>
        <v>0.38998094569373</v>
      </c>
      <c r="P32" s="2" t="n">
        <f aca="false">E32-$B32</f>
        <v>0.00069223</v>
      </c>
      <c r="Q32" s="2" t="n">
        <f aca="false">LN(F32)-LN($B32)</f>
        <v>0.388388889761568</v>
      </c>
      <c r="R32" s="2" t="n">
        <f aca="false">F32-$B32</f>
        <v>0.00068882</v>
      </c>
      <c r="S32" s="2" t="n">
        <f aca="false">LN(G32)-LN($B32)</f>
        <v>0.294876940781485</v>
      </c>
      <c r="T32" s="2" t="n">
        <f aca="false">G32-$B32</f>
        <v>0.00049776</v>
      </c>
      <c r="U32" s="2" t="e">
        <f aca="false">LN(H32)-LN($B32)</f>
        <v>#VALUE!</v>
      </c>
      <c r="V32" s="2" t="n">
        <f aca="false">H32-$B32</f>
        <v>-0.00145136</v>
      </c>
    </row>
    <row r="33" customFormat="false" ht="15" hidden="false" customHeight="false" outlineLevel="0" collapsed="false">
      <c r="A33" s="1" t="n">
        <f aca="false">1+A32</f>
        <v>31</v>
      </c>
      <c r="B33" s="1" t="n">
        <v>0.000887717</v>
      </c>
      <c r="C33" s="1" t="n">
        <v>0.00145555</v>
      </c>
      <c r="D33" s="1" t="n">
        <v>0.00142171</v>
      </c>
      <c r="E33" s="1" t="n">
        <v>0.00136928</v>
      </c>
      <c r="F33" s="1" t="n">
        <v>0.00142896</v>
      </c>
      <c r="G33" s="1" t="n">
        <v>0.00123327</v>
      </c>
      <c r="K33" s="2" t="n">
        <f aca="false">LN(C33)-LN($B33)</f>
        <v>0.494486116546997</v>
      </c>
      <c r="L33" s="2" t="n">
        <f aca="false">C33-$B33</f>
        <v>0.000567833</v>
      </c>
      <c r="M33" s="2" t="n">
        <f aca="false">LN(D33)-LN($B33)</f>
        <v>0.470962652944801</v>
      </c>
      <c r="N33" s="2" t="n">
        <f aca="false">D33-$B33</f>
        <v>0.000533993</v>
      </c>
      <c r="O33" s="2" t="n">
        <f aca="false">LN(E33)-LN($B33)</f>
        <v>0.433387334723603</v>
      </c>
      <c r="P33" s="2" t="n">
        <f aca="false">E33-$B33</f>
        <v>0.000481563</v>
      </c>
      <c r="Q33" s="2" t="n">
        <f aca="false">LN(F33)-LN($B33)</f>
        <v>0.476049187430727</v>
      </c>
      <c r="R33" s="2" t="n">
        <f aca="false">F33-$B33</f>
        <v>0.000541243</v>
      </c>
      <c r="S33" s="2" t="n">
        <f aca="false">LN(G33)-LN($B33)</f>
        <v>0.32877145878948</v>
      </c>
      <c r="T33" s="2" t="n">
        <f aca="false">G33-$B33</f>
        <v>0.000345553</v>
      </c>
      <c r="U33" s="2" t="e">
        <f aca="false">LN(H33)-LN($B33)</f>
        <v>#VALUE!</v>
      </c>
      <c r="V33" s="2" t="n">
        <f aca="false">H33-$B33</f>
        <v>-0.000887717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3"/>
  <sheetViews>
    <sheetView showFormulas="false" showGridLines="true" showRowColHeaders="true" showZeros="true" rightToLeft="false" tabSelected="false" showOutlineSymbols="true" defaultGridColor="true" view="normal" topLeftCell="AM1" colorId="64" zoomScale="100" zoomScaleNormal="100" zoomScalePageLayoutView="100" workbookViewId="0">
      <selection pane="topLeft" activeCell="P2" activeCellId="0" sqref="P2"/>
    </sheetView>
  </sheetViews>
  <sheetFormatPr defaultColWidth="10.542968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7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19" min="14" style="1" width="12.15"/>
    <col collapsed="false" customWidth="true" hidden="false" outlineLevel="0" max="20" min="20" style="1" width="11.43"/>
  </cols>
  <sheetData>
    <row r="1" customFormat="false" ht="15" hidden="false" customHeight="false" outlineLevel="0" collapsed="false">
      <c r="A1" s="1" t="s">
        <v>0</v>
      </c>
      <c r="B1" s="1" t="str">
        <f aca="false">"master(3pp-net)="  &amp; SUMPRODUCT($A2:$A33,B2:B33)/100</f>
        <v>master(3pp-net)=2,6193763939299</v>
      </c>
      <c r="C1" s="1" t="str">
        <f aca="false">"master_old="  &amp; SUMPRODUCT($A2:$A33,C2:C33)/100</f>
        <v>master_old=2,62461895532</v>
      </c>
      <c r="D1" s="1" t="str">
        <f aca="false">"n%(w+8)="  &amp; SUMPRODUCT($A2:$A33,D2:D33)/100</f>
        <v>n%(w+8)=2,621123999718</v>
      </c>
      <c r="E1" s="1" t="str">
        <f aca="false">"n%(w+16)="  &amp; SUMPRODUCT($A2:$A33,E2:E33)/100</f>
        <v>n%(w+16)=2,6029124950904</v>
      </c>
      <c r="F1" s="1" t="str">
        <f aca="false">"n%(w+10)="  &amp; SUMPRODUCT($A2:$A33,F2:F33)/100</f>
        <v>n%(w+10)=2,6166050447294</v>
      </c>
      <c r="G1" s="1" t="str">
        <f aca="false">"n%(w+6)="  &amp; SUMPRODUCT($A2:$A33,G2:G33)/100</f>
        <v>n%(w+6)=2,618189537165</v>
      </c>
      <c r="H1" s="1" t="str">
        <f aca="false">"n%(w+4)="  &amp; SUMPRODUCT($A2:$A33,H2:H33)/100</f>
        <v>n%(w+4)=2,631695320611</v>
      </c>
      <c r="I1" s="1" t="str">
        <f aca="false">"n%(w+5)="  &amp; SUMPRODUCT($A2:$A33,I2:I33)/100</f>
        <v>n%(w+5)=2,597911907764</v>
      </c>
      <c r="J1" s="1" t="str">
        <f aca="false">"n%(razor+64pc)="  &amp; SUMPRODUCT($A2:$A33,J2:J33)/100</f>
        <v>n%(razor+64pc)=2,635747797645</v>
      </c>
      <c r="K1" s="1" t="str">
        <f aca="false">"n%(razor+128pc)="  &amp; SUMPRODUCT($A2:$A33,K2:K33)/100</f>
        <v>n%(razor+128pc)=2,625341268062</v>
      </c>
      <c r="L1" s="1" t="str">
        <f aca="false">"n%(w-d)="  &amp; SUMPRODUCT($A2:$A33,L2:L33)/100</f>
        <v>n%(w-d)=2,61351080424</v>
      </c>
      <c r="M1" s="1" t="str">
        <f aca="false">"n%(w+28m)="  &amp; SUMPRODUCT($A2:$A33,M2:M33)/100</f>
        <v>n%(w+28m)=2,57831829322</v>
      </c>
      <c r="N1" s="1" t="str">
        <f aca="false">"n%(w-2d)="  &amp; SUMPRODUCT($A2:$A33,N2:N33)/100</f>
        <v>n%(w-2d)=2,61609561211</v>
      </c>
      <c r="O1" s="1" t="str">
        <f aca="false">"n%(w+14m)="  &amp; SUMPRODUCT($A2:$A33,O2:O33)/100</f>
        <v>n%(w+14m)=2,5994475651946</v>
      </c>
      <c r="P1" s="1" t="str">
        <f aca="false">"n%(w+16p)="  &amp; SUMPRODUCT($A2:$A33,P2:P33)/100</f>
        <v>n%(w+16p)=2,60935389838</v>
      </c>
      <c r="S1" s="1" t="str">
        <f aca="false">C1</f>
        <v>master_old=2,62461895532</v>
      </c>
      <c r="T1" s="1" t="str">
        <f aca="false">C1</f>
        <v>master_old=2,62461895532</v>
      </c>
      <c r="U1" s="1" t="str">
        <f aca="false">D1</f>
        <v>n%(w+8)=2,621123999718</v>
      </c>
      <c r="V1" s="1" t="str">
        <f aca="false">D1</f>
        <v>n%(w+8)=2,621123999718</v>
      </c>
      <c r="W1" s="1" t="str">
        <f aca="false">E1</f>
        <v>n%(w+16)=2,6029124950904</v>
      </c>
      <c r="X1" s="1" t="str">
        <f aca="false">E1</f>
        <v>n%(w+16)=2,6029124950904</v>
      </c>
      <c r="Y1" s="1" t="str">
        <f aca="false">F1</f>
        <v>n%(w+10)=2,6166050447294</v>
      </c>
      <c r="Z1" s="1" t="str">
        <f aca="false">F1</f>
        <v>n%(w+10)=2,6166050447294</v>
      </c>
      <c r="AA1" s="1" t="str">
        <f aca="false">G1</f>
        <v>n%(w+6)=2,618189537165</v>
      </c>
      <c r="AB1" s="1" t="str">
        <f aca="false">G1</f>
        <v>n%(w+6)=2,618189537165</v>
      </c>
      <c r="AC1" s="1" t="str">
        <f aca="false">H1</f>
        <v>n%(w+4)=2,631695320611</v>
      </c>
      <c r="AD1" s="1" t="str">
        <f aca="false">H1</f>
        <v>n%(w+4)=2,631695320611</v>
      </c>
      <c r="AE1" s="1" t="str">
        <f aca="false">I1</f>
        <v>n%(w+5)=2,597911907764</v>
      </c>
      <c r="AF1" s="1" t="str">
        <f aca="false">I1</f>
        <v>n%(w+5)=2,597911907764</v>
      </c>
      <c r="AG1" s="1" t="str">
        <f aca="false">J1</f>
        <v>n%(razor+64pc)=2,635747797645</v>
      </c>
      <c r="AH1" s="1" t="str">
        <f aca="false">J1</f>
        <v>n%(razor+64pc)=2,635747797645</v>
      </c>
      <c r="AI1" s="1" t="str">
        <f aca="false">K1</f>
        <v>n%(razor+128pc)=2,625341268062</v>
      </c>
      <c r="AJ1" s="1" t="str">
        <f aca="false">K1</f>
        <v>n%(razor+128pc)=2,625341268062</v>
      </c>
      <c r="AK1" s="1" t="str">
        <f aca="false">L1</f>
        <v>n%(w-d)=2,61351080424</v>
      </c>
      <c r="AL1" s="1" t="str">
        <f aca="false">L1</f>
        <v>n%(w-d)=2,61351080424</v>
      </c>
      <c r="AM1" s="1" t="str">
        <f aca="false">M1</f>
        <v>n%(w+28m)=2,57831829322</v>
      </c>
      <c r="AN1" s="1" t="str">
        <f aca="false">M1</f>
        <v>n%(w+28m)=2,57831829322</v>
      </c>
      <c r="AO1" s="1" t="str">
        <f aca="false">N1</f>
        <v>n%(w-2d)=2,61609561211</v>
      </c>
      <c r="AP1" s="1" t="str">
        <f aca="false">N1</f>
        <v>n%(w-2d)=2,61609561211</v>
      </c>
      <c r="AQ1" s="1" t="str">
        <f aca="false">O1</f>
        <v>n%(w+14m)=2,5994475651946</v>
      </c>
      <c r="AR1" s="1" t="str">
        <f aca="false">O1</f>
        <v>n%(w+14m)=2,5994475651946</v>
      </c>
      <c r="AS1" s="1" t="str">
        <f aca="false">P1</f>
        <v>n%(w+16p)=2,60935389838</v>
      </c>
      <c r="AT1" s="1" t="str">
        <f aca="false">P1</f>
        <v>n%(w+16p)=2,60935389838</v>
      </c>
    </row>
    <row r="2" customFormat="false" ht="15" hidden="false" customHeight="false" outlineLevel="0" collapsed="false">
      <c r="A2" s="1" t="n">
        <v>0</v>
      </c>
      <c r="B2" s="1" t="n">
        <v>26.7785</v>
      </c>
      <c r="C2" s="1" t="n">
        <v>26.726</v>
      </c>
      <c r="D2" s="1" t="n">
        <v>26.7833</v>
      </c>
      <c r="E2" s="1" t="n">
        <v>26.8049</v>
      </c>
      <c r="F2" s="1" t="n">
        <v>26.7426</v>
      </c>
      <c r="G2" s="1" t="n">
        <v>26.829</v>
      </c>
      <c r="H2" s="1" t="n">
        <v>26.6202</v>
      </c>
      <c r="I2" s="1" t="n">
        <v>26.872</v>
      </c>
      <c r="J2" s="1" t="n">
        <v>26.6316</v>
      </c>
      <c r="K2" s="1" t="n">
        <v>26.6974</v>
      </c>
      <c r="L2" s="1" t="n">
        <v>26.8652</v>
      </c>
      <c r="M2" s="1" t="n">
        <v>26.8197</v>
      </c>
      <c r="N2" s="1" t="n">
        <v>26.7588</v>
      </c>
      <c r="O2" s="1" t="n">
        <v>26.6431</v>
      </c>
      <c r="P2" s="1" t="n">
        <v>26.7547</v>
      </c>
      <c r="R2" s="2" t="n">
        <f aca="false">LN(B2/(100-B2))-LN($B2/(100-$B2))</f>
        <v>0</v>
      </c>
      <c r="S2" s="2" t="n">
        <f aca="false">LN(C2)-LN($B2)</f>
        <v>-0.00196245238621362</v>
      </c>
      <c r="T2" s="2" t="n">
        <f aca="false">C2-$B2</f>
        <v>-0.052500000000002</v>
      </c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 t="n">
        <f aca="false">LN(M2)-LN($B2)</f>
        <v>0.00153736536356286</v>
      </c>
      <c r="AN2" s="2" t="n">
        <f aca="false">M2-$B2</f>
        <v>0.0411999999999999</v>
      </c>
      <c r="AO2" s="2"/>
      <c r="AP2" s="2"/>
      <c r="AQ2" s="2" t="n">
        <f aca="false">LN(O2)-LN($B2)</f>
        <v>-0.00506912147656813</v>
      </c>
      <c r="AR2" s="2" t="n">
        <f aca="false">O2-$B2</f>
        <v>-0.135400000000001</v>
      </c>
      <c r="AS2" s="2" t="n">
        <f aca="false">LN(P2)-LN($B2)</f>
        <v>-0.000889167902089039</v>
      </c>
      <c r="AT2" s="2" t="n">
        <f aca="false">P2-$B2</f>
        <v>-0.0238000000000014</v>
      </c>
    </row>
    <row r="3" customFormat="false" ht="15" hidden="false" customHeight="false" outlineLevel="0" collapsed="false">
      <c r="A3" s="1" t="n">
        <f aca="false">1+A2</f>
        <v>1</v>
      </c>
      <c r="B3" s="1" t="n">
        <v>29.9316</v>
      </c>
      <c r="C3" s="1" t="n">
        <v>29.968</v>
      </c>
      <c r="D3" s="1" t="n">
        <v>29.9808</v>
      </c>
      <c r="E3" s="1" t="n">
        <v>30.1839</v>
      </c>
      <c r="F3" s="1" t="n">
        <v>30.1443</v>
      </c>
      <c r="G3" s="1" t="n">
        <v>30.0641</v>
      </c>
      <c r="H3" s="1" t="n">
        <v>29.9643</v>
      </c>
      <c r="I3" s="1" t="n">
        <v>30.1742</v>
      </c>
      <c r="J3" s="1" t="n">
        <v>29.9378</v>
      </c>
      <c r="K3" s="1" t="n">
        <v>29.9614</v>
      </c>
      <c r="L3" s="1" t="n">
        <v>30.0543</v>
      </c>
      <c r="M3" s="1" t="n">
        <v>31.0706</v>
      </c>
      <c r="N3" s="1" t="n">
        <v>30.1102</v>
      </c>
      <c r="O3" s="1" t="n">
        <v>30.59</v>
      </c>
      <c r="P3" s="1" t="n">
        <v>30.7639</v>
      </c>
      <c r="R3" s="2" t="n">
        <f aca="false">B3-$B3</f>
        <v>0</v>
      </c>
      <c r="S3" s="2" t="n">
        <f aca="false">LN(C3)-LN($B3)</f>
        <v>0.00121536719712978</v>
      </c>
      <c r="T3" s="2" t="n">
        <f aca="false">C3-$B3</f>
        <v>0.0364000000000004</v>
      </c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 t="n">
        <f aca="false">LN(M3)-LN($B3)</f>
        <v>0.0373472559465937</v>
      </c>
      <c r="AN3" s="2" t="n">
        <f aca="false">M3-$B3</f>
        <v>1.139</v>
      </c>
      <c r="AO3" s="2"/>
      <c r="AP3" s="2"/>
      <c r="AQ3" s="2" t="n">
        <f aca="false">LN(O3)-LN($B3)</f>
        <v>0.021758379658209</v>
      </c>
      <c r="AR3" s="2" t="n">
        <f aca="false">O3-$B3</f>
        <v>0.6584</v>
      </c>
      <c r="AS3" s="2" t="n">
        <f aca="false">LN(P3)-LN($B3)</f>
        <v>0.0274271461323274</v>
      </c>
      <c r="AT3" s="2" t="n">
        <f aca="false">P3-$B3</f>
        <v>0.8323</v>
      </c>
    </row>
    <row r="4" customFormat="false" ht="15" hidden="false" customHeight="false" outlineLevel="0" collapsed="false">
      <c r="A4" s="1" t="n">
        <f aca="false">1+A3</f>
        <v>2</v>
      </c>
      <c r="B4" s="1" t="n">
        <v>8.5689</v>
      </c>
      <c r="C4" s="1" t="n">
        <v>8.57031</v>
      </c>
      <c r="D4" s="1" t="n">
        <v>8.51654</v>
      </c>
      <c r="E4" s="1" t="n">
        <v>8.52024</v>
      </c>
      <c r="F4" s="1" t="n">
        <v>8.52328</v>
      </c>
      <c r="G4" s="1" t="n">
        <v>8.50134</v>
      </c>
      <c r="H4" s="1" t="n">
        <v>8.57116</v>
      </c>
      <c r="I4" s="1" t="n">
        <v>8.52639</v>
      </c>
      <c r="J4" s="1" t="n">
        <v>8.55268</v>
      </c>
      <c r="K4" s="1" t="n">
        <v>8.56309</v>
      </c>
      <c r="L4" s="1" t="n">
        <v>8.50665</v>
      </c>
      <c r="M4" s="1" t="n">
        <v>8.22189</v>
      </c>
      <c r="N4" s="1" t="n">
        <v>8.55604</v>
      </c>
      <c r="O4" s="1" t="n">
        <v>8.4148</v>
      </c>
      <c r="P4" s="1" t="n">
        <v>8.22066</v>
      </c>
      <c r="R4" s="2" t="n">
        <f aca="false">LN(B4)-LN($B4)</f>
        <v>0</v>
      </c>
      <c r="S4" s="2" t="n">
        <f aca="false">LN(C4)-LN($B4)</f>
        <v>0.000164535005193756</v>
      </c>
      <c r="T4" s="2" t="n">
        <f aca="false">C4-$B4</f>
        <v>0.00140999999999991</v>
      </c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 t="n">
        <f aca="false">LN(M4)-LN($B4)</f>
        <v>-0.0413392599995031</v>
      </c>
      <c r="AN4" s="2" t="n">
        <f aca="false">M4-$B4</f>
        <v>-0.347009999999999</v>
      </c>
      <c r="AO4" s="2"/>
      <c r="AP4" s="2"/>
      <c r="AQ4" s="2" t="n">
        <f aca="false">LN(O4)-LN($B4)</f>
        <v>-0.0181473093679907</v>
      </c>
      <c r="AR4" s="2" t="n">
        <f aca="false">O4-$B4</f>
        <v>-0.1541</v>
      </c>
      <c r="AS4" s="2" t="n">
        <f aca="false">LN(P4)-LN($B4)</f>
        <v>-0.0414888718300639</v>
      </c>
      <c r="AT4" s="2" t="n">
        <f aca="false">P4-$B4</f>
        <v>-0.348239999999999</v>
      </c>
    </row>
    <row r="5" customFormat="false" ht="15" hidden="false" customHeight="false" outlineLevel="0" collapsed="false">
      <c r="A5" s="1" t="n">
        <f aca="false">1+A4</f>
        <v>3</v>
      </c>
      <c r="B5" s="1" t="n">
        <v>7.61579</v>
      </c>
      <c r="C5" s="1" t="n">
        <v>7.62121</v>
      </c>
      <c r="D5" s="1" t="n">
        <v>7.59022</v>
      </c>
      <c r="E5" s="1" t="n">
        <v>7.5708</v>
      </c>
      <c r="F5" s="1" t="n">
        <v>7.58243</v>
      </c>
      <c r="G5" s="1" t="n">
        <v>7.56215</v>
      </c>
      <c r="H5" s="1" t="n">
        <v>7.62593</v>
      </c>
      <c r="I5" s="1" t="n">
        <v>7.57553</v>
      </c>
      <c r="J5" s="1" t="n">
        <v>7.61283</v>
      </c>
      <c r="K5" s="1" t="n">
        <v>7.61741</v>
      </c>
      <c r="L5" s="1" t="n">
        <v>7.56012</v>
      </c>
      <c r="M5" s="1" t="n">
        <v>7.38157</v>
      </c>
      <c r="N5" s="1" t="n">
        <v>7.58327</v>
      </c>
      <c r="O5" s="1" t="n">
        <v>7.51209</v>
      </c>
      <c r="P5" s="1" t="n">
        <v>7.41089</v>
      </c>
      <c r="S5" s="2" t="n">
        <f aca="false">LN(C5)-LN($B5)</f>
        <v>0.000711426163759299</v>
      </c>
      <c r="T5" s="2" t="n">
        <f aca="false">C5-$B5</f>
        <v>0.00541999999999998</v>
      </c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 t="n">
        <f aca="false">LN(M5)-LN($B5)</f>
        <v>-0.0312373704650772</v>
      </c>
      <c r="AN5" s="2" t="n">
        <f aca="false">M5-$B5</f>
        <v>-0.23422</v>
      </c>
      <c r="AO5" s="2"/>
      <c r="AP5" s="2"/>
      <c r="AQ5" s="2" t="n">
        <f aca="false">LN(O5)-LN($B5)</f>
        <v>-0.0137100009146325</v>
      </c>
      <c r="AR5" s="2" t="n">
        <f aca="false">O5-$B5</f>
        <v>-0.1037</v>
      </c>
      <c r="AS5" s="2" t="n">
        <f aca="false">LN(P5)-LN($B5)</f>
        <v>-0.0272731835216709</v>
      </c>
      <c r="AT5" s="2" t="n">
        <f aca="false">P5-$B5</f>
        <v>-0.204899999999999</v>
      </c>
    </row>
    <row r="6" customFormat="false" ht="15" hidden="false" customHeight="false" outlineLevel="0" collapsed="false">
      <c r="A6" s="1" t="n">
        <f aca="false">1+A5</f>
        <v>4</v>
      </c>
      <c r="B6" s="1" t="n">
        <v>6.19332</v>
      </c>
      <c r="C6" s="1" t="n">
        <v>6.19738</v>
      </c>
      <c r="D6" s="1" t="n">
        <v>6.19166</v>
      </c>
      <c r="E6" s="1" t="n">
        <v>6.17095</v>
      </c>
      <c r="F6" s="1" t="n">
        <v>6.16197</v>
      </c>
      <c r="G6" s="1" t="n">
        <v>6.16176</v>
      </c>
      <c r="H6" s="1" t="n">
        <v>6.20448</v>
      </c>
      <c r="I6" s="1" t="n">
        <v>6.16284</v>
      </c>
      <c r="J6" s="1" t="n">
        <v>6.20542</v>
      </c>
      <c r="K6" s="1" t="n">
        <v>6.20142</v>
      </c>
      <c r="L6" s="1" t="n">
        <v>6.1591</v>
      </c>
      <c r="M6" s="1" t="n">
        <v>6.04005</v>
      </c>
      <c r="N6" s="1" t="n">
        <v>6.16039</v>
      </c>
      <c r="O6" s="1" t="n">
        <v>6.13282</v>
      </c>
      <c r="P6" s="1" t="n">
        <v>6.06913</v>
      </c>
      <c r="S6" s="2" t="n">
        <f aca="false">LN(C6)-LN($B6)</f>
        <v>0.0006553302307859</v>
      </c>
      <c r="T6" s="2" t="n">
        <f aca="false">C6-$B6</f>
        <v>0.00405999999999995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 t="n">
        <f aca="false">LN(M6)-LN($B6)</f>
        <v>-0.0250590018045807</v>
      </c>
      <c r="AN6" s="2" t="n">
        <f aca="false">M6-$B6</f>
        <v>-0.15327</v>
      </c>
      <c r="AO6" s="2"/>
      <c r="AP6" s="2"/>
      <c r="AQ6" s="2" t="n">
        <f aca="false">LN(O6)-LN($B6)</f>
        <v>-0.00981661507075615</v>
      </c>
      <c r="AR6" s="2" t="n">
        <f aca="false">O6-$B6</f>
        <v>-0.0605000000000002</v>
      </c>
      <c r="AS6" s="2" t="n">
        <f aca="false">LN(P6)-LN($B6)</f>
        <v>-0.0202560249055908</v>
      </c>
      <c r="AT6" s="2" t="n">
        <f aca="false">P6-$B6</f>
        <v>-0.12419</v>
      </c>
    </row>
    <row r="7" customFormat="false" ht="15" hidden="false" customHeight="false" outlineLevel="0" collapsed="false">
      <c r="A7" s="1" t="n">
        <f aca="false">1+A6</f>
        <v>5</v>
      </c>
      <c r="B7" s="1" t="n">
        <v>4.6429</v>
      </c>
      <c r="C7" s="1" t="n">
        <v>4.64291</v>
      </c>
      <c r="D7" s="1" t="n">
        <v>4.64406</v>
      </c>
      <c r="E7" s="1" t="n">
        <v>4.6228</v>
      </c>
      <c r="F7" s="1" t="n">
        <v>4.61663</v>
      </c>
      <c r="G7" s="1" t="n">
        <v>4.62367</v>
      </c>
      <c r="H7" s="1" t="n">
        <v>4.65443</v>
      </c>
      <c r="I7" s="1" t="n">
        <v>4.60929</v>
      </c>
      <c r="J7" s="1" t="n">
        <v>4.6601</v>
      </c>
      <c r="K7" s="1" t="n">
        <v>4.64729</v>
      </c>
      <c r="L7" s="1" t="n">
        <v>4.61935</v>
      </c>
      <c r="M7" s="1" t="n">
        <v>4.53406</v>
      </c>
      <c r="N7" s="1" t="n">
        <v>4.61834</v>
      </c>
      <c r="O7" s="1" t="n">
        <v>4.60535</v>
      </c>
      <c r="P7" s="1" t="n">
        <v>4.56098</v>
      </c>
      <c r="S7" s="2" t="n">
        <f aca="false">LN(C7)-LN($B7)</f>
        <v>2.15382395296615E-006</v>
      </c>
      <c r="T7" s="2" t="n">
        <f aca="false">C7-$B7</f>
        <v>9.99999999962142E-006</v>
      </c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 t="n">
        <f aca="false">LN(M7)-LN($B7)</f>
        <v>-0.0237213856611915</v>
      </c>
      <c r="AN7" s="2" t="n">
        <f aca="false">M7-$B7</f>
        <v>-0.10884</v>
      </c>
      <c r="AO7" s="2"/>
      <c r="AP7" s="2"/>
      <c r="AQ7" s="2" t="n">
        <f aca="false">LN(O7)-LN($B7)</f>
        <v>-0.00812049984481433</v>
      </c>
      <c r="AR7" s="2" t="n">
        <f aca="false">O7-$B7</f>
        <v>-0.0375500000000004</v>
      </c>
      <c r="AS7" s="2" t="n">
        <f aca="false">LN(P7)-LN($B7)</f>
        <v>-0.0178016582903455</v>
      </c>
      <c r="AT7" s="2" t="n">
        <f aca="false">P7-$B7</f>
        <v>-0.0819200000000002</v>
      </c>
    </row>
    <row r="8" customFormat="false" ht="15" hidden="false" customHeight="false" outlineLevel="0" collapsed="false">
      <c r="A8" s="1" t="n">
        <f aca="false">1+A7</f>
        <v>6</v>
      </c>
      <c r="B8" s="1" t="n">
        <v>3.5486</v>
      </c>
      <c r="C8" s="1" t="n">
        <v>3.54379</v>
      </c>
      <c r="D8" s="1" t="n">
        <v>3.54869</v>
      </c>
      <c r="E8" s="1" t="n">
        <v>3.52772</v>
      </c>
      <c r="F8" s="1" t="n">
        <v>3.52678</v>
      </c>
      <c r="G8" s="1" t="n">
        <v>3.53431</v>
      </c>
      <c r="H8" s="1" t="n">
        <v>3.55837</v>
      </c>
      <c r="I8" s="1" t="n">
        <v>3.52109</v>
      </c>
      <c r="J8" s="1" t="n">
        <v>3.56591</v>
      </c>
      <c r="K8" s="1" t="n">
        <v>3.55526</v>
      </c>
      <c r="L8" s="1" t="n">
        <v>3.53974</v>
      </c>
      <c r="M8" s="1" t="n">
        <v>3.46161</v>
      </c>
      <c r="N8" s="1" t="n">
        <v>3.52904</v>
      </c>
      <c r="O8" s="1" t="n">
        <v>3.51681</v>
      </c>
      <c r="P8" s="1" t="n">
        <v>3.48885</v>
      </c>
      <c r="S8" s="2" t="n">
        <f aca="false">LN(C8)-LN($B8)</f>
        <v>-0.0013563835991659</v>
      </c>
      <c r="T8" s="2" t="n">
        <f aca="false">C8-$B8</f>
        <v>-0.00480999999999998</v>
      </c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 t="n">
        <f aca="false">LN(M8)-LN($B8)</f>
        <v>-0.024819360745445</v>
      </c>
      <c r="AN8" s="2" t="n">
        <f aca="false">M8-$B8</f>
        <v>-0.0869900000000001</v>
      </c>
      <c r="AO8" s="2"/>
      <c r="AP8" s="2"/>
      <c r="AQ8" s="2" t="n">
        <f aca="false">LN(O8)-LN($B8)</f>
        <v>-0.00899883079013408</v>
      </c>
      <c r="AR8" s="2" t="n">
        <f aca="false">O8-$B8</f>
        <v>-0.03179</v>
      </c>
      <c r="AS8" s="2" t="n">
        <f aca="false">LN(P8)-LN($B8)</f>
        <v>-0.0169809904882918</v>
      </c>
      <c r="AT8" s="2" t="n">
        <f aca="false">P8-$B8</f>
        <v>-0.0597500000000002</v>
      </c>
    </row>
    <row r="9" customFormat="false" ht="15" hidden="false" customHeight="false" outlineLevel="0" collapsed="false">
      <c r="A9" s="1" t="n">
        <f aca="false">1+A8</f>
        <v>7</v>
      </c>
      <c r="B9" s="1" t="n">
        <v>2.90453</v>
      </c>
      <c r="C9" s="1" t="n">
        <v>2.89255</v>
      </c>
      <c r="D9" s="1" t="n">
        <v>2.9043</v>
      </c>
      <c r="E9" s="1" t="n">
        <v>2.88108</v>
      </c>
      <c r="F9" s="1" t="n">
        <v>2.88726</v>
      </c>
      <c r="G9" s="1" t="n">
        <v>2.88927</v>
      </c>
      <c r="H9" s="1" t="n">
        <v>2.91071</v>
      </c>
      <c r="I9" s="1" t="n">
        <v>2.87295</v>
      </c>
      <c r="J9" s="1" t="n">
        <v>2.91969</v>
      </c>
      <c r="K9" s="1" t="n">
        <v>2.90797</v>
      </c>
      <c r="L9" s="1" t="n">
        <v>2.8945</v>
      </c>
      <c r="M9" s="1" t="n">
        <v>2.83243</v>
      </c>
      <c r="N9" s="1" t="n">
        <v>2.88291</v>
      </c>
      <c r="O9" s="1" t="n">
        <v>2.8724</v>
      </c>
      <c r="P9" s="1" t="n">
        <v>2.86421</v>
      </c>
      <c r="S9" s="2" t="n">
        <f aca="false">LN(C9)-LN($B9)</f>
        <v>-0.00413312117625231</v>
      </c>
      <c r="T9" s="2" t="n">
        <f aca="false">C9-$B9</f>
        <v>-0.0119799999999999</v>
      </c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 t="n">
        <f aca="false">LN(M9)-LN($B9)</f>
        <v>-0.0251365867335236</v>
      </c>
      <c r="AN9" s="2" t="n">
        <f aca="false">M9-$B9</f>
        <v>-0.0720999999999998</v>
      </c>
      <c r="AO9" s="2"/>
      <c r="AP9" s="2"/>
      <c r="AQ9" s="2" t="n">
        <f aca="false">LN(O9)-LN($B9)</f>
        <v>-0.0111236699432207</v>
      </c>
      <c r="AR9" s="2" t="n">
        <f aca="false">O9-$B9</f>
        <v>-0.03213</v>
      </c>
      <c r="AS9" s="2" t="n">
        <f aca="false">LN(P9)-LN($B9)</f>
        <v>-0.0139790167645752</v>
      </c>
      <c r="AT9" s="2" t="n">
        <f aca="false">P9-$B9</f>
        <v>-0.0403199999999999</v>
      </c>
    </row>
    <row r="10" customFormat="false" ht="15" hidden="false" customHeight="false" outlineLevel="0" collapsed="false">
      <c r="A10" s="1" t="n">
        <f aca="false">1+A9</f>
        <v>8</v>
      </c>
      <c r="B10" s="1" t="n">
        <v>2.4361</v>
      </c>
      <c r="C10" s="1" t="n">
        <v>2.42729</v>
      </c>
      <c r="D10" s="1" t="n">
        <v>2.43864</v>
      </c>
      <c r="E10" s="1" t="n">
        <v>2.42023</v>
      </c>
      <c r="F10" s="1" t="n">
        <v>2.42429</v>
      </c>
      <c r="G10" s="1" t="n">
        <v>2.42393</v>
      </c>
      <c r="H10" s="1" t="n">
        <v>2.4435</v>
      </c>
      <c r="I10" s="1" t="n">
        <v>2.41162</v>
      </c>
      <c r="J10" s="1" t="n">
        <v>2.44954</v>
      </c>
      <c r="K10" s="1" t="n">
        <v>2.43984</v>
      </c>
      <c r="L10" s="1" t="n">
        <v>2.42917</v>
      </c>
      <c r="M10" s="1" t="n">
        <v>2.37996</v>
      </c>
      <c r="N10" s="1" t="n">
        <v>2.42359</v>
      </c>
      <c r="O10" s="1" t="n">
        <v>2.412</v>
      </c>
      <c r="P10" s="1" t="n">
        <v>2.41563</v>
      </c>
      <c r="S10" s="2" t="n">
        <f aca="false">LN(C10)-LN($B10)</f>
        <v>-0.00362299122082232</v>
      </c>
      <c r="T10" s="2" t="n">
        <f aca="false">C10-$B10</f>
        <v>-0.00880999999999999</v>
      </c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 t="n">
        <f aca="false">LN(M10)-LN($B10)</f>
        <v>-0.0233147190887455</v>
      </c>
      <c r="AN10" s="2" t="n">
        <f aca="false">M10-$B10</f>
        <v>-0.0561400000000001</v>
      </c>
      <c r="AO10" s="2"/>
      <c r="AP10" s="2"/>
      <c r="AQ10" s="2" t="n">
        <f aca="false">LN(O10)-LN($B10)</f>
        <v>-0.00994212104326631</v>
      </c>
      <c r="AR10" s="2" t="n">
        <f aca="false">O10-$B10</f>
        <v>-0.0241000000000002</v>
      </c>
      <c r="AS10" s="2" t="n">
        <f aca="false">LN(P10)-LN($B10)</f>
        <v>-0.00843827725900026</v>
      </c>
      <c r="AT10" s="2" t="n">
        <f aca="false">P10-$B10</f>
        <v>-0.02047</v>
      </c>
    </row>
    <row r="11" customFormat="false" ht="15" hidden="false" customHeight="false" outlineLevel="0" collapsed="false">
      <c r="A11" s="1" t="n">
        <f aca="false">1+A10</f>
        <v>9</v>
      </c>
      <c r="B11" s="1" t="n">
        <v>1.97577</v>
      </c>
      <c r="C11" s="1" t="n">
        <v>1.96944</v>
      </c>
      <c r="D11" s="1" t="n">
        <v>1.97677</v>
      </c>
      <c r="E11" s="1" t="n">
        <v>1.96163</v>
      </c>
      <c r="F11" s="1" t="n">
        <v>1.96739</v>
      </c>
      <c r="G11" s="1" t="n">
        <v>1.96864</v>
      </c>
      <c r="H11" s="1" t="n">
        <v>1.98455</v>
      </c>
      <c r="I11" s="1" t="n">
        <v>1.95545</v>
      </c>
      <c r="J11" s="1" t="n">
        <v>1.98202</v>
      </c>
      <c r="K11" s="1" t="n">
        <v>1.97956</v>
      </c>
      <c r="L11" s="1" t="n">
        <v>1.96754</v>
      </c>
      <c r="M11" s="1" t="n">
        <v>1.93171</v>
      </c>
      <c r="N11" s="1" t="n">
        <v>1.9633</v>
      </c>
      <c r="O11" s="1" t="n">
        <v>1.95539</v>
      </c>
      <c r="P11" s="1" t="n">
        <v>1.96874</v>
      </c>
      <c r="S11" s="2" t="n">
        <f aca="false">LN(C11)-LN($B11)</f>
        <v>-0.00320895741006511</v>
      </c>
      <c r="T11" s="2" t="n">
        <f aca="false">C11-$B11</f>
        <v>-0.00632999999999995</v>
      </c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 t="n">
        <f aca="false">LN(M11)-LN($B11)</f>
        <v>-0.022552574785917</v>
      </c>
      <c r="AN11" s="2" t="n">
        <f aca="false">M11-$B11</f>
        <v>-0.04406</v>
      </c>
      <c r="AO11" s="2"/>
      <c r="AP11" s="2"/>
      <c r="AQ11" s="2" t="n">
        <f aca="false">LN(O11)-LN($B11)</f>
        <v>-0.0103685337567193</v>
      </c>
      <c r="AR11" s="2" t="n">
        <f aca="false">O11-$B11</f>
        <v>-0.0203800000000001</v>
      </c>
      <c r="AS11" s="2" t="n">
        <f aca="false">LN(P11)-LN($B11)</f>
        <v>-0.00356445157608709</v>
      </c>
      <c r="AT11" s="2" t="n">
        <f aca="false">P11-$B11</f>
        <v>-0.00703000000000009</v>
      </c>
    </row>
    <row r="12" customFormat="false" ht="15" hidden="false" customHeight="false" outlineLevel="0" collapsed="false">
      <c r="A12" s="1" t="n">
        <f aca="false">1+A11</f>
        <v>10</v>
      </c>
      <c r="B12" s="1" t="n">
        <v>1.57221</v>
      </c>
      <c r="C12" s="1" t="n">
        <v>1.56771</v>
      </c>
      <c r="D12" s="1" t="n">
        <v>1.57612</v>
      </c>
      <c r="E12" s="1" t="n">
        <v>1.5646</v>
      </c>
      <c r="F12" s="1" t="n">
        <v>1.56488</v>
      </c>
      <c r="G12" s="1" t="n">
        <v>1.57043</v>
      </c>
      <c r="H12" s="1" t="n">
        <v>1.57914</v>
      </c>
      <c r="I12" s="1" t="n">
        <v>1.55525</v>
      </c>
      <c r="J12" s="1" t="n">
        <v>1.57929</v>
      </c>
      <c r="K12" s="1" t="n">
        <v>1.57462</v>
      </c>
      <c r="L12" s="1" t="n">
        <v>1.56766</v>
      </c>
      <c r="M12" s="1" t="n">
        <v>1.53981</v>
      </c>
      <c r="N12" s="1" t="n">
        <v>1.56153</v>
      </c>
      <c r="O12" s="1" t="n">
        <v>1.55673</v>
      </c>
      <c r="P12" s="1" t="n">
        <v>1.57473</v>
      </c>
      <c r="S12" s="2" t="n">
        <f aca="false">LN(C12)-LN($B12)</f>
        <v>-0.00286631702776807</v>
      </c>
      <c r="T12" s="2" t="n">
        <f aca="false">C12-$B12</f>
        <v>-0.00450000000000017</v>
      </c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 t="n">
        <f aca="false">LN(M12)-LN($B12)</f>
        <v>-0.0208232406805812</v>
      </c>
      <c r="AN12" s="2" t="n">
        <f aca="false">M12-$B12</f>
        <v>-0.0324000000000002</v>
      </c>
      <c r="AO12" s="2"/>
      <c r="AP12" s="2"/>
      <c r="AQ12" s="2" t="n">
        <f aca="false">LN(O12)-LN($B12)</f>
        <v>-0.00989480546130639</v>
      </c>
      <c r="AR12" s="2" t="n">
        <f aca="false">O12-$B12</f>
        <v>-0.0154800000000002</v>
      </c>
      <c r="AS12" s="2" t="n">
        <f aca="false">LN(P12)-LN($B12)</f>
        <v>0.00160155613939006</v>
      </c>
      <c r="AT12" s="2" t="n">
        <f aca="false">P12-$B12</f>
        <v>0.00251999999999986</v>
      </c>
    </row>
    <row r="13" customFormat="false" ht="15" hidden="false" customHeight="false" outlineLevel="0" collapsed="false">
      <c r="A13" s="1" t="n">
        <f aca="false">1+A12</f>
        <v>11</v>
      </c>
      <c r="B13" s="1" t="n">
        <v>1.19549</v>
      </c>
      <c r="C13" s="1" t="n">
        <v>1.19499</v>
      </c>
      <c r="D13" s="1" t="n">
        <v>1.20242</v>
      </c>
      <c r="E13" s="1" t="n">
        <v>1.18438</v>
      </c>
      <c r="F13" s="1" t="n">
        <v>1.19309</v>
      </c>
      <c r="G13" s="1" t="n">
        <v>1.19753</v>
      </c>
      <c r="H13" s="1" t="n">
        <v>1.20456</v>
      </c>
      <c r="I13" s="1" t="n">
        <v>1.18298</v>
      </c>
      <c r="J13" s="1" t="n">
        <v>1.20243</v>
      </c>
      <c r="K13" s="1" t="n">
        <v>1.19686</v>
      </c>
      <c r="L13" s="1" t="n">
        <v>1.19443</v>
      </c>
      <c r="M13" s="1" t="n">
        <v>1.17419</v>
      </c>
      <c r="N13" s="1" t="n">
        <v>1.19253</v>
      </c>
      <c r="O13" s="1" t="n">
        <v>1.18824</v>
      </c>
      <c r="P13" s="1" t="n">
        <v>1.20234</v>
      </c>
      <c r="S13" s="2" t="n">
        <f aca="false">LN(C13)-LN($B13)</f>
        <v>-0.0004183260326725</v>
      </c>
      <c r="T13" s="2" t="n">
        <f aca="false">C13-$B13</f>
        <v>-0.000499999999999945</v>
      </c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 t="n">
        <f aca="false">LN(M13)-LN($B13)</f>
        <v>-0.0179775950053355</v>
      </c>
      <c r="AN13" s="2" t="n">
        <f aca="false">M13-$B13</f>
        <v>-0.0212999999999999</v>
      </c>
      <c r="AO13" s="2"/>
      <c r="AP13" s="2"/>
      <c r="AQ13" s="2" t="n">
        <f aca="false">LN(O13)-LN($B13)</f>
        <v>-0.00608292244115585</v>
      </c>
      <c r="AR13" s="2" t="n">
        <f aca="false">O13-$B13</f>
        <v>-0.00724999999999998</v>
      </c>
      <c r="AS13" s="2" t="n">
        <f aca="false">LN(P13)-LN($B13)</f>
        <v>0.0057135148316744</v>
      </c>
      <c r="AT13" s="2" t="n">
        <f aca="false">P13-$B13</f>
        <v>0.00685000000000002</v>
      </c>
    </row>
    <row r="14" customFormat="false" ht="15" hidden="false" customHeight="false" outlineLevel="0" collapsed="false">
      <c r="A14" s="1" t="n">
        <f aca="false">1+A13</f>
        <v>12</v>
      </c>
      <c r="B14" s="1" t="n">
        <v>0.885878</v>
      </c>
      <c r="C14" s="1" t="n">
        <v>0.888299</v>
      </c>
      <c r="D14" s="1" t="n">
        <v>0.889386</v>
      </c>
      <c r="E14" s="1" t="n">
        <v>0.875717</v>
      </c>
      <c r="F14" s="1" t="n">
        <v>0.886933</v>
      </c>
      <c r="G14" s="1" t="n">
        <v>0.890593</v>
      </c>
      <c r="H14" s="1" t="n">
        <v>0.894826</v>
      </c>
      <c r="I14" s="1" t="n">
        <v>0.875815</v>
      </c>
      <c r="J14" s="1" t="n">
        <v>0.894839</v>
      </c>
      <c r="K14" s="1" t="n">
        <v>0.890067</v>
      </c>
      <c r="L14" s="1" t="n">
        <v>0.884805</v>
      </c>
      <c r="M14" s="1" t="n">
        <v>0.871168</v>
      </c>
      <c r="N14" s="1" t="n">
        <v>0.884218</v>
      </c>
      <c r="O14" s="1" t="n">
        <v>0.880853</v>
      </c>
      <c r="P14" s="1" t="n">
        <v>0.895257</v>
      </c>
      <c r="S14" s="2" t="n">
        <f aca="false">LN(C14)-LN($B14)</f>
        <v>0.00272915442223744</v>
      </c>
      <c r="T14" s="2" t="n">
        <f aca="false">C14-$B14</f>
        <v>0.0024209999999999</v>
      </c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 t="n">
        <f aca="false">LN(M14)-LN($B14)</f>
        <v>-0.0167444036086463</v>
      </c>
      <c r="AN14" s="2" t="n">
        <f aca="false">M14-$B14</f>
        <v>-0.01471</v>
      </c>
      <c r="AO14" s="2"/>
      <c r="AP14" s="2"/>
      <c r="AQ14" s="2" t="n">
        <f aca="false">LN(O14)-LN($B14)</f>
        <v>-0.00568848743841328</v>
      </c>
      <c r="AR14" s="2" t="n">
        <f aca="false">O14-$B14</f>
        <v>-0.00502500000000006</v>
      </c>
      <c r="AS14" s="2" t="n">
        <f aca="false">LN(P14)-LN($B14)</f>
        <v>0.0105315842859555</v>
      </c>
      <c r="AT14" s="2" t="n">
        <f aca="false">P14-$B14</f>
        <v>0.00937899999999992</v>
      </c>
    </row>
    <row r="15" customFormat="false" ht="15" hidden="false" customHeight="false" outlineLevel="0" collapsed="false">
      <c r="A15" s="1" t="n">
        <f aca="false">1+A14</f>
        <v>13</v>
      </c>
      <c r="B15" s="1" t="n">
        <v>0.620956</v>
      </c>
      <c r="C15" s="1" t="n">
        <v>0.625555</v>
      </c>
      <c r="D15" s="1" t="n">
        <v>0.621984</v>
      </c>
      <c r="E15" s="1" t="n">
        <v>0.610831</v>
      </c>
      <c r="F15" s="1" t="n">
        <v>0.622658</v>
      </c>
      <c r="G15" s="1" t="n">
        <v>0.625594</v>
      </c>
      <c r="H15" s="1" t="n">
        <v>0.628372</v>
      </c>
      <c r="I15" s="1" t="n">
        <v>0.610382</v>
      </c>
      <c r="J15" s="1" t="n">
        <v>0.631537</v>
      </c>
      <c r="K15" s="1" t="n">
        <v>0.624253</v>
      </c>
      <c r="L15" s="1" t="n">
        <v>0.619989</v>
      </c>
      <c r="M15" s="1" t="n">
        <v>0.612309</v>
      </c>
      <c r="N15" s="1" t="n">
        <v>0.621298</v>
      </c>
      <c r="O15" s="1" t="n">
        <v>0.616748</v>
      </c>
      <c r="P15" s="1" t="n">
        <v>0.628724</v>
      </c>
      <c r="S15" s="2" t="n">
        <f aca="false">LN(C15)-LN($B15)</f>
        <v>0.00737902973655935</v>
      </c>
      <c r="T15" s="2" t="n">
        <f aca="false">C15-$B15</f>
        <v>0.00459900000000002</v>
      </c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 t="n">
        <f aca="false">LN(M15)-LN($B15)</f>
        <v>-0.0140231689080924</v>
      </c>
      <c r="AN15" s="2" t="n">
        <f aca="false">M15-$B15</f>
        <v>-0.00864699999999996</v>
      </c>
      <c r="AO15" s="2"/>
      <c r="AP15" s="2"/>
      <c r="AQ15" s="2" t="n">
        <f aca="false">LN(O15)-LN($B15)</f>
        <v>-0.00679971336191398</v>
      </c>
      <c r="AR15" s="2" t="n">
        <f aca="false">O15-$B15</f>
        <v>-0.00420799999999999</v>
      </c>
      <c r="AS15" s="2" t="n">
        <f aca="false">LN(P15)-LN($B15)</f>
        <v>0.0124321427091722</v>
      </c>
      <c r="AT15" s="2" t="n">
        <f aca="false">P15-$B15</f>
        <v>0.007768</v>
      </c>
    </row>
    <row r="16" customFormat="false" ht="15" hidden="false" customHeight="false" outlineLevel="0" collapsed="false">
      <c r="A16" s="1" t="n">
        <f aca="false">1+A15</f>
        <v>14</v>
      </c>
      <c r="B16" s="1" t="n">
        <v>0.422272</v>
      </c>
      <c r="C16" s="1" t="n">
        <v>0.426741</v>
      </c>
      <c r="D16" s="1" t="n">
        <v>0.42302</v>
      </c>
      <c r="E16" s="1" t="n">
        <v>0.413288</v>
      </c>
      <c r="F16" s="1" t="n">
        <v>0.426263</v>
      </c>
      <c r="G16" s="1" t="n">
        <v>0.4274</v>
      </c>
      <c r="H16" s="1" t="n">
        <v>0.427739</v>
      </c>
      <c r="I16" s="1" t="n">
        <v>0.413937</v>
      </c>
      <c r="J16" s="1" t="n">
        <v>0.430566</v>
      </c>
      <c r="K16" s="1" t="n">
        <v>0.423368</v>
      </c>
      <c r="L16" s="1" t="n">
        <v>0.420541</v>
      </c>
      <c r="M16" s="1" t="n">
        <v>0.418143</v>
      </c>
      <c r="N16" s="1" t="n">
        <v>0.42346</v>
      </c>
      <c r="O16" s="1" t="n">
        <v>0.417333</v>
      </c>
      <c r="P16" s="1" t="n">
        <v>0.430151</v>
      </c>
      <c r="S16" s="2" t="n">
        <f aca="false">LN(C16)-LN($B16)</f>
        <v>0.0105276156551677</v>
      </c>
      <c r="T16" s="2" t="n">
        <f aca="false">C16-$B16</f>
        <v>0.004469</v>
      </c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 t="n">
        <f aca="false">LN(M16)-LN($B16)</f>
        <v>-0.00982617688281007</v>
      </c>
      <c r="AN16" s="2" t="n">
        <f aca="false">M16-$B16</f>
        <v>-0.00412899999999999</v>
      </c>
      <c r="AO16" s="2"/>
      <c r="AP16" s="2"/>
      <c r="AQ16" s="2" t="n">
        <f aca="false">LN(O16)-LN($B16)</f>
        <v>-0.0117651918964909</v>
      </c>
      <c r="AR16" s="2" t="n">
        <f aca="false">O16-$B16</f>
        <v>-0.00493899999999997</v>
      </c>
      <c r="AS16" s="2" t="n">
        <f aca="false">LN(P16)-LN($B16)</f>
        <v>0.0184866536690224</v>
      </c>
      <c r="AT16" s="2" t="n">
        <f aca="false">P16-$B16</f>
        <v>0.00787900000000003</v>
      </c>
    </row>
    <row r="17" customFormat="false" ht="15" hidden="false" customHeight="false" outlineLevel="0" collapsed="false">
      <c r="A17" s="1" t="n">
        <f aca="false">1+A16</f>
        <v>15</v>
      </c>
      <c r="B17" s="1" t="n">
        <v>0.274942</v>
      </c>
      <c r="C17" s="1" t="n">
        <v>0.278558</v>
      </c>
      <c r="D17" s="1" t="n">
        <v>0.274997</v>
      </c>
      <c r="E17" s="1" t="n">
        <v>0.268876</v>
      </c>
      <c r="F17" s="1" t="n">
        <v>0.279365</v>
      </c>
      <c r="G17" s="1" t="n">
        <v>0.27881</v>
      </c>
      <c r="H17" s="1" t="n">
        <v>0.279284</v>
      </c>
      <c r="I17" s="1" t="n">
        <v>0.267482</v>
      </c>
      <c r="J17" s="1" t="n">
        <v>0.282408</v>
      </c>
      <c r="K17" s="1" t="n">
        <v>0.276431</v>
      </c>
      <c r="L17" s="1" t="n">
        <v>0.275185</v>
      </c>
      <c r="M17" s="1" t="n">
        <v>0.272498</v>
      </c>
      <c r="N17" s="1" t="n">
        <v>0.275989</v>
      </c>
      <c r="O17" s="1" t="n">
        <v>0.270357</v>
      </c>
      <c r="P17" s="1" t="n">
        <v>0.282187</v>
      </c>
      <c r="S17" s="2" t="n">
        <f aca="false">LN(C17)-LN($B17)</f>
        <v>0.0130661298811572</v>
      </c>
      <c r="T17" s="2" t="n">
        <f aca="false">C17-$B17</f>
        <v>0.00361599999999995</v>
      </c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 t="n">
        <f aca="false">LN(M17)-LN($B17)</f>
        <v>-0.0089288917043886</v>
      </c>
      <c r="AN17" s="2" t="n">
        <f aca="false">M17-$B17</f>
        <v>-0.002444</v>
      </c>
      <c r="AO17" s="2"/>
      <c r="AP17" s="2"/>
      <c r="AQ17" s="2" t="n">
        <f aca="false">LN(O17)-LN($B17)</f>
        <v>-0.0168168584766464</v>
      </c>
      <c r="AR17" s="2" t="n">
        <f aca="false">O17-$B17</f>
        <v>-0.00458500000000001</v>
      </c>
      <c r="AS17" s="2" t="n">
        <f aca="false">LN(P17)-LN($B17)</f>
        <v>0.0260098054069835</v>
      </c>
      <c r="AT17" s="2" t="n">
        <f aca="false">P17-$B17</f>
        <v>0.007245</v>
      </c>
    </row>
    <row r="18" customFormat="false" ht="15" hidden="false" customHeight="false" outlineLevel="0" collapsed="false">
      <c r="A18" s="1" t="n">
        <f aca="false">1+A17</f>
        <v>16</v>
      </c>
      <c r="B18" s="1" t="n">
        <v>0.173589</v>
      </c>
      <c r="C18" s="1" t="n">
        <v>0.178152</v>
      </c>
      <c r="D18" s="1" t="n">
        <v>0.174675</v>
      </c>
      <c r="E18" s="1" t="n">
        <v>0.170181</v>
      </c>
      <c r="F18" s="1" t="n">
        <v>0.178165</v>
      </c>
      <c r="G18" s="1" t="n">
        <v>0.177444</v>
      </c>
      <c r="H18" s="1" t="n">
        <v>0.177317</v>
      </c>
      <c r="I18" s="1" t="n">
        <v>0.167549</v>
      </c>
      <c r="J18" s="1" t="n">
        <v>0.180353</v>
      </c>
      <c r="K18" s="1" t="n">
        <v>0.175988</v>
      </c>
      <c r="L18" s="1" t="n">
        <v>0.17449</v>
      </c>
      <c r="M18" s="1" t="n">
        <v>0.174369</v>
      </c>
      <c r="N18" s="1" t="n">
        <v>0.175688</v>
      </c>
      <c r="O18" s="1" t="n">
        <v>0.170044</v>
      </c>
      <c r="P18" s="1" t="n">
        <v>0.180698</v>
      </c>
      <c r="S18" s="2" t="n">
        <f aca="false">LN(C18)-LN($B18)</f>
        <v>0.0259466823199919</v>
      </c>
      <c r="T18" s="2" t="n">
        <f aca="false">C18-$B18</f>
        <v>0.00456300000000001</v>
      </c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 t="n">
        <f aca="false">LN(M18)-LN($B18)</f>
        <v>0.00448330721812629</v>
      </c>
      <c r="AN18" s="2" t="n">
        <f aca="false">M18-$B18</f>
        <v>0.000780000000000003</v>
      </c>
      <c r="AO18" s="2"/>
      <c r="AP18" s="2"/>
      <c r="AQ18" s="2" t="n">
        <f aca="false">LN(O18)-LN($B18)</f>
        <v>-0.0206332090727215</v>
      </c>
      <c r="AR18" s="2" t="n">
        <f aca="false">O18-$B18</f>
        <v>-0.00354499999999999</v>
      </c>
      <c r="AS18" s="2" t="n">
        <f aca="false">LN(P18)-LN($B18)</f>
        <v>0.0401366933049456</v>
      </c>
      <c r="AT18" s="2" t="n">
        <f aca="false">P18-$B18</f>
        <v>0.007109</v>
      </c>
    </row>
    <row r="19" customFormat="false" ht="15" hidden="false" customHeight="false" outlineLevel="0" collapsed="false">
      <c r="A19" s="1" t="n">
        <f aca="false">1+A18</f>
        <v>17</v>
      </c>
      <c r="B19" s="1" t="n">
        <v>0.106165</v>
      </c>
      <c r="C19" s="1" t="n">
        <v>0.109497</v>
      </c>
      <c r="D19" s="1" t="n">
        <v>0.106811</v>
      </c>
      <c r="E19" s="1" t="n">
        <v>0.103223</v>
      </c>
      <c r="F19" s="1" t="n">
        <v>0.109482</v>
      </c>
      <c r="G19" s="1" t="n">
        <v>0.109325</v>
      </c>
      <c r="H19" s="1" t="n">
        <v>0.109361</v>
      </c>
      <c r="I19" s="1" t="n">
        <v>0.100933</v>
      </c>
      <c r="J19" s="1" t="n">
        <v>0.11177</v>
      </c>
      <c r="K19" s="1" t="n">
        <v>0.108255</v>
      </c>
      <c r="L19" s="1" t="n">
        <v>0.106705</v>
      </c>
      <c r="M19" s="1" t="n">
        <v>0.106583</v>
      </c>
      <c r="N19" s="1" t="n">
        <v>0.107982</v>
      </c>
      <c r="O19" s="1" t="n">
        <v>0.102637</v>
      </c>
      <c r="P19" s="1" t="n">
        <v>0.111189</v>
      </c>
      <c r="S19" s="2" t="n">
        <f aca="false">LN(C19)-LN($B19)</f>
        <v>0.0309026639872125</v>
      </c>
      <c r="T19" s="2" t="n">
        <f aca="false">C19-$B19</f>
        <v>0.003332</v>
      </c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 t="n">
        <f aca="false">LN(M19)-LN($B19)</f>
        <v>0.00392953670887941</v>
      </c>
      <c r="AN19" s="2" t="n">
        <f aca="false">M19-$B19</f>
        <v>0.000418000000000002</v>
      </c>
      <c r="AO19" s="2"/>
      <c r="AP19" s="2"/>
      <c r="AQ19" s="2" t="n">
        <f aca="false">LN(O19)-LN($B19)</f>
        <v>-0.0337959961245389</v>
      </c>
      <c r="AR19" s="2" t="n">
        <f aca="false">O19-$B19</f>
        <v>-0.00352799999999999</v>
      </c>
      <c r="AS19" s="2" t="n">
        <f aca="false">LN(P19)-LN($B19)</f>
        <v>0.0462369684264239</v>
      </c>
      <c r="AT19" s="2" t="n">
        <f aca="false">P19-$B19</f>
        <v>0.005024</v>
      </c>
    </row>
    <row r="20" customFormat="false" ht="15" hidden="false" customHeight="false" outlineLevel="0" collapsed="false">
      <c r="A20" s="1" t="n">
        <f aca="false">1+A19</f>
        <v>18</v>
      </c>
      <c r="B20" s="1" t="n">
        <v>0.0641529</v>
      </c>
      <c r="C20" s="1" t="n">
        <v>0.0670972</v>
      </c>
      <c r="D20" s="1" t="n">
        <v>0.0642535</v>
      </c>
      <c r="E20" s="1" t="n">
        <v>0.0618894</v>
      </c>
      <c r="F20" s="1" t="n">
        <v>0.0667771</v>
      </c>
      <c r="G20" s="1" t="n">
        <v>0.0667056</v>
      </c>
      <c r="H20" s="1" t="n">
        <v>0.0666197</v>
      </c>
      <c r="I20" s="1" t="n">
        <v>0.0600861</v>
      </c>
      <c r="J20" s="1" t="n">
        <v>0.0687255</v>
      </c>
      <c r="K20" s="1" t="n">
        <v>0.0652923</v>
      </c>
      <c r="L20" s="1" t="n">
        <v>0.0652952</v>
      </c>
      <c r="M20" s="1" t="n">
        <v>0.0645564</v>
      </c>
      <c r="N20" s="1" t="n">
        <v>0.066497</v>
      </c>
      <c r="O20" s="1" t="n">
        <v>0.0613462</v>
      </c>
      <c r="P20" s="1" t="n">
        <v>0.0688283</v>
      </c>
      <c r="S20" s="2" t="n">
        <f aca="false">LN(C20)-LN($B20)</f>
        <v>0.0448730177569114</v>
      </c>
      <c r="T20" s="2" t="n">
        <f aca="false">C20-$B20</f>
        <v>0.0029443</v>
      </c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 t="n">
        <f aca="false">LN(M20)-LN($B20)</f>
        <v>0.00626996373813071</v>
      </c>
      <c r="AN20" s="2" t="n">
        <f aca="false">M20-$B20</f>
        <v>0.000403500000000001</v>
      </c>
      <c r="AO20" s="2"/>
      <c r="AP20" s="2"/>
      <c r="AQ20" s="2" t="n">
        <f aca="false">LN(O20)-LN($B20)</f>
        <v>-0.0447360670387385</v>
      </c>
      <c r="AR20" s="2" t="n">
        <f aca="false">O20-$B20</f>
        <v>-0.0028067</v>
      </c>
      <c r="AS20" s="2" t="n">
        <f aca="false">LN(P20)-LN($B20)</f>
        <v>0.070345700985627</v>
      </c>
      <c r="AT20" s="2" t="n">
        <f aca="false">P20-$B20</f>
        <v>0.0046754</v>
      </c>
    </row>
    <row r="21" customFormat="false" ht="15" hidden="false" customHeight="false" outlineLevel="0" collapsed="false">
      <c r="A21" s="1" t="n">
        <f aca="false">1+A20</f>
        <v>19</v>
      </c>
      <c r="B21" s="1" t="n">
        <v>0.0379371</v>
      </c>
      <c r="C21" s="1" t="n">
        <v>0.0409123</v>
      </c>
      <c r="D21" s="1" t="n">
        <v>0.0381751</v>
      </c>
      <c r="E21" s="1" t="n">
        <v>0.036388</v>
      </c>
      <c r="F21" s="1" t="n">
        <v>0.040298</v>
      </c>
      <c r="G21" s="1" t="n">
        <v>0.0400991</v>
      </c>
      <c r="H21" s="1" t="n">
        <v>0.0393153</v>
      </c>
      <c r="I21" s="1" t="n">
        <v>0.0353207</v>
      </c>
      <c r="J21" s="1" t="n">
        <v>0.0412632</v>
      </c>
      <c r="K21" s="1" t="n">
        <v>0.0391715</v>
      </c>
      <c r="L21" s="1" t="n">
        <v>0.0393961</v>
      </c>
      <c r="M21" s="1" t="n">
        <v>0.0387951</v>
      </c>
      <c r="N21" s="1" t="n">
        <v>0.0403658</v>
      </c>
      <c r="O21" s="1" t="n">
        <v>0.0359257</v>
      </c>
      <c r="P21" s="1" t="n">
        <v>0.0418751</v>
      </c>
      <c r="S21" s="2" t="n">
        <f aca="false">LN(C21)-LN($B21)</f>
        <v>0.0755012262270336</v>
      </c>
      <c r="T21" s="2" t="n">
        <f aca="false">C21-$B21</f>
        <v>0.0029752</v>
      </c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 t="n">
        <f aca="false">LN(M21)-LN($B21)</f>
        <v>0.0223644248875483</v>
      </c>
      <c r="AN21" s="2" t="n">
        <f aca="false">M21-$B21</f>
        <v>0.000857999999999998</v>
      </c>
      <c r="AO21" s="2"/>
      <c r="AP21" s="2"/>
      <c r="AQ21" s="2" t="n">
        <f aca="false">LN(O21)-LN($B21)</f>
        <v>-0.0544766082932693</v>
      </c>
      <c r="AR21" s="2" t="n">
        <f aca="false">O21-$B21</f>
        <v>-0.0020114</v>
      </c>
      <c r="AS21" s="2" t="n">
        <f aca="false">LN(P21)-LN($B21)</f>
        <v>0.0987618530952794</v>
      </c>
      <c r="AT21" s="2" t="n">
        <f aca="false">P21-$B21</f>
        <v>0.003938</v>
      </c>
    </row>
    <row r="22" customFormat="false" ht="15" hidden="false" customHeight="false" outlineLevel="0" collapsed="false">
      <c r="A22" s="1" t="n">
        <f aca="false">1+A21</f>
        <v>20</v>
      </c>
      <c r="B22" s="1" t="n">
        <v>0.0220848</v>
      </c>
      <c r="C22" s="1" t="n">
        <v>0.0245705</v>
      </c>
      <c r="D22" s="1" t="n">
        <v>0.0224785</v>
      </c>
      <c r="E22" s="1" t="n">
        <v>0.0208057</v>
      </c>
      <c r="F22" s="1" t="n">
        <v>0.0237693</v>
      </c>
      <c r="G22" s="1" t="n">
        <v>0.0239373</v>
      </c>
      <c r="H22" s="1" t="n">
        <v>0.0233616</v>
      </c>
      <c r="I22" s="1" t="n">
        <v>0.0205183</v>
      </c>
      <c r="J22" s="1" t="n">
        <v>0.0246531</v>
      </c>
      <c r="K22" s="1" t="n">
        <v>0.0231086</v>
      </c>
      <c r="L22" s="1" t="n">
        <v>0.0232305</v>
      </c>
      <c r="M22" s="1" t="n">
        <v>0.0227435</v>
      </c>
      <c r="N22" s="1" t="n">
        <v>0.0246182</v>
      </c>
      <c r="O22" s="1" t="n">
        <v>0.0203479</v>
      </c>
      <c r="P22" s="1" t="n">
        <v>0.0254978</v>
      </c>
      <c r="S22" s="2" t="n">
        <f aca="false">LN(C22)-LN($B22)</f>
        <v>0.106656947259202</v>
      </c>
      <c r="T22" s="2" t="n">
        <f aca="false">C22-$B22</f>
        <v>0.0024857</v>
      </c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 t="n">
        <f aca="false">LN(M22)-LN($B22)</f>
        <v>0.0293898011999656</v>
      </c>
      <c r="AN22" s="2" t="n">
        <f aca="false">M22-$B22</f>
        <v>0.000658699999999998</v>
      </c>
      <c r="AO22" s="2"/>
      <c r="AP22" s="2"/>
      <c r="AQ22" s="2" t="n">
        <f aca="false">LN(O22)-LN($B22)</f>
        <v>-0.0819118766266449</v>
      </c>
      <c r="AR22" s="2" t="n">
        <f aca="false">O22-$B22</f>
        <v>-0.0017369</v>
      </c>
      <c r="AS22" s="2" t="n">
        <f aca="false">LN(P22)-LN($B22)</f>
        <v>0.14370258484554</v>
      </c>
      <c r="AT22" s="2" t="n">
        <f aca="false">P22-$B22</f>
        <v>0.003413</v>
      </c>
    </row>
    <row r="23" customFormat="false" ht="15" hidden="false" customHeight="false" outlineLevel="0" collapsed="false">
      <c r="A23" s="1" t="n">
        <f aca="false">1+A22</f>
        <v>21</v>
      </c>
      <c r="B23" s="1" t="n">
        <v>0.0127293</v>
      </c>
      <c r="C23" s="1" t="n">
        <v>0.0149056</v>
      </c>
      <c r="D23" s="1" t="n">
        <v>0.0130834</v>
      </c>
      <c r="E23" s="1" t="n">
        <v>0.0117838</v>
      </c>
      <c r="F23" s="1" t="n">
        <v>0.0139009</v>
      </c>
      <c r="G23" s="1" t="n">
        <v>0.0142732</v>
      </c>
      <c r="H23" s="1" t="n">
        <v>0.0137506</v>
      </c>
      <c r="I23" s="1" t="n">
        <v>0.0119336</v>
      </c>
      <c r="J23" s="1" t="n">
        <v>0.0144868</v>
      </c>
      <c r="K23" s="1" t="n">
        <v>0.0135769</v>
      </c>
      <c r="L23" s="1" t="n">
        <v>0.0137392</v>
      </c>
      <c r="M23" s="1" t="n">
        <v>0.0134177</v>
      </c>
      <c r="N23" s="1" t="n">
        <v>0.015078</v>
      </c>
      <c r="O23" s="1" t="n">
        <v>0.0112659</v>
      </c>
      <c r="P23" s="1" t="n">
        <v>0.0155386</v>
      </c>
      <c r="S23" s="2" t="n">
        <f aca="false">LN(C23)-LN($B23)</f>
        <v>0.157830558427233</v>
      </c>
      <c r="T23" s="2" t="n">
        <f aca="false">C23-$B23</f>
        <v>0.0021763</v>
      </c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 t="n">
        <f aca="false">LN(M23)-LN($B23)</f>
        <v>0.0526683080236232</v>
      </c>
      <c r="AN23" s="2" t="n">
        <f aca="false">M23-$B23</f>
        <v>0.000688399999999999</v>
      </c>
      <c r="AO23" s="2"/>
      <c r="AP23" s="2"/>
      <c r="AQ23" s="2" t="n">
        <f aca="false">LN(O23)-LN($B23)</f>
        <v>-0.122125958672337</v>
      </c>
      <c r="AR23" s="2" t="n">
        <f aca="false">O23-$B23</f>
        <v>-0.0014634</v>
      </c>
      <c r="AS23" s="2" t="n">
        <f aca="false">LN(P23)-LN($B23)</f>
        <v>0.199420827950458</v>
      </c>
      <c r="AT23" s="2" t="n">
        <f aca="false">P23-$B23</f>
        <v>0.0028093</v>
      </c>
    </row>
    <row r="24" customFormat="false" ht="15" hidden="false" customHeight="false" outlineLevel="0" collapsed="false">
      <c r="A24" s="1" t="n">
        <f aca="false">1+A23</f>
        <v>22</v>
      </c>
      <c r="B24" s="1" t="n">
        <v>0.00728863</v>
      </c>
      <c r="C24" s="1" t="n">
        <v>0.00890492</v>
      </c>
      <c r="D24" s="1" t="n">
        <v>0.00757869</v>
      </c>
      <c r="E24" s="1" t="n">
        <v>0.00654705</v>
      </c>
      <c r="F24" s="1" t="n">
        <v>0.00800921</v>
      </c>
      <c r="G24" s="1" t="n">
        <v>0.00838478</v>
      </c>
      <c r="H24" s="1" t="n">
        <v>0.0080027</v>
      </c>
      <c r="I24" s="1" t="n">
        <v>0.00682545</v>
      </c>
      <c r="J24" s="1" t="n">
        <v>0.00848633</v>
      </c>
      <c r="K24" s="1" t="n">
        <v>0.00792623</v>
      </c>
      <c r="L24" s="1" t="n">
        <v>0.00813941</v>
      </c>
      <c r="M24" s="1" t="n">
        <v>0.00773931</v>
      </c>
      <c r="N24" s="1" t="n">
        <v>0.0091512</v>
      </c>
      <c r="O24" s="1" t="n">
        <v>0.0062516</v>
      </c>
      <c r="P24" s="1" t="n">
        <v>0.00956854</v>
      </c>
      <c r="S24" s="2" t="n">
        <f aca="false">LN(C24)-LN($B24)</f>
        <v>0.200288333293907</v>
      </c>
      <c r="T24" s="2" t="n">
        <f aca="false">C24-$B24</f>
        <v>0.00161629</v>
      </c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 t="n">
        <f aca="false">LN(M24)-LN($B24)</f>
        <v>0.0599969366506077</v>
      </c>
      <c r="AN24" s="2" t="n">
        <f aca="false">M24-$B24</f>
        <v>0.00045068</v>
      </c>
      <c r="AO24" s="2"/>
      <c r="AP24" s="2"/>
      <c r="AQ24" s="2" t="n">
        <f aca="false">LN(O24)-LN($B24)</f>
        <v>-0.153478168704449</v>
      </c>
      <c r="AR24" s="2" t="n">
        <f aca="false">O24-$B24</f>
        <v>-0.00103703</v>
      </c>
      <c r="AS24" s="2" t="n">
        <f aca="false">LN(P24)-LN($B24)</f>
        <v>0.272165034052444</v>
      </c>
      <c r="AT24" s="2" t="n">
        <f aca="false">P24-$B24</f>
        <v>0.00227991</v>
      </c>
    </row>
    <row r="25" customFormat="false" ht="15" hidden="false" customHeight="false" outlineLevel="0" collapsed="false">
      <c r="A25" s="1" t="n">
        <f aca="false">1+A24</f>
        <v>23</v>
      </c>
      <c r="B25" s="1" t="n">
        <v>0.0040617</v>
      </c>
      <c r="C25" s="1" t="n">
        <v>0.00550402</v>
      </c>
      <c r="D25" s="1" t="n">
        <v>0.00431482</v>
      </c>
      <c r="E25" s="1" t="n">
        <v>0.00355787</v>
      </c>
      <c r="F25" s="1" t="n">
        <v>0.00452852</v>
      </c>
      <c r="G25" s="1" t="n">
        <v>0.00478296</v>
      </c>
      <c r="H25" s="1" t="n">
        <v>0.00471942</v>
      </c>
      <c r="I25" s="1" t="n">
        <v>0.00398606</v>
      </c>
      <c r="J25" s="1" t="n">
        <v>0.00496324</v>
      </c>
      <c r="K25" s="1" t="n">
        <v>0.00460784</v>
      </c>
      <c r="L25" s="1" t="n">
        <v>0.0047177</v>
      </c>
      <c r="M25" s="1" t="n">
        <v>0.00438364</v>
      </c>
      <c r="N25" s="1" t="n">
        <v>0.0057159</v>
      </c>
      <c r="O25" s="1" t="n">
        <v>0.00338667</v>
      </c>
      <c r="P25" s="1" t="n">
        <v>0.0059171</v>
      </c>
      <c r="S25" s="2" t="n">
        <f aca="false">LN(C25)-LN($B25)</f>
        <v>0.303877129158333</v>
      </c>
      <c r="T25" s="2" t="n">
        <f aca="false">C25-$B25</f>
        <v>0.00144232</v>
      </c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 t="n">
        <f aca="false">LN(M25)-LN($B25)</f>
        <v>0.0762778242985878</v>
      </c>
      <c r="AN25" s="2" t="n">
        <f aca="false">M25-$B25</f>
        <v>0.000321940000000001</v>
      </c>
      <c r="AO25" s="2"/>
      <c r="AP25" s="2"/>
      <c r="AQ25" s="2" t="n">
        <f aca="false">LN(O25)-LN($B25)</f>
        <v>-0.181754467453327</v>
      </c>
      <c r="AR25" s="2" t="n">
        <f aca="false">O25-$B25</f>
        <v>-0.00067503</v>
      </c>
      <c r="AS25" s="2" t="n">
        <f aca="false">LN(P25)-LN($B25)</f>
        <v>0.37624485882102</v>
      </c>
      <c r="AT25" s="2" t="n">
        <f aca="false">P25-$B25</f>
        <v>0.0018554</v>
      </c>
    </row>
    <row r="26" customFormat="false" ht="15" hidden="false" customHeight="false" outlineLevel="0" collapsed="false">
      <c r="A26" s="1" t="n">
        <f aca="false">1+A25</f>
        <v>24</v>
      </c>
      <c r="B26" s="1" t="n">
        <v>0.00219371</v>
      </c>
      <c r="C26" s="1" t="n">
        <v>0.00341914</v>
      </c>
      <c r="D26" s="1" t="n">
        <v>0.00245866</v>
      </c>
      <c r="E26" s="1" t="n">
        <v>0.00189677</v>
      </c>
      <c r="F26" s="1" t="n">
        <v>0.00247285</v>
      </c>
      <c r="G26" s="1" t="n">
        <v>0.00274735</v>
      </c>
      <c r="H26" s="1" t="n">
        <v>0.00267837</v>
      </c>
      <c r="I26" s="1" t="n">
        <v>0.00229863</v>
      </c>
      <c r="J26" s="1" t="n">
        <v>0.00287081</v>
      </c>
      <c r="K26" s="1" t="n">
        <v>0.00259307</v>
      </c>
      <c r="L26" s="1" t="n">
        <v>0.00269385</v>
      </c>
      <c r="M26" s="1" t="n">
        <v>0.00248284</v>
      </c>
      <c r="N26" s="1" t="n">
        <v>0.00360678</v>
      </c>
      <c r="O26" s="1" t="n">
        <v>0.00188441</v>
      </c>
      <c r="P26" s="1" t="n">
        <v>0.00373183</v>
      </c>
      <c r="S26" s="2" t="n">
        <f aca="false">LN(C26)-LN($B26)</f>
        <v>0.443794883016772</v>
      </c>
      <c r="T26" s="2" t="n">
        <f aca="false">C26-$B26</f>
        <v>0.00122543</v>
      </c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 t="n">
        <f aca="false">LN(M26)-LN($B26)</f>
        <v>0.123808891822608</v>
      </c>
      <c r="AN26" s="2" t="n">
        <f aca="false">M26-$B26</f>
        <v>0.00028913</v>
      </c>
      <c r="AO26" s="2"/>
      <c r="AP26" s="2"/>
      <c r="AQ26" s="2" t="n">
        <f aca="false">LN(O26)-LN($B26)</f>
        <v>-0.151979399888971</v>
      </c>
      <c r="AR26" s="2" t="n">
        <f aca="false">O26-$B26</f>
        <v>-0.0003093</v>
      </c>
      <c r="AS26" s="2" t="n">
        <f aca="false">LN(P26)-LN($B26)</f>
        <v>0.531304555517153</v>
      </c>
      <c r="AT26" s="2" t="n">
        <f aca="false">P26-$B26</f>
        <v>0.00153812</v>
      </c>
    </row>
    <row r="27" customFormat="false" ht="15" hidden="false" customHeight="false" outlineLevel="0" collapsed="false">
      <c r="A27" s="1" t="n">
        <f aca="false">1+A26</f>
        <v>25</v>
      </c>
      <c r="B27" s="1" t="n">
        <v>0.00112587</v>
      </c>
      <c r="C27" s="1" t="n">
        <v>0.00214146</v>
      </c>
      <c r="D27" s="1" t="n">
        <v>0.00139732</v>
      </c>
      <c r="E27" s="1" t="n">
        <v>0.000941222</v>
      </c>
      <c r="F27" s="1" t="n">
        <v>0.00131635</v>
      </c>
      <c r="G27" s="1" t="n">
        <v>0.00157436</v>
      </c>
      <c r="H27" s="1" t="n">
        <v>0.00152994</v>
      </c>
      <c r="I27" s="1" t="n">
        <v>0.00136326</v>
      </c>
      <c r="J27" s="1" t="n">
        <v>0.00165963</v>
      </c>
      <c r="K27" s="1" t="n">
        <v>0.00147213</v>
      </c>
      <c r="L27" s="1" t="n">
        <v>0.00148983</v>
      </c>
      <c r="M27" s="1" t="n">
        <v>0.00140282</v>
      </c>
      <c r="N27" s="1" t="n">
        <v>0.00223785</v>
      </c>
      <c r="O27" s="1" t="n">
        <v>0.000972912</v>
      </c>
      <c r="P27" s="1" t="n">
        <v>0.00234753</v>
      </c>
      <c r="S27" s="2" t="n">
        <f aca="false">LN(C27)-LN($B27)</f>
        <v>0.642931769280895</v>
      </c>
      <c r="T27" s="2" t="n">
        <f aca="false">C27-$B27</f>
        <v>0.00101559</v>
      </c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 t="n">
        <f aca="false">LN(M27)-LN($B27)</f>
        <v>0.219928426260572</v>
      </c>
      <c r="AN27" s="2" t="n">
        <f aca="false">M27-$B27</f>
        <v>0.00027695</v>
      </c>
      <c r="AO27" s="2"/>
      <c r="AP27" s="2"/>
      <c r="AQ27" s="2" t="n">
        <f aca="false">LN(O27)-LN($B27)</f>
        <v>-0.146017712939986</v>
      </c>
      <c r="AR27" s="2" t="n">
        <f aca="false">O27-$B27</f>
        <v>-0.000152958</v>
      </c>
      <c r="AS27" s="2" t="n">
        <f aca="false">LN(P27)-LN($B27)</f>
        <v>0.734807641449772</v>
      </c>
      <c r="AT27" s="2" t="n">
        <f aca="false">P27-$B27</f>
        <v>0.00122166</v>
      </c>
    </row>
    <row r="28" customFormat="false" ht="15" hidden="false" customHeight="false" outlineLevel="0" collapsed="false">
      <c r="A28" s="1" t="n">
        <f aca="false">1+A27</f>
        <v>26</v>
      </c>
      <c r="B28" s="1" t="n">
        <v>0.000545135</v>
      </c>
      <c r="C28" s="1" t="n">
        <v>0.00142172</v>
      </c>
      <c r="D28" s="1" t="n">
        <v>0.00079057</v>
      </c>
      <c r="E28" s="1" t="n">
        <v>0.000458012</v>
      </c>
      <c r="F28" s="1" t="n">
        <v>0.000661343</v>
      </c>
      <c r="G28" s="1" t="n">
        <v>0.000909078</v>
      </c>
      <c r="H28" s="1" t="n">
        <v>0.000835085</v>
      </c>
      <c r="I28" s="1" t="n">
        <v>0.000795957</v>
      </c>
      <c r="J28" s="1" t="n">
        <v>0.00094951</v>
      </c>
      <c r="K28" s="1" t="n">
        <v>0.000795163</v>
      </c>
      <c r="L28" s="1" t="n">
        <v>0.00079609</v>
      </c>
      <c r="M28" s="1" t="n">
        <v>0.000785742</v>
      </c>
      <c r="N28" s="1" t="n">
        <v>0.00150775</v>
      </c>
      <c r="O28" s="1" t="n">
        <v>0.000482649</v>
      </c>
      <c r="P28" s="1" t="n">
        <v>0.00149557</v>
      </c>
      <c r="S28" s="2" t="n">
        <f aca="false">LN(C28)-LN($B28)</f>
        <v>0.958589214797082</v>
      </c>
      <c r="T28" s="2" t="n">
        <f aca="false">C28-$B28</f>
        <v>0.000876585</v>
      </c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 t="n">
        <f aca="false">LN(M28)-LN($B28)</f>
        <v>0.365595023859362</v>
      </c>
      <c r="AN28" s="2" t="n">
        <f aca="false">M28-$B28</f>
        <v>0.000240607</v>
      </c>
      <c r="AO28" s="2"/>
      <c r="AP28" s="2"/>
      <c r="AQ28" s="2" t="n">
        <f aca="false">LN(O28)-LN($B28)</f>
        <v>-0.121743789013363</v>
      </c>
      <c r="AR28" s="2" t="n">
        <f aca="false">O28-$B28</f>
        <v>-6.2486E-005</v>
      </c>
      <c r="AS28" s="2" t="n">
        <f aca="false">LN(P28)-LN($B28)</f>
        <v>1.00922921365142</v>
      </c>
      <c r="AT28" s="2" t="n">
        <f aca="false">P28-$B28</f>
        <v>0.000950435</v>
      </c>
    </row>
    <row r="29" customFormat="false" ht="15" hidden="false" customHeight="false" outlineLevel="0" collapsed="false">
      <c r="A29" s="1" t="n">
        <f aca="false">1+A28</f>
        <v>27</v>
      </c>
      <c r="B29" s="1" t="n">
        <v>0.000252089</v>
      </c>
      <c r="C29" s="1" t="n">
        <v>0.000938148</v>
      </c>
      <c r="D29" s="1" t="n">
        <v>0.000436633</v>
      </c>
      <c r="E29" s="1" t="n">
        <v>0.000206525</v>
      </c>
      <c r="F29" s="1" t="n">
        <v>0.000312883</v>
      </c>
      <c r="G29" s="1" t="n">
        <v>0.000540274</v>
      </c>
      <c r="H29" s="1" t="n">
        <v>0.000472909</v>
      </c>
      <c r="I29" s="1" t="n">
        <v>0.000489152</v>
      </c>
      <c r="J29" s="1" t="n">
        <v>0.000531877</v>
      </c>
      <c r="K29" s="1" t="n">
        <v>0.000420538</v>
      </c>
      <c r="L29" s="1" t="n">
        <v>0.000467765</v>
      </c>
      <c r="M29" s="1" t="n">
        <v>0.000436912</v>
      </c>
      <c r="N29" s="1" t="n">
        <v>0.000958734</v>
      </c>
      <c r="O29" s="1" t="n">
        <v>0.000243101</v>
      </c>
      <c r="P29" s="1" t="n">
        <v>0.000893129</v>
      </c>
      <c r="S29" s="2" t="n">
        <f aca="false">LN(C29)-LN($B29)</f>
        <v>1.31412551931274</v>
      </c>
      <c r="T29" s="2" t="n">
        <f aca="false">C29-$B29</f>
        <v>0.000686059</v>
      </c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 t="n">
        <f aca="false">LN(M29)-LN($B29)</f>
        <v>0.549949602056485</v>
      </c>
      <c r="AN29" s="2" t="n">
        <f aca="false">M29-$B29</f>
        <v>0.000184823</v>
      </c>
      <c r="AO29" s="2"/>
      <c r="AP29" s="2"/>
      <c r="AQ29" s="2" t="n">
        <f aca="false">LN(O29)-LN($B29)</f>
        <v>-0.0363052049159851</v>
      </c>
      <c r="AR29" s="2" t="n">
        <f aca="false">O29-$B29</f>
        <v>-8.988E-006</v>
      </c>
      <c r="AS29" s="2" t="n">
        <f aca="false">LN(P29)-LN($B29)</f>
        <v>1.26494882756738</v>
      </c>
      <c r="AT29" s="2" t="n">
        <f aca="false">P29-$B29</f>
        <v>0.00064104</v>
      </c>
    </row>
    <row r="30" customFormat="false" ht="15" hidden="false" customHeight="false" outlineLevel="0" collapsed="false">
      <c r="A30" s="1" t="n">
        <f aca="false">1+A29</f>
        <v>28</v>
      </c>
      <c r="B30" s="1" t="n">
        <v>0.000113611</v>
      </c>
      <c r="C30" s="1" t="n">
        <v>0.000625276</v>
      </c>
      <c r="D30" s="1" t="n">
        <v>0.00025234</v>
      </c>
      <c r="E30" s="3" t="n">
        <v>9.53574E-005</v>
      </c>
      <c r="F30" s="1" t="n">
        <v>0.000124763</v>
      </c>
      <c r="G30" s="1" t="n">
        <v>0.000316118</v>
      </c>
      <c r="H30" s="1" t="n">
        <v>0.000261115</v>
      </c>
      <c r="I30" s="1" t="n">
        <v>0.000287992</v>
      </c>
      <c r="J30" s="1" t="n">
        <v>0.000292959</v>
      </c>
      <c r="K30" s="1" t="n">
        <v>0.000242749</v>
      </c>
      <c r="L30" s="1" t="n">
        <v>0.000258606</v>
      </c>
      <c r="M30" s="1" t="n">
        <v>0.000269755</v>
      </c>
      <c r="N30" s="1" t="n">
        <v>0.000632591</v>
      </c>
      <c r="O30" s="1" t="n">
        <v>0.000108101</v>
      </c>
      <c r="P30" s="1" t="n">
        <v>0.000557838</v>
      </c>
      <c r="S30" s="2" t="n">
        <f aca="false">LN(C30)-LN($B30)</f>
        <v>1.70541281967467</v>
      </c>
      <c r="T30" s="2" t="n">
        <f aca="false">C30-$B30</f>
        <v>0.000511665</v>
      </c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 t="n">
        <f aca="false">LN(M30)-LN($B30)</f>
        <v>0.864733807062498</v>
      </c>
      <c r="AN30" s="2" t="n">
        <f aca="false">M30-$B30</f>
        <v>0.000156144</v>
      </c>
      <c r="AO30" s="2"/>
      <c r="AP30" s="2"/>
      <c r="AQ30" s="2" t="n">
        <f aca="false">LN(O30)-LN($B30)</f>
        <v>-0.0497143572889716</v>
      </c>
      <c r="AR30" s="2" t="n">
        <f aca="false">O30-$B30</f>
        <v>-5.50999999999999E-006</v>
      </c>
      <c r="AS30" s="2" t="n">
        <f aca="false">LN(P30)-LN($B30)</f>
        <v>1.59128826506376</v>
      </c>
      <c r="AT30" s="2" t="n">
        <f aca="false">P30-$B30</f>
        <v>0.000444227</v>
      </c>
    </row>
    <row r="31" customFormat="false" ht="15" hidden="false" customHeight="false" outlineLevel="0" collapsed="false">
      <c r="A31" s="1" t="n">
        <f aca="false">1+A30</f>
        <v>29</v>
      </c>
      <c r="B31" s="3" t="n">
        <v>4.92475E-005</v>
      </c>
      <c r="C31" s="1" t="n">
        <v>0.000403132</v>
      </c>
      <c r="D31" s="1" t="n">
        <v>0.000162556</v>
      </c>
      <c r="E31" s="3" t="n">
        <v>3.95264E-005</v>
      </c>
      <c r="F31" s="3" t="n">
        <v>4.43494E-005</v>
      </c>
      <c r="G31" s="1" t="n">
        <v>0.00020835</v>
      </c>
      <c r="H31" s="1" t="n">
        <v>0.000148932</v>
      </c>
      <c r="I31" s="1" t="n">
        <v>0.000175111</v>
      </c>
      <c r="J31" s="1" t="n">
        <v>0.000163071</v>
      </c>
      <c r="K31" s="1" t="n">
        <v>0.000129434</v>
      </c>
      <c r="L31" s="1" t="n">
        <v>0.000144879</v>
      </c>
      <c r="M31" s="1" t="n">
        <v>0.000144136</v>
      </c>
      <c r="N31" s="1" t="n">
        <v>0.000406837</v>
      </c>
      <c r="O31" s="3" t="n">
        <v>4.3139E-005</v>
      </c>
      <c r="P31" s="3" t="n">
        <v>0.000346075</v>
      </c>
      <c r="S31" s="2" t="n">
        <f aca="false">LN(C31)-LN($B31)</f>
        <v>2.10240544683199</v>
      </c>
      <c r="T31" s="2" t="n">
        <f aca="false">C31-$B31</f>
        <v>0.0003538845</v>
      </c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 t="n">
        <f aca="false">LN(M31)-LN($B31)</f>
        <v>1.07389869340503</v>
      </c>
      <c r="AN31" s="2" t="n">
        <f aca="false">M31-$B31</f>
        <v>9.48885E-005</v>
      </c>
      <c r="AO31" s="2"/>
      <c r="AP31" s="2"/>
      <c r="AQ31" s="2" t="n">
        <f aca="false">LN(O31)-LN($B31)</f>
        <v>-0.132431144559099</v>
      </c>
      <c r="AR31" s="2" t="n">
        <f aca="false">O31-$B31</f>
        <v>-6.1085E-006</v>
      </c>
      <c r="AS31" s="2" t="n">
        <f aca="false">LN(P31)-LN($B31)</f>
        <v>1.94979690966543</v>
      </c>
      <c r="AT31" s="2" t="n">
        <f aca="false">P31-$B31</f>
        <v>0.0002968275</v>
      </c>
    </row>
    <row r="32" customFormat="false" ht="15" hidden="false" customHeight="false" outlineLevel="0" collapsed="false">
      <c r="A32" s="1" t="n">
        <f aca="false">1+A31</f>
        <v>30</v>
      </c>
      <c r="B32" s="3" t="n">
        <v>1.9504E-005</v>
      </c>
      <c r="C32" s="1" t="n">
        <v>0.000267508</v>
      </c>
      <c r="D32" s="3" t="n">
        <v>9.30916E-005</v>
      </c>
      <c r="E32" s="3" t="n">
        <v>1.53165E-005</v>
      </c>
      <c r="F32" s="3" t="n">
        <v>1.26713E-005</v>
      </c>
      <c r="G32" s="1" t="n">
        <v>0.000122136</v>
      </c>
      <c r="H32" s="3" t="n">
        <v>7.49498E-005</v>
      </c>
      <c r="I32" s="3" t="n">
        <v>0.00010468</v>
      </c>
      <c r="J32" s="3" t="n">
        <v>8.72241E-005</v>
      </c>
      <c r="K32" s="3" t="n">
        <v>7.76603E-005</v>
      </c>
      <c r="L32" s="3" t="n">
        <v>7.41699E-005</v>
      </c>
      <c r="M32" s="3" t="n">
        <v>8.00756E-005</v>
      </c>
      <c r="N32" s="3" t="n">
        <v>0.000256975</v>
      </c>
      <c r="O32" s="3" t="n">
        <v>1.21804E-005</v>
      </c>
      <c r="P32" s="3" t="n">
        <v>0.000199508</v>
      </c>
      <c r="S32" s="2" t="n">
        <f aca="false">LN(C32)-LN($B32)</f>
        <v>2.61852989969201</v>
      </c>
      <c r="T32" s="2" t="n">
        <f aca="false">C32-$B32</f>
        <v>0.000248004</v>
      </c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 t="n">
        <f aca="false">LN(M32)-LN($B32)</f>
        <v>1.41235161570357</v>
      </c>
      <c r="AN32" s="2" t="n">
        <f aca="false">M32-$B32</f>
        <v>6.05716E-005</v>
      </c>
      <c r="AO32" s="2"/>
      <c r="AP32" s="2"/>
      <c r="AQ32" s="2" t="n">
        <f aca="false">LN(O32)-LN($B32)</f>
        <v>-0.470791470273914</v>
      </c>
      <c r="AR32" s="2" t="n">
        <f aca="false">O32-$B32</f>
        <v>-7.3236E-006</v>
      </c>
      <c r="AS32" s="2" t="n">
        <f aca="false">LN(P32)-LN($B32)</f>
        <v>2.32523476303764</v>
      </c>
      <c r="AT32" s="2" t="n">
        <f aca="false">P32-$B32</f>
        <v>0.000180004</v>
      </c>
    </row>
    <row r="33" customFormat="false" ht="15" hidden="false" customHeight="false" outlineLevel="0" collapsed="false">
      <c r="A33" s="1" t="n">
        <f aca="false">1+A32</f>
        <v>31</v>
      </c>
      <c r="B33" s="3" t="n">
        <v>3.90079E-006</v>
      </c>
      <c r="C33" s="1" t="n">
        <v>0.00019876</v>
      </c>
      <c r="D33" s="3" t="n">
        <v>4.91448E-005</v>
      </c>
      <c r="E33" s="3" t="n">
        <v>6.42304E-006</v>
      </c>
      <c r="F33" s="3" t="n">
        <v>2.92414E-006</v>
      </c>
      <c r="G33" s="3" t="n">
        <v>7.80715E-005</v>
      </c>
      <c r="H33" s="3" t="n">
        <v>3.72331E-005</v>
      </c>
      <c r="I33" s="3" t="n">
        <v>5.49934E-005</v>
      </c>
      <c r="J33" s="3" t="n">
        <v>4.88265E-005</v>
      </c>
      <c r="K33" s="3" t="n">
        <v>4.68892E-005</v>
      </c>
      <c r="L33" s="3" t="n">
        <v>4.3513E-005</v>
      </c>
      <c r="M33" s="3" t="n">
        <v>3.6034E-005</v>
      </c>
      <c r="N33" s="3" t="n">
        <v>0.000163792</v>
      </c>
      <c r="O33" s="3" t="n">
        <v>4.56766E-006</v>
      </c>
      <c r="P33" s="3" t="n">
        <v>0.000118626</v>
      </c>
      <c r="S33" s="2" t="n">
        <f aca="false">LN(C33)-LN($B33)</f>
        <v>3.93091897000929</v>
      </c>
      <c r="T33" s="2" t="n">
        <f aca="false">C33-$B33</f>
        <v>0.00019485921</v>
      </c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 t="n">
        <f aca="false">LN(M33)-LN($B33)</f>
        <v>2.22328384046868</v>
      </c>
      <c r="AN33" s="2" t="n">
        <f aca="false">M33-$B33</f>
        <v>3.213321E-005</v>
      </c>
      <c r="AO33" s="2"/>
      <c r="AP33" s="2"/>
      <c r="AQ33" s="2" t="n">
        <f aca="false">LN(O33)-LN($B33)</f>
        <v>0.157821942035653</v>
      </c>
      <c r="AR33" s="2" t="n">
        <f aca="false">O33-$B33</f>
        <v>6.6687E-007</v>
      </c>
      <c r="AS33" s="2" t="n">
        <f aca="false">LN(P33)-LN($B33)</f>
        <v>3.41479659009597</v>
      </c>
      <c r="AT33" s="2" t="n">
        <f aca="false">P33-$B33</f>
        <v>0.00011472521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8" min="1" style="1" width="12.15"/>
    <col collapsed="false" customWidth="true" hidden="false" outlineLevel="0" max="9" min="9" style="1" width="11.43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H1" s="1" t="str">
        <f aca="false">C1</f>
        <v>n%(r+653)</v>
      </c>
      <c r="I1" s="1" t="str">
        <f aca="false">C1</f>
        <v>n%(r+653)</v>
      </c>
      <c r="J1" s="1" t="str">
        <f aca="false">D1</f>
        <v>n%(+128)</v>
      </c>
      <c r="K1" s="1" t="str">
        <f aca="false">D1</f>
        <v>n%(+128)</v>
      </c>
      <c r="L1" s="1" t="str">
        <f aca="false">E1</f>
        <v>n%(w-d)</v>
      </c>
      <c r="M1" s="1" t="str">
        <f aca="false">E1</f>
        <v>n%(w-d)</v>
      </c>
    </row>
    <row r="2" customFormat="false" ht="13.8" hidden="false" customHeight="false" outlineLevel="0" collapsed="false">
      <c r="A2" s="1" t="n">
        <v>0</v>
      </c>
      <c r="B2" s="1" t="n">
        <v>26.2663</v>
      </c>
      <c r="C2" s="1" t="n">
        <v>25.1756</v>
      </c>
      <c r="G2" s="2" t="n">
        <f aca="false">LN(B2/(100-B2))-LN($B2/(100-$B2))</f>
        <v>0</v>
      </c>
      <c r="H2" s="2" t="n">
        <f aca="false">LN(C2/(100-C2))-LN($B2/(100-$B2))</f>
        <v>-0.0570955583723389</v>
      </c>
      <c r="I2" s="2" t="n">
        <f aca="false">C2-$B2</f>
        <v>-1.0907</v>
      </c>
      <c r="J2" s="2"/>
      <c r="K2" s="2"/>
    </row>
    <row r="3" customFormat="false" ht="13.8" hidden="false" customHeight="false" outlineLevel="0" collapsed="false">
      <c r="A3" s="1" t="n">
        <f aca="false">1+A2</f>
        <v>1</v>
      </c>
      <c r="B3" s="1" t="n">
        <v>27.9971</v>
      </c>
      <c r="C3" s="1" t="n">
        <v>26.23</v>
      </c>
      <c r="G3" s="2" t="n">
        <f aca="false">B3-$B3</f>
        <v>0</v>
      </c>
      <c r="H3" s="2" t="n">
        <f aca="false">LN(C3/(100-C3))-LN($B3/(100-$B3))</f>
        <v>-0.0894428884174651</v>
      </c>
      <c r="I3" s="2" t="n">
        <f aca="false">C3-$B3</f>
        <v>-1.7671</v>
      </c>
      <c r="J3" s="2"/>
      <c r="K3" s="2"/>
    </row>
    <row r="4" customFormat="false" ht="13.8" hidden="false" customHeight="false" outlineLevel="0" collapsed="false">
      <c r="A4" s="1" t="n">
        <f aca="false">1+A3</f>
        <v>2</v>
      </c>
      <c r="B4" s="1" t="n">
        <v>8.45358</v>
      </c>
      <c r="C4" s="1" t="n">
        <v>8.40052</v>
      </c>
      <c r="H4" s="2" t="n">
        <f aca="false">LN(C4/(100-C4))-LN($B4/(100-$B4))</f>
        <v>-0.00687584035749911</v>
      </c>
      <c r="I4" s="2" t="n">
        <f aca="false">C4-$B4</f>
        <v>-0.0530600000000003</v>
      </c>
      <c r="J4" s="2"/>
      <c r="K4" s="2"/>
    </row>
    <row r="5" customFormat="false" ht="13.8" hidden="false" customHeight="false" outlineLevel="0" collapsed="false">
      <c r="A5" s="1" t="n">
        <f aca="false">1+A4</f>
        <v>3</v>
      </c>
      <c r="B5" s="1" t="n">
        <v>7.78302</v>
      </c>
      <c r="C5" s="1" t="n">
        <v>8.01443</v>
      </c>
      <c r="H5" s="2" t="n">
        <f aca="false">LN(C5/(100-C5))-LN($B5/(100-$B5))</f>
        <v>0.0318117907434266</v>
      </c>
      <c r="I5" s="2" t="n">
        <f aca="false">C5-$B5</f>
        <v>0.231410000000001</v>
      </c>
      <c r="J5" s="2"/>
      <c r="K5" s="2"/>
    </row>
    <row r="6" customFormat="false" ht="13.8" hidden="false" customHeight="false" outlineLevel="0" collapsed="false">
      <c r="A6" s="1" t="n">
        <f aca="false">1+A5</f>
        <v>4</v>
      </c>
      <c r="B6" s="1" t="n">
        <v>6.28993</v>
      </c>
      <c r="C6" s="1" t="n">
        <v>6.58205</v>
      </c>
      <c r="H6" s="2" t="n">
        <f aca="false">LN(C6/(100-C6))-LN($B6/(100-$B6))</f>
        <v>0.0485184482898111</v>
      </c>
      <c r="I6" s="2" t="n">
        <f aca="false">C6-$B6</f>
        <v>0.29212</v>
      </c>
      <c r="J6" s="2"/>
      <c r="K6" s="2"/>
    </row>
    <row r="7" customFormat="false" ht="13.8" hidden="false" customHeight="false" outlineLevel="0" collapsed="false">
      <c r="A7" s="1" t="n">
        <f aca="false">1+A6</f>
        <v>5</v>
      </c>
      <c r="B7" s="1" t="n">
        <v>4.71501</v>
      </c>
      <c r="C7" s="1" t="n">
        <v>4.93993</v>
      </c>
      <c r="H7" s="2" t="n">
        <f aca="false">LN(C7/(100-C7))-LN($B7/(100-$B7))</f>
        <v>0.0489634121544067</v>
      </c>
      <c r="I7" s="2" t="n">
        <f aca="false">C7-$B7</f>
        <v>0.22492</v>
      </c>
      <c r="J7" s="2"/>
      <c r="K7" s="2"/>
    </row>
    <row r="8" customFormat="false" ht="13.8" hidden="false" customHeight="false" outlineLevel="0" collapsed="false">
      <c r="A8" s="1" t="n">
        <f aca="false">1+A7</f>
        <v>6</v>
      </c>
      <c r="B8" s="1" t="n">
        <v>3.60666</v>
      </c>
      <c r="C8" s="1" t="n">
        <v>3.78925</v>
      </c>
      <c r="H8" s="2" t="n">
        <f aca="false">LN(C8/(100-C8))-LN($B8/(100-$B8))</f>
        <v>0.0512819883126441</v>
      </c>
      <c r="I8" s="2" t="n">
        <f aca="false">C8-$B8</f>
        <v>0.18259</v>
      </c>
      <c r="J8" s="2"/>
      <c r="K8" s="2"/>
    </row>
    <row r="9" customFormat="false" ht="13.8" hidden="false" customHeight="false" outlineLevel="0" collapsed="false">
      <c r="A9" s="1" t="n">
        <f aca="false">1+A8</f>
        <v>7</v>
      </c>
      <c r="B9" s="1" t="n">
        <v>2.99493</v>
      </c>
      <c r="C9" s="1" t="n">
        <v>3.19432</v>
      </c>
      <c r="H9" s="2" t="n">
        <f aca="false">LN(C9/(100-C9))-LN($B9/(100-$B9))</f>
        <v>0.0665109485511244</v>
      </c>
      <c r="I9" s="2" t="n">
        <f aca="false">C9-$B9</f>
        <v>0.19939</v>
      </c>
      <c r="J9" s="2"/>
      <c r="K9" s="2"/>
    </row>
    <row r="10" customFormat="false" ht="13.8" hidden="false" customHeight="false" outlineLevel="0" collapsed="false">
      <c r="A10" s="1" t="n">
        <f aca="false">1+A9</f>
        <v>8</v>
      </c>
      <c r="B10" s="1" t="n">
        <v>2.53763</v>
      </c>
      <c r="C10" s="1" t="n">
        <v>2.80235</v>
      </c>
      <c r="H10" s="2" t="n">
        <f aca="false">LN(C10/(100-C10))-LN($B10/(100-$B10))</f>
        <v>0.101947596878504</v>
      </c>
      <c r="I10" s="2" t="n">
        <f aca="false">C10-$B10</f>
        <v>0.26472</v>
      </c>
      <c r="J10" s="2"/>
      <c r="K10" s="2"/>
    </row>
    <row r="11" customFormat="false" ht="13.8" hidden="false" customHeight="false" outlineLevel="0" collapsed="false">
      <c r="A11" s="1" t="n">
        <f aca="false">1+A10</f>
        <v>9</v>
      </c>
      <c r="B11" s="1" t="n">
        <v>2.12875</v>
      </c>
      <c r="C11" s="1" t="n">
        <v>2.44857</v>
      </c>
      <c r="H11" s="2" t="n">
        <f aca="false">LN(C11/(100-C11))-LN($B11/(100-$B11))</f>
        <v>0.143242340978702</v>
      </c>
      <c r="I11" s="2" t="n">
        <f aca="false">C11-$B11</f>
        <v>0.31982</v>
      </c>
      <c r="J11" s="2"/>
      <c r="K11" s="2"/>
    </row>
    <row r="12" customFormat="false" ht="13.8" hidden="false" customHeight="false" outlineLevel="0" collapsed="false">
      <c r="A12" s="1" t="n">
        <f aca="false">1+A11</f>
        <v>10</v>
      </c>
      <c r="B12" s="1" t="n">
        <v>1.73073</v>
      </c>
      <c r="C12" s="1" t="n">
        <v>2.03036</v>
      </c>
      <c r="H12" s="2" t="n">
        <f aca="false">LN(C12/(100-C12))-LN($B12/(100-$B12))</f>
        <v>0.162723561484962</v>
      </c>
      <c r="I12" s="2" t="n">
        <f aca="false">C12-$B12</f>
        <v>0.29963</v>
      </c>
      <c r="J12" s="2"/>
      <c r="K12" s="2"/>
    </row>
    <row r="13" customFormat="false" ht="13.8" hidden="false" customHeight="false" outlineLevel="0" collapsed="false">
      <c r="A13" s="1" t="n">
        <f aca="false">1+A12</f>
        <v>11</v>
      </c>
      <c r="B13" s="1" t="n">
        <v>1.39171</v>
      </c>
      <c r="C13" s="1" t="n">
        <v>1.65191</v>
      </c>
      <c r="H13" s="2" t="n">
        <f aca="false">LN(C13/(100-C13))-LN($B13/(100-$B13))</f>
        <v>0.174041198265495</v>
      </c>
      <c r="I13" s="2" t="n">
        <f aca="false">C13-$B13</f>
        <v>0.2602</v>
      </c>
      <c r="J13" s="2"/>
      <c r="K13" s="2"/>
    </row>
    <row r="14" customFormat="false" ht="13.8" hidden="false" customHeight="false" outlineLevel="0" collapsed="false">
      <c r="A14" s="1" t="n">
        <f aca="false">1+A13</f>
        <v>12</v>
      </c>
      <c r="B14" s="1" t="n">
        <v>1.08697</v>
      </c>
      <c r="C14" s="1" t="n">
        <v>1.27</v>
      </c>
      <c r="H14" s="2" t="n">
        <f aca="false">LN(C14/(100-C14))-LN($B14/(100-$B14))</f>
        <v>0.157475019177125</v>
      </c>
      <c r="I14" s="2" t="n">
        <f aca="false">C14-$B14</f>
        <v>0.18303</v>
      </c>
      <c r="J14" s="2"/>
      <c r="K14" s="2"/>
    </row>
    <row r="15" customFormat="false" ht="13.8" hidden="false" customHeight="false" outlineLevel="0" collapsed="false">
      <c r="A15" s="1" t="n">
        <f aca="false">1+A14</f>
        <v>13</v>
      </c>
      <c r="B15" s="1" t="n">
        <v>0.820004</v>
      </c>
      <c r="C15" s="1" t="n">
        <v>0.928125</v>
      </c>
      <c r="H15" s="2" t="n">
        <f aca="false">LN(C15/(100-C15))-LN($B15/(100-$B15))</f>
        <v>0.124947947608403</v>
      </c>
      <c r="I15" s="2" t="n">
        <f aca="false">C15-$B15</f>
        <v>0.108121</v>
      </c>
      <c r="J15" s="2"/>
      <c r="K15" s="2"/>
    </row>
    <row r="16" customFormat="false" ht="13.8" hidden="false" customHeight="false" outlineLevel="0" collapsed="false">
      <c r="A16" s="1" t="n">
        <f aca="false">1+A15</f>
        <v>14</v>
      </c>
      <c r="B16" s="1" t="n">
        <v>0.608468</v>
      </c>
      <c r="C16" s="1" t="n">
        <v>0.672561</v>
      </c>
      <c r="H16" s="2" t="n">
        <f aca="false">LN(C16/(100-C16))-LN($B16/(100-$B16))</f>
        <v>0.100793552705502</v>
      </c>
      <c r="I16" s="2" t="n">
        <f aca="false">C16-$B16</f>
        <v>0.064093</v>
      </c>
      <c r="J16" s="2"/>
      <c r="K16" s="2"/>
    </row>
    <row r="17" customFormat="false" ht="13.8" hidden="false" customHeight="false" outlineLevel="0" collapsed="false">
      <c r="A17" s="1" t="n">
        <f aca="false">1+A16</f>
        <v>15</v>
      </c>
      <c r="B17" s="1" t="n">
        <v>0.444986</v>
      </c>
      <c r="C17" s="1" t="n">
        <v>0.487369</v>
      </c>
      <c r="H17" s="2" t="n">
        <f aca="false">LN(C17/(100-C17))-LN($B17/(100-$B17))</f>
        <v>0.0914045304412685</v>
      </c>
      <c r="I17" s="2" t="n">
        <f aca="false">C17-$B17</f>
        <v>0.042383</v>
      </c>
      <c r="J17" s="2"/>
      <c r="K17" s="2"/>
    </row>
    <row r="18" customFormat="false" ht="13.8" hidden="false" customHeight="false" outlineLevel="0" collapsed="false">
      <c r="A18" s="1" t="n">
        <f aca="false">1+A17</f>
        <v>16</v>
      </c>
      <c r="B18" s="1" t="n">
        <v>0.324951</v>
      </c>
      <c r="C18" s="1" t="n">
        <v>0.359476</v>
      </c>
      <c r="H18" s="2" t="n">
        <f aca="false">LN(C18/(100-C18))-LN($B18/(100-$B18))</f>
        <v>0.101319449365094</v>
      </c>
      <c r="I18" s="2" t="n">
        <f aca="false">C18-$B18</f>
        <v>0.034525</v>
      </c>
      <c r="J18" s="2"/>
      <c r="K18" s="2"/>
    </row>
    <row r="19" customFormat="false" ht="13.8" hidden="false" customHeight="false" outlineLevel="0" collapsed="false">
      <c r="A19" s="1" t="n">
        <f aca="false">1+A18</f>
        <v>17</v>
      </c>
      <c r="B19" s="1" t="n">
        <v>0.236503</v>
      </c>
      <c r="C19" s="1" t="n">
        <v>0.265857</v>
      </c>
      <c r="H19" s="2" t="n">
        <f aca="false">LN(C19/(100-C19))-LN($B19/(100-$B19))</f>
        <v>0.117291956572861</v>
      </c>
      <c r="I19" s="2" t="n">
        <f aca="false">C19-$B19</f>
        <v>0.029354</v>
      </c>
      <c r="J19" s="2"/>
      <c r="K19" s="2"/>
    </row>
    <row r="20" customFormat="false" ht="13.8" hidden="false" customHeight="false" outlineLevel="0" collapsed="false">
      <c r="A20" s="1" t="n">
        <f aca="false">1+A19</f>
        <v>18</v>
      </c>
      <c r="B20" s="1" t="n">
        <v>0.170747</v>
      </c>
      <c r="C20" s="1" t="n">
        <v>0.196026</v>
      </c>
      <c r="H20" s="2" t="n">
        <f aca="false">LN(C20/(100-C20))-LN($B20/(100-$B20))</f>
        <v>0.138317629179466</v>
      </c>
      <c r="I20" s="2" t="n">
        <f aca="false">C20-$B20</f>
        <v>0.025279</v>
      </c>
      <c r="J20" s="2"/>
      <c r="K20" s="2"/>
    </row>
    <row r="21" customFormat="false" ht="13.8" hidden="false" customHeight="false" outlineLevel="0" collapsed="false">
      <c r="A21" s="1" t="n">
        <f aca="false">1+A20</f>
        <v>19</v>
      </c>
      <c r="B21" s="1" t="n">
        <v>0.122323</v>
      </c>
      <c r="C21" s="1" t="n">
        <v>0.14403</v>
      </c>
      <c r="H21" s="2" t="n">
        <f aca="false">LN(C21/(100-C21))-LN($B21/(100-$B21))</f>
        <v>0.16357388352962</v>
      </c>
      <c r="I21" s="2" t="n">
        <f aca="false">C21-$B21</f>
        <v>0.021707</v>
      </c>
      <c r="J21" s="2"/>
      <c r="K21" s="2"/>
    </row>
    <row r="22" customFormat="false" ht="13.8" hidden="false" customHeight="false" outlineLevel="0" collapsed="false">
      <c r="A22" s="1" t="n">
        <f aca="false">1+A21</f>
        <v>20</v>
      </c>
      <c r="B22" s="1" t="n">
        <v>0.0871234</v>
      </c>
      <c r="C22" s="1" t="n">
        <v>0.106025</v>
      </c>
      <c r="H22" s="2" t="n">
        <f aca="false">LN(C22/(100-C22))-LN($B22/(100-$B22))</f>
        <v>0.196538609585245</v>
      </c>
      <c r="I22" s="2" t="n">
        <f aca="false">C22-$B22</f>
        <v>0.0189016</v>
      </c>
      <c r="J22" s="2"/>
      <c r="K22" s="2"/>
    </row>
    <row r="23" customFormat="false" ht="13.8" hidden="false" customHeight="false" outlineLevel="0" collapsed="false">
      <c r="A23" s="1" t="n">
        <f aca="false">1+A22</f>
        <v>21</v>
      </c>
      <c r="B23" s="1" t="n">
        <v>0.0617216</v>
      </c>
      <c r="C23" s="1" t="n">
        <v>0.0785077</v>
      </c>
      <c r="H23" s="2" t="n">
        <f aca="false">LN(C23/(100-C23))-LN($B23/(100-$B23))</f>
        <v>0.240730737243485</v>
      </c>
      <c r="I23" s="2" t="n">
        <f aca="false">C23-$B23</f>
        <v>0.0167861</v>
      </c>
      <c r="J23" s="2"/>
      <c r="K23" s="2"/>
    </row>
    <row r="24" customFormat="false" ht="13.8" hidden="false" customHeight="false" outlineLevel="0" collapsed="false">
      <c r="A24" s="1" t="n">
        <f aca="false">1+A23</f>
        <v>22</v>
      </c>
      <c r="B24" s="1" t="n">
        <v>0.0433984</v>
      </c>
      <c r="C24" s="1" t="n">
        <v>0.0583977</v>
      </c>
      <c r="H24" s="2" t="n">
        <f aca="false">LN(C24/(100-C24))-LN($B24/(100-$B24))</f>
        <v>0.297004000812325</v>
      </c>
      <c r="I24" s="2" t="n">
        <f aca="false">C24-$B24</f>
        <v>0.0149993</v>
      </c>
      <c r="J24" s="2"/>
      <c r="K24" s="2"/>
    </row>
    <row r="25" customFormat="false" ht="13.8" hidden="false" customHeight="false" outlineLevel="0" collapsed="false">
      <c r="A25" s="1" t="n">
        <f aca="false">1+A24</f>
        <v>23</v>
      </c>
      <c r="B25" s="1" t="n">
        <v>0.0303281</v>
      </c>
      <c r="C25" s="1" t="n">
        <v>0.0437727</v>
      </c>
      <c r="H25" s="2" t="n">
        <f aca="false">LN(C25/(100-C25))-LN($B25/(100-$B25))</f>
        <v>0.367070155726466</v>
      </c>
      <c r="I25" s="2" t="n">
        <f aca="false">C25-$B25</f>
        <v>0.0134446</v>
      </c>
      <c r="J25" s="2"/>
      <c r="K25" s="2"/>
    </row>
    <row r="26" customFormat="false" ht="13.8" hidden="false" customHeight="false" outlineLevel="0" collapsed="false">
      <c r="A26" s="1" t="n">
        <f aca="false">1+A25</f>
        <v>24</v>
      </c>
      <c r="B26" s="1" t="n">
        <v>0.0211236</v>
      </c>
      <c r="C26" s="1" t="n">
        <v>0.0330327</v>
      </c>
      <c r="H26" s="2" t="n">
        <f aca="false">LN(C26/(100-C26))-LN($B26/(100-$B26))</f>
        <v>0.447226204329784</v>
      </c>
      <c r="I26" s="2" t="n">
        <f aca="false">C26-$B26</f>
        <v>0.0119091</v>
      </c>
      <c r="J26" s="2"/>
      <c r="K26" s="2"/>
    </row>
    <row r="27" customFormat="false" ht="13.8" hidden="false" customHeight="false" outlineLevel="0" collapsed="false">
      <c r="A27" s="1" t="n">
        <f aca="false">1+A26</f>
        <v>25</v>
      </c>
      <c r="B27" s="1" t="n">
        <v>0.0146606</v>
      </c>
      <c r="C27" s="1" t="n">
        <v>0.0251018</v>
      </c>
      <c r="H27" s="2" t="n">
        <f aca="false">LN(C27/(100-C27))-LN($B27/(100-$B27))</f>
        <v>0.537880366161069</v>
      </c>
      <c r="I27" s="2" t="n">
        <f aca="false">C27-$B27</f>
        <v>0.0104412</v>
      </c>
      <c r="J27" s="2"/>
      <c r="K27" s="2"/>
    </row>
    <row r="28" customFormat="false" ht="13.8" hidden="false" customHeight="false" outlineLevel="0" collapsed="false">
      <c r="A28" s="1" t="n">
        <f aca="false">1+A27</f>
        <v>26</v>
      </c>
      <c r="B28" s="1" t="n">
        <v>0.0101137</v>
      </c>
      <c r="C28" s="1" t="n">
        <v>0.0191027</v>
      </c>
      <c r="H28" s="2" t="n">
        <f aca="false">LN(C28/(100-C28))-LN($B28/(100-$B28))</f>
        <v>0.636028649088843</v>
      </c>
      <c r="I28" s="2" t="n">
        <f aca="false">C28-$B28</f>
        <v>0.008989</v>
      </c>
      <c r="J28" s="2"/>
      <c r="K28" s="2"/>
    </row>
    <row r="29" customFormat="false" ht="13.8" hidden="false" customHeight="false" outlineLevel="0" collapsed="false">
      <c r="A29" s="1" t="n">
        <f aca="false">1+A28</f>
        <v>27</v>
      </c>
      <c r="B29" s="1" t="n">
        <v>0.00696465</v>
      </c>
      <c r="C29" s="1" t="n">
        <v>0.014535</v>
      </c>
      <c r="H29" s="2" t="n">
        <f aca="false">LN(C29/(100-C29))-LN($B29/(100-$B29))</f>
        <v>0.735787890936893</v>
      </c>
      <c r="I29" s="2" t="n">
        <f aca="false">C29-$B29</f>
        <v>0.00757035</v>
      </c>
      <c r="J29" s="2"/>
      <c r="K29" s="2"/>
    </row>
    <row r="30" customFormat="false" ht="13.8" hidden="false" customHeight="false" outlineLevel="0" collapsed="false">
      <c r="A30" s="1" t="n">
        <f aca="false">1+A29</f>
        <v>28</v>
      </c>
      <c r="B30" s="1" t="n">
        <v>0.00474793</v>
      </c>
      <c r="C30" s="1" t="n">
        <v>0.010986</v>
      </c>
      <c r="H30" s="2" t="n">
        <f aca="false">LN(C30/(100-C30))-LN($B30/(100-$B30))</f>
        <v>0.838975386939266</v>
      </c>
      <c r="I30" s="2" t="n">
        <f aca="false">C30-$B30</f>
        <v>0.00623807</v>
      </c>
      <c r="J30" s="2"/>
      <c r="K30" s="2"/>
    </row>
    <row r="31" customFormat="false" ht="13.8" hidden="false" customHeight="false" outlineLevel="0" collapsed="false">
      <c r="A31" s="1" t="n">
        <f aca="false">1+A30</f>
        <v>29</v>
      </c>
      <c r="B31" s="1" t="n">
        <v>0.00323517</v>
      </c>
      <c r="C31" s="1" t="n">
        <v>0.00823717</v>
      </c>
      <c r="H31" s="2" t="n">
        <f aca="false">LN(C31/(100-C31))-LN($B31/(100-$B31))</f>
        <v>0.934625384393566</v>
      </c>
      <c r="I31" s="2" t="n">
        <f aca="false">C31-$B31</f>
        <v>0.005002</v>
      </c>
      <c r="J31" s="2"/>
      <c r="K31" s="2"/>
    </row>
    <row r="32" customFormat="false" ht="13.8" hidden="false" customHeight="false" outlineLevel="0" collapsed="false">
      <c r="A32" s="1" t="n">
        <f aca="false">1+A31</f>
        <v>30</v>
      </c>
      <c r="B32" s="1" t="n">
        <v>0.00218124</v>
      </c>
      <c r="C32" s="1" t="n">
        <v>0.00607874</v>
      </c>
      <c r="H32" s="2" t="n">
        <f aca="false">LN(C32/(100-C32))-LN($B32/(100-$B32))</f>
        <v>1.02494289183831</v>
      </c>
      <c r="I32" s="2" t="n">
        <f aca="false">C32-$B32</f>
        <v>0.0038975</v>
      </c>
      <c r="J32" s="2"/>
      <c r="K32" s="2"/>
    </row>
    <row r="33" customFormat="false" ht="13.8" hidden="false" customHeight="false" outlineLevel="0" collapsed="false">
      <c r="A33" s="1" t="n">
        <f aca="false">1+A32</f>
        <v>31</v>
      </c>
      <c r="B33" s="1" t="n">
        <v>0.00145555</v>
      </c>
      <c r="C33" s="1" t="n">
        <v>0.00440983</v>
      </c>
      <c r="H33" s="2" t="n">
        <f aca="false">LN(C33/(100-C33))-LN($B33/(100-$B33))</f>
        <v>1.10848184755961</v>
      </c>
      <c r="I33" s="2" t="n">
        <f aca="false">C33-$B33</f>
        <v>0.00295428</v>
      </c>
      <c r="J33" s="2"/>
      <c r="K33" s="2"/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  <row r="39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8" min="1" style="1" width="12.15"/>
    <col collapsed="false" customWidth="true" hidden="false" outlineLevel="0" max="9" min="9" style="1" width="11.43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H1" s="1" t="str">
        <f aca="false">C1</f>
        <v>n%(r+653)</v>
      </c>
      <c r="I1" s="1" t="str">
        <f aca="false">C1</f>
        <v>n%(r+653)</v>
      </c>
      <c r="J1" s="1" t="str">
        <f aca="false">D1</f>
        <v>n%(+128)</v>
      </c>
      <c r="K1" s="1" t="str">
        <f aca="false">D1</f>
        <v>n%(+128)</v>
      </c>
      <c r="L1" s="1" t="str">
        <f aca="false">E1</f>
        <v>n%(w-d)</v>
      </c>
      <c r="M1" s="1" t="str">
        <f aca="false">E1</f>
        <v>n%(w-d)</v>
      </c>
    </row>
    <row r="2" customFormat="false" ht="13.8" hidden="false" customHeight="false" outlineLevel="0" collapsed="false">
      <c r="A2" s="1" t="n">
        <v>0</v>
      </c>
      <c r="B2" s="1" t="n">
        <v>26.726</v>
      </c>
      <c r="C2" s="1" t="n">
        <v>26.7753</v>
      </c>
      <c r="D2" s="1" t="n">
        <v>26.7148</v>
      </c>
      <c r="E2" s="1" t="n">
        <v>26.6824</v>
      </c>
      <c r="G2" s="2" t="n">
        <f aca="false">LN(B2/(100-B2))-LN($B2/(100-$B2))</f>
        <v>0</v>
      </c>
      <c r="H2" s="2" t="n">
        <f aca="false">LN(C2/(100-C2))-LN($B2/(100-$B2))</f>
        <v>0.00251598993443491</v>
      </c>
      <c r="I2" s="2" t="n">
        <f aca="false">C2-$B2</f>
        <v>0.0493000000000023</v>
      </c>
      <c r="J2" s="2" t="n">
        <f aca="false">LN(D2/(100-D2))-LN($B2/(100-$B2))</f>
        <v>-0.000571994670522713</v>
      </c>
      <c r="K2" s="2" t="n">
        <f aca="false">D2-$B2</f>
        <v>-0.0111999999999988</v>
      </c>
      <c r="L2" s="2" t="n">
        <f aca="false">LN(E2/(100-E2))-LN($B2/(100-$B2))</f>
        <v>-0.00222755226175275</v>
      </c>
      <c r="M2" s="2" t="n">
        <f aca="false">E2-$B2</f>
        <v>-0.0435999999999979</v>
      </c>
    </row>
    <row r="3" customFormat="false" ht="13.8" hidden="false" customHeight="false" outlineLevel="0" collapsed="false">
      <c r="A3" s="1" t="n">
        <f aca="false">1+A2</f>
        <v>1</v>
      </c>
      <c r="B3" s="1" t="n">
        <v>29.968</v>
      </c>
      <c r="C3" s="1" t="n">
        <v>30.4809</v>
      </c>
      <c r="D3" s="1" t="n">
        <v>30.3425</v>
      </c>
      <c r="E3" s="1" t="n">
        <v>29.9776</v>
      </c>
      <c r="G3" s="2" t="n">
        <f aca="false">B3-$B3</f>
        <v>0</v>
      </c>
      <c r="H3" s="2" t="n">
        <f aca="false">LN(C3/(100-C3))-LN($B3/(100-$B3))</f>
        <v>0.0243208577298846</v>
      </c>
      <c r="I3" s="2" t="n">
        <f aca="false">C3-$B3</f>
        <v>0.512899999999998</v>
      </c>
      <c r="J3" s="2" t="n">
        <f aca="false">LN(D3/(100-D3))-LN($B3/(100-$B3))</f>
        <v>0.0177811290531226</v>
      </c>
      <c r="K3" s="2" t="n">
        <f aca="false">D3-$B3</f>
        <v>0.374500000000001</v>
      </c>
      <c r="L3" s="2" t="n">
        <f aca="false">LN(E3/(100-E3))-LN($B3/(100-$B3))</f>
        <v>0.000457379987624629</v>
      </c>
      <c r="M3" s="2" t="n">
        <f aca="false">E3-$B3</f>
        <v>0.00959999999999894</v>
      </c>
    </row>
    <row r="4" customFormat="false" ht="13.8" hidden="false" customHeight="false" outlineLevel="0" collapsed="false">
      <c r="A4" s="1" t="n">
        <f aca="false">1+A3</f>
        <v>2</v>
      </c>
      <c r="B4" s="1" t="n">
        <v>8.57031</v>
      </c>
      <c r="C4" s="1" t="n">
        <v>8.42922</v>
      </c>
      <c r="D4" s="1" t="n">
        <v>8.47397</v>
      </c>
      <c r="E4" s="1" t="n">
        <v>8.5903</v>
      </c>
      <c r="H4" s="2" t="n">
        <f aca="false">LN(C4/(100-C4))-LN($B4/(100-$B4))</f>
        <v>-0.0181416271668096</v>
      </c>
      <c r="I4" s="2" t="n">
        <f aca="false">C4-$B4</f>
        <v>-0.141089999999998</v>
      </c>
      <c r="J4" s="2" t="n">
        <f aca="false">LN(D4/(100-D4))-LN($B4/(100-$B4))</f>
        <v>-0.0123579437937735</v>
      </c>
      <c r="K4" s="2" t="n">
        <f aca="false">D4-$B4</f>
        <v>-0.0963399999999997</v>
      </c>
      <c r="L4" s="2" t="n">
        <f aca="false">LN(E4/(100-E4))-LN($B4/(100-$B4))</f>
        <v>0.00254841692088137</v>
      </c>
      <c r="M4" s="2" t="n">
        <f aca="false">E4-$B4</f>
        <v>0.01999</v>
      </c>
    </row>
    <row r="5" customFormat="false" ht="13.8" hidden="false" customHeight="false" outlineLevel="0" collapsed="false">
      <c r="A5" s="1" t="n">
        <f aca="false">1+A4</f>
        <v>3</v>
      </c>
      <c r="B5" s="1" t="n">
        <v>7.62121</v>
      </c>
      <c r="C5" s="1" t="n">
        <v>7.50608</v>
      </c>
      <c r="D5" s="1" t="n">
        <v>7.56378</v>
      </c>
      <c r="E5" s="1" t="n">
        <v>7.64175</v>
      </c>
      <c r="H5" s="2" t="n">
        <f aca="false">LN(C5/(100-C5))-LN($B5/(100-$B5))</f>
        <v>-0.0164672967319226</v>
      </c>
      <c r="I5" s="2" t="n">
        <f aca="false">C5-$B5</f>
        <v>-0.11513</v>
      </c>
      <c r="J5" s="2" t="n">
        <f aca="false">LN(D5/(100-D5))-LN($B5/(100-$B5))</f>
        <v>-0.00818557084775451</v>
      </c>
      <c r="K5" s="2" t="n">
        <f aca="false">D5-$B5</f>
        <v>-0.0574299999999992</v>
      </c>
      <c r="L5" s="2" t="n">
        <f aca="false">LN(E5/(100-E5))-LN($B5/(100-$B5))</f>
        <v>0.00291385493019058</v>
      </c>
      <c r="M5" s="2" t="n">
        <f aca="false">E5-$B5</f>
        <v>0.0205400000000004</v>
      </c>
    </row>
    <row r="6" customFormat="false" ht="13.8" hidden="false" customHeight="false" outlineLevel="0" collapsed="false">
      <c r="A6" s="1" t="n">
        <f aca="false">1+A5</f>
        <v>4</v>
      </c>
      <c r="B6" s="1" t="n">
        <v>6.19738</v>
      </c>
      <c r="C6" s="1" t="n">
        <v>6.11954</v>
      </c>
      <c r="D6" s="1" t="n">
        <v>6.15812</v>
      </c>
      <c r="E6" s="1" t="n">
        <v>6.20086</v>
      </c>
      <c r="H6" s="2" t="n">
        <f aca="false">LN(C6/(100-C6))-LN($B6/(100-$B6))</f>
        <v>-0.0134691752440679</v>
      </c>
      <c r="I6" s="2" t="n">
        <f aca="false">C6-$B6</f>
        <v>-0.0778400000000001</v>
      </c>
      <c r="J6" s="2" t="n">
        <f aca="false">LN(D6/(100-D6))-LN($B6/(100-$B6))</f>
        <v>-0.00677353678802017</v>
      </c>
      <c r="K6" s="2" t="n">
        <f aca="false">D6-$B6</f>
        <v>-0.0392599999999996</v>
      </c>
      <c r="L6" s="2" t="n">
        <f aca="false">LN(E6/(100-E6))-LN($B6/(100-$B6))</f>
        <v>0.000598469880811248</v>
      </c>
      <c r="M6" s="2" t="n">
        <f aca="false">E6-$B6</f>
        <v>0.00347999999999971</v>
      </c>
    </row>
    <row r="7" customFormat="false" ht="13.8" hidden="false" customHeight="false" outlineLevel="0" collapsed="false">
      <c r="A7" s="1" t="n">
        <f aca="false">1+A6</f>
        <v>5</v>
      </c>
      <c r="B7" s="1" t="n">
        <v>4.64291</v>
      </c>
      <c r="C7" s="1" t="n">
        <v>4.5853</v>
      </c>
      <c r="D7" s="1" t="n">
        <v>4.60123</v>
      </c>
      <c r="E7" s="1" t="n">
        <v>4.63159</v>
      </c>
      <c r="H7" s="2" t="n">
        <f aca="false">LN(C7/(100-C7))-LN($B7/(100-$B7))</f>
        <v>-0.0130897582329648</v>
      </c>
      <c r="I7" s="2" t="n">
        <f aca="false">C7-$B7</f>
        <v>-0.0576099999999995</v>
      </c>
      <c r="J7" s="2" t="n">
        <f aca="false">LN(D7/(100-D7))-LN($B7/(100-$B7))</f>
        <v>-0.0094546641517872</v>
      </c>
      <c r="K7" s="2" t="n">
        <f aca="false">D7-$B7</f>
        <v>-0.0416799999999995</v>
      </c>
      <c r="L7" s="2" t="n">
        <f aca="false">LN(E7/(100-E7))-LN($B7/(100-$B7))</f>
        <v>-0.00255980778901987</v>
      </c>
      <c r="M7" s="2" t="n">
        <f aca="false">E7-$B7</f>
        <v>-0.0113199999999996</v>
      </c>
    </row>
    <row r="8" customFormat="false" ht="13.8" hidden="false" customHeight="false" outlineLevel="0" collapsed="false">
      <c r="A8" s="1" t="n">
        <f aca="false">1+A7</f>
        <v>6</v>
      </c>
      <c r="B8" s="1" t="n">
        <v>3.54379</v>
      </c>
      <c r="C8" s="1" t="n">
        <v>3.50273</v>
      </c>
      <c r="D8" s="1" t="n">
        <v>3.50976</v>
      </c>
      <c r="E8" s="1" t="n">
        <v>3.53238</v>
      </c>
      <c r="H8" s="2" t="n">
        <f aca="false">LN(C8/(100-C8))-LN($B8/(100-$B8))</f>
        <v>-0.0120797062729059</v>
      </c>
      <c r="I8" s="2" t="n">
        <f aca="false">C8-$B8</f>
        <v>-0.0410599999999999</v>
      </c>
      <c r="J8" s="2" t="n">
        <f aca="false">LN(D8/(100-D8))-LN($B8/(100-$B8))</f>
        <v>-0.010001857198974</v>
      </c>
      <c r="K8" s="2" t="n">
        <f aca="false">D8-$B8</f>
        <v>-0.03403</v>
      </c>
      <c r="L8" s="2" t="n">
        <f aca="false">LN(E8/(100-E8))-LN($B8/(100-$B8))</f>
        <v>-0.00334319620949719</v>
      </c>
      <c r="M8" s="2" t="n">
        <f aca="false">E8-$B8</f>
        <v>-0.0114100000000001</v>
      </c>
    </row>
    <row r="9" customFormat="false" ht="13.8" hidden="false" customHeight="false" outlineLevel="0" collapsed="false">
      <c r="A9" s="1" t="n">
        <f aca="false">1+A8</f>
        <v>7</v>
      </c>
      <c r="B9" s="1" t="n">
        <v>2.89255</v>
      </c>
      <c r="C9" s="1" t="n">
        <v>2.86157</v>
      </c>
      <c r="D9" s="1" t="n">
        <v>2.86997</v>
      </c>
      <c r="E9" s="1" t="n">
        <v>2.88601</v>
      </c>
      <c r="H9" s="2" t="n">
        <f aca="false">LN(C9/(100-C9))-LN($B9/(100-$B9))</f>
        <v>-0.0110870179259006</v>
      </c>
      <c r="I9" s="2" t="n">
        <f aca="false">C9-$B9</f>
        <v>-0.03098</v>
      </c>
      <c r="J9" s="2" t="n">
        <f aca="false">LN(D9/(100-D9))-LN($B9/(100-$B9))</f>
        <v>-0.00806938816455727</v>
      </c>
      <c r="K9" s="2" t="n">
        <f aca="false">D9-$B9</f>
        <v>-0.02258</v>
      </c>
      <c r="L9" s="2" t="n">
        <f aca="false">LN(E9/(100-E9))-LN($B9/(100-$B9))</f>
        <v>-0.00233088648086799</v>
      </c>
      <c r="M9" s="2" t="n">
        <f aca="false">E9-$B9</f>
        <v>-0.00653999999999977</v>
      </c>
    </row>
    <row r="10" customFormat="false" ht="13.8" hidden="false" customHeight="false" outlineLevel="0" collapsed="false">
      <c r="A10" s="1" t="n">
        <f aca="false">1+A9</f>
        <v>8</v>
      </c>
      <c r="B10" s="1" t="n">
        <v>2.42729</v>
      </c>
      <c r="C10" s="1" t="n">
        <v>2.40413</v>
      </c>
      <c r="D10" s="1" t="n">
        <v>2.41422</v>
      </c>
      <c r="E10" s="1" t="n">
        <v>2.42242</v>
      </c>
      <c r="H10" s="2" t="n">
        <f aca="false">LN(C10/(100-C10))-LN($B10/(100-$B10))</f>
        <v>-0.00982465022238976</v>
      </c>
      <c r="I10" s="2" t="n">
        <f aca="false">C10-$B10</f>
        <v>-0.0231600000000003</v>
      </c>
      <c r="J10" s="2" t="n">
        <f aca="false">LN(D10/(100-D10))-LN($B10/(100-$B10))</f>
        <v>-0.00553309753699738</v>
      </c>
      <c r="K10" s="2" t="n">
        <f aca="false">D10-$B10</f>
        <v>-0.0130700000000004</v>
      </c>
      <c r="L10" s="2" t="n">
        <f aca="false">LN(E10/(100-E10))-LN($B10/(100-$B10))</f>
        <v>-0.00205827843693696</v>
      </c>
      <c r="M10" s="2" t="n">
        <f aca="false">E10-$B10</f>
        <v>-0.00487000000000037</v>
      </c>
    </row>
    <row r="11" customFormat="false" ht="13.8" hidden="false" customHeight="false" outlineLevel="0" collapsed="false">
      <c r="A11" s="1" t="n">
        <f aca="false">1+A10</f>
        <v>9</v>
      </c>
      <c r="B11" s="1" t="n">
        <v>1.96944</v>
      </c>
      <c r="C11" s="1" t="n">
        <v>1.94834</v>
      </c>
      <c r="D11" s="1" t="n">
        <v>1.95496</v>
      </c>
      <c r="E11" s="1" t="n">
        <v>1.96115</v>
      </c>
      <c r="H11" s="2" t="n">
        <f aca="false">LN(C11/(100-C11))-LN($B11/(100-$B11))</f>
        <v>-0.0109867262442385</v>
      </c>
      <c r="I11" s="2" t="n">
        <f aca="false">C11-$B11</f>
        <v>-0.0211000000000001</v>
      </c>
      <c r="J11" s="2" t="n">
        <f aca="false">LN(D11/(100-D11))-LN($B11/(100-$B11))</f>
        <v>-0.00752720364292125</v>
      </c>
      <c r="K11" s="2" t="n">
        <f aca="false">D11-$B11</f>
        <v>-0.01448</v>
      </c>
      <c r="L11" s="2" t="n">
        <f aca="false">LN(E11/(100-E11))-LN($B11/(100-$B11))</f>
        <v>-0.00430276439570454</v>
      </c>
      <c r="M11" s="2" t="n">
        <f aca="false">E11-$B11</f>
        <v>-0.00829000000000013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1.56771</v>
      </c>
      <c r="C12" s="1" t="n">
        <v>1.55355</v>
      </c>
      <c r="D12" s="1" t="n">
        <v>1.55522</v>
      </c>
      <c r="E12" s="1" t="n">
        <v>1.56168</v>
      </c>
      <c r="H12" s="2" t="n">
        <f aca="false">LN(C12/(100-C12))-LN($B12/(100-$B12))</f>
        <v>-0.00921716600929123</v>
      </c>
      <c r="I12" s="2" t="n">
        <f aca="false">C12-$B12</f>
        <v>-0.01416</v>
      </c>
      <c r="J12" s="2" t="n">
        <f aca="false">LN(D12/(100-D12))-LN($B12/(100-$B12))</f>
        <v>-0.00812582232558778</v>
      </c>
      <c r="K12" s="2" t="n">
        <f aca="false">D12-$B12</f>
        <v>-0.0124899999999999</v>
      </c>
      <c r="L12" s="2" t="n">
        <f aca="false">LN(E12/(100-E12))-LN($B12/(100-$B12))</f>
        <v>-0.00391504947959476</v>
      </c>
      <c r="M12" s="2" t="n">
        <f aca="false">E12-$B12</f>
        <v>-0.00602999999999998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1.19499</v>
      </c>
      <c r="C13" s="1" t="n">
        <v>1.1859</v>
      </c>
      <c r="D13" s="1" t="n">
        <v>1.1862</v>
      </c>
      <c r="E13" s="1" t="n">
        <v>1.19103</v>
      </c>
      <c r="H13" s="2" t="n">
        <f aca="false">LN(C13/(100-C13))-LN($B13/(100-$B13))</f>
        <v>-0.00772783231075902</v>
      </c>
      <c r="I13" s="2" t="n">
        <f aca="false">C13-$B13</f>
        <v>-0.00909000000000004</v>
      </c>
      <c r="J13" s="2" t="n">
        <f aca="false">LN(D13/(100-D13))-LN($B13/(100-$B13))</f>
        <v>-0.00747185586830224</v>
      </c>
      <c r="K13" s="2" t="n">
        <f aca="false">D13-$B13</f>
        <v>-0.00879000000000008</v>
      </c>
      <c r="L13" s="2" t="n">
        <f aca="false">LN(E13/(100-E13))-LN($B13/(100-$B13))</f>
        <v>-0.0033594163109969</v>
      </c>
      <c r="M13" s="2" t="n">
        <f aca="false">E13-$B13</f>
        <v>-0.00395999999999996</v>
      </c>
    </row>
    <row r="14" customFormat="false" ht="13.8" hidden="false" customHeight="false" outlineLevel="0" collapsed="false">
      <c r="A14" s="1" t="n">
        <f aca="false">1+A13</f>
        <v>12</v>
      </c>
      <c r="B14" s="1" t="n">
        <v>0.888299</v>
      </c>
      <c r="C14" s="1" t="n">
        <v>0.878305</v>
      </c>
      <c r="D14" s="1" t="n">
        <v>0.876289</v>
      </c>
      <c r="E14" s="1" t="n">
        <v>0.886022</v>
      </c>
      <c r="H14" s="2" t="n">
        <f aca="false">LN(C14/(100-C14))-LN($B14/(100-$B14))</f>
        <v>-0.0114153149458174</v>
      </c>
      <c r="I14" s="2" t="n">
        <f aca="false">C14-$B14</f>
        <v>-0.00999399999999995</v>
      </c>
      <c r="J14" s="2" t="n">
        <f aca="false">LN(D14/(100-D14))-LN($B14/(100-$B14))</f>
        <v>-0.0137336218924853</v>
      </c>
      <c r="K14" s="2" t="n">
        <f aca="false">D14-$B14</f>
        <v>-0.01201</v>
      </c>
      <c r="L14" s="2" t="n">
        <f aca="false">LN(E14/(100-E14))-LN($B14/(100-$B14))</f>
        <v>-0.00258959084724619</v>
      </c>
      <c r="M14" s="2" t="n">
        <f aca="false">E14-$B14</f>
        <v>-0.00227699999999997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0.625555</v>
      </c>
      <c r="C15" s="1" t="n">
        <v>0.617106</v>
      </c>
      <c r="D15" s="1" t="n">
        <v>0.616169</v>
      </c>
      <c r="E15" s="1" t="n">
        <v>0.623996</v>
      </c>
      <c r="H15" s="2" t="n">
        <f aca="false">LN(C15/(100-C15))-LN($B15/(100-$B15))</f>
        <v>-0.0136834657648111</v>
      </c>
      <c r="I15" s="2" t="n">
        <f aca="false">C15-$B15</f>
        <v>-0.00844899999999993</v>
      </c>
      <c r="J15" s="2" t="n">
        <f aca="false">LN(D15/(100-D15))-LN($B15/(100-$B15))</f>
        <v>-0.0152124255238064</v>
      </c>
      <c r="K15" s="2" t="n">
        <f aca="false">D15-$B15</f>
        <v>-0.00938600000000001</v>
      </c>
      <c r="L15" s="2" t="n">
        <f aca="false">LN(E15/(100-E15))-LN($B15/(100-$B15))</f>
        <v>-0.00251098562005669</v>
      </c>
      <c r="M15" s="2" t="n">
        <f aca="false">E15-$B15</f>
        <v>-0.00155899999999998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0.426741</v>
      </c>
      <c r="C16" s="1" t="n">
        <v>0.419838</v>
      </c>
      <c r="D16" s="1" t="n">
        <v>0.419162</v>
      </c>
      <c r="E16" s="1" t="n">
        <v>0.427798</v>
      </c>
      <c r="H16" s="2" t="n">
        <f aca="false">LN(C16/(100-C16))-LN($B16/(100-$B16))</f>
        <v>-0.0163776726752838</v>
      </c>
      <c r="I16" s="2" t="n">
        <f aca="false">C16-$B16</f>
        <v>-0.00690299999999999</v>
      </c>
      <c r="J16" s="2" t="n">
        <f aca="false">LN(D16/(100-D16))-LN($B16/(100-$B16))</f>
        <v>-0.0179959036947439</v>
      </c>
      <c r="K16" s="2" t="n">
        <f aca="false">D16-$B16</f>
        <v>-0.007579</v>
      </c>
      <c r="L16" s="2" t="n">
        <f aca="false">LN(E16/(100-E16))-LN($B16/(100-$B16))</f>
        <v>0.00248446509051359</v>
      </c>
      <c r="M16" s="2" t="n">
        <f aca="false">E16-$B16</f>
        <v>0.00105700000000003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0.278558</v>
      </c>
      <c r="C17" s="1" t="n">
        <v>0.275181</v>
      </c>
      <c r="D17" s="1" t="n">
        <v>0.275092</v>
      </c>
      <c r="E17" s="1" t="n">
        <v>0.281955</v>
      </c>
      <c r="H17" s="2" t="n">
        <f aca="false">LN(C17/(100-C17))-LN($B17/(100-$B17))</f>
        <v>-0.0122310969926955</v>
      </c>
      <c r="I17" s="2" t="n">
        <f aca="false">C17-$B17</f>
        <v>-0.00337699999999996</v>
      </c>
      <c r="J17" s="2" t="n">
        <f aca="false">LN(D17/(100-D17))-LN($B17/(100-$B17))</f>
        <v>-0.0125554652529978</v>
      </c>
      <c r="K17" s="2" t="n">
        <f aca="false">D17-$B17</f>
        <v>-0.00346599999999997</v>
      </c>
      <c r="L17" s="2" t="n">
        <f aca="false">LN(E17/(100-E17))-LN($B17/(100-$B17))</f>
        <v>0.0121552529949982</v>
      </c>
      <c r="M17" s="2" t="n">
        <f aca="false">E17-$B17</f>
        <v>0.00339700000000004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0.178152</v>
      </c>
      <c r="C18" s="1" t="n">
        <v>0.174662</v>
      </c>
      <c r="D18" s="1" t="n">
        <v>0.176215</v>
      </c>
      <c r="E18" s="1" t="n">
        <v>0.183247</v>
      </c>
      <c r="H18" s="2" t="n">
        <f aca="false">LN(C18/(100-C18))-LN($B18/(100-$B18))</f>
        <v>-0.0198194024194409</v>
      </c>
      <c r="I18" s="2" t="n">
        <f aca="false">C18-$B18</f>
        <v>-0.00348999999999999</v>
      </c>
      <c r="J18" s="2" t="n">
        <f aca="false">LN(D18/(100-D18))-LN($B18/(100-$B18))</f>
        <v>-0.0109516824525526</v>
      </c>
      <c r="K18" s="2" t="n">
        <f aca="false">D18-$B18</f>
        <v>-0.00193699999999999</v>
      </c>
      <c r="L18" s="2" t="n">
        <f aca="false">LN(E18/(100-E18))-LN($B18/(100-$B18))</f>
        <v>0.0282488933047054</v>
      </c>
      <c r="M18" s="2" t="n">
        <f aca="false">E18-$B18</f>
        <v>0.00509499999999999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0.109497</v>
      </c>
      <c r="C19" s="1" t="n">
        <v>0.108067</v>
      </c>
      <c r="D19" s="1" t="n">
        <v>0.110026</v>
      </c>
      <c r="E19" s="1" t="n">
        <v>0.115437</v>
      </c>
      <c r="H19" s="2" t="n">
        <f aca="false">LN(C19/(100-C19))-LN($B19/(100-$B19))</f>
        <v>-0.0131600620492964</v>
      </c>
      <c r="I19" s="2" t="n">
        <f aca="false">C19-$B19</f>
        <v>-0.00143</v>
      </c>
      <c r="J19" s="2" t="n">
        <f aca="false">LN(D19/(100-D19))-LN($B19/(100-$B19))</f>
        <v>0.00482484569109065</v>
      </c>
      <c r="K19" s="2" t="n">
        <f aca="false">D19-$B19</f>
        <v>0.000529000000000002</v>
      </c>
      <c r="L19" s="2" t="n">
        <f aca="false">LN(E19/(100-E19))-LN($B19/(100-$B19))</f>
        <v>0.0528872418616109</v>
      </c>
      <c r="M19" s="2" t="n">
        <f aca="false">E19-$B19</f>
        <v>0.00594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0.0670972</v>
      </c>
      <c r="C20" s="1" t="n">
        <v>0.0662285</v>
      </c>
      <c r="D20" s="1" t="n">
        <v>0.0685718</v>
      </c>
      <c r="E20" s="1" t="n">
        <v>0.072927</v>
      </c>
      <c r="H20" s="2" t="n">
        <f aca="false">LN(C20/(100-C20))-LN($B20/(100-$B20))</f>
        <v>-0.0130401232450525</v>
      </c>
      <c r="I20" s="2" t="n">
        <f aca="false">C20-$B20</f>
        <v>-0.0008687</v>
      </c>
      <c r="J20" s="2" t="n">
        <f aca="false">LN(D20/(100-D20))-LN($B20/(100-$B20))</f>
        <v>0.0217538131643584</v>
      </c>
      <c r="K20" s="2" t="n">
        <f aca="false">D20-$B20</f>
        <v>0.00147460000000001</v>
      </c>
      <c r="L20" s="2" t="n">
        <f aca="false">LN(E20/(100-E20))-LN($B20/(100-$B20))</f>
        <v>0.083374965315147</v>
      </c>
      <c r="M20" s="2" t="n">
        <f aca="false">E20-$B20</f>
        <v>0.00582980000000001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0.0409123</v>
      </c>
      <c r="C21" s="1" t="n">
        <v>0.0402266</v>
      </c>
      <c r="D21" s="1" t="n">
        <v>0.0423528</v>
      </c>
      <c r="E21" s="1" t="n">
        <v>0.0460189</v>
      </c>
      <c r="H21" s="2" t="n">
        <f aca="false">LN(C21/(100-C21))-LN($B21/(100-$B21))</f>
        <v>-0.0169091427708734</v>
      </c>
      <c r="I21" s="2" t="n">
        <f aca="false">C21-$B21</f>
        <v>-0.000685699999999997</v>
      </c>
      <c r="J21" s="2" t="n">
        <f aca="false">LN(D21/(100-D21))-LN($B21/(100-$B21))</f>
        <v>0.0346181942808279</v>
      </c>
      <c r="K21" s="2" t="n">
        <f aca="false">D21-$B21</f>
        <v>0.0014405</v>
      </c>
      <c r="L21" s="2" t="n">
        <f aca="false">LN(E21/(100-E21))-LN($B21/(100-$B21))</f>
        <v>0.117672518542497</v>
      </c>
      <c r="M21" s="2" t="n">
        <f aca="false">E21-$B21</f>
        <v>0.0051066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0.0245705</v>
      </c>
      <c r="C22" s="1" t="n">
        <v>0.0246557</v>
      </c>
      <c r="D22" s="1" t="n">
        <v>0.0260787</v>
      </c>
      <c r="E22" s="1" t="n">
        <v>0.0290144</v>
      </c>
      <c r="H22" s="2" t="n">
        <f aca="false">LN(C22/(100-C22))-LN($B22/(100-$B22))</f>
        <v>0.00346242694336141</v>
      </c>
      <c r="I22" s="2" t="n">
        <f aca="false">C22-$B22</f>
        <v>8.52000000000006E-005</v>
      </c>
      <c r="J22" s="2" t="n">
        <f aca="false">LN(D22/(100-D22))-LN($B22/(100-$B22))</f>
        <v>0.0595874386643462</v>
      </c>
      <c r="K22" s="2" t="n">
        <f aca="false">D22-$B22</f>
        <v>0.0015082</v>
      </c>
      <c r="L22" s="2" t="n">
        <f aca="false">LN(E22/(100-E22))-LN($B22/(100-$B22))</f>
        <v>0.166290173032715</v>
      </c>
      <c r="M22" s="2" t="n">
        <f aca="false">E22-$B22</f>
        <v>0.0044439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0.0149056</v>
      </c>
      <c r="C23" s="1" t="n">
        <v>0.0150483</v>
      </c>
      <c r="D23" s="1" t="n">
        <v>0.0162812</v>
      </c>
      <c r="E23" s="1" t="n">
        <v>0.0187839</v>
      </c>
      <c r="H23" s="2" t="n">
        <f aca="false">LN(C23/(100-C23))-LN($B23/(100-$B23))</f>
        <v>0.0095294739500762</v>
      </c>
      <c r="I23" s="2" t="n">
        <f aca="false">C23-$B23</f>
        <v>0.000142700000000001</v>
      </c>
      <c r="J23" s="2" t="n">
        <f aca="false">LN(D23/(100-D23))-LN($B23/(100-$B23))</f>
        <v>0.0882878448091837</v>
      </c>
      <c r="K23" s="2" t="n">
        <f aca="false">D23-$B23</f>
        <v>0.0013756</v>
      </c>
      <c r="L23" s="2" t="n">
        <f aca="false">LN(E23/(100-E23))-LN($B23/(100-$B23))</f>
        <v>0.231301928217963</v>
      </c>
      <c r="M23" s="2" t="n">
        <f aca="false">E23-$B23</f>
        <v>0.0038783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0.00890492</v>
      </c>
      <c r="C24" s="1" t="n">
        <v>0.00940763</v>
      </c>
      <c r="D24" s="1" t="n">
        <v>0.0102488</v>
      </c>
      <c r="E24" s="1" t="n">
        <v>0.012093</v>
      </c>
      <c r="H24" s="2" t="n">
        <f aca="false">LN(C24/(100-C24))-LN($B24/(100-$B24))</f>
        <v>0.054922156727681</v>
      </c>
      <c r="I24" s="2" t="n">
        <f aca="false">C24-$B24</f>
        <v>0.00050271</v>
      </c>
      <c r="J24" s="2" t="n">
        <f aca="false">LN(D24/(100-D24))-LN($B24/(100-$B24))</f>
        <v>0.140570132662967</v>
      </c>
      <c r="K24" s="2" t="n">
        <f aca="false">D24-$B24</f>
        <v>0.00134388</v>
      </c>
      <c r="L24" s="2" t="n">
        <f aca="false">LN(E24/(100-E24))-LN($B24/(100-$B24))</f>
        <v>0.306054723966387</v>
      </c>
      <c r="M24" s="2" t="n">
        <f aca="false">E24-$B24</f>
        <v>0.00318808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0.00550402</v>
      </c>
      <c r="C25" s="1" t="n">
        <v>0.0060426</v>
      </c>
      <c r="D25" s="1" t="n">
        <v>0.00647854</v>
      </c>
      <c r="E25" s="1" t="n">
        <v>0.0078471</v>
      </c>
      <c r="H25" s="2" t="n">
        <f aca="false">LN(C25/(100-C25))-LN($B25/(100-$B25))</f>
        <v>0.0933610346656035</v>
      </c>
      <c r="I25" s="2" t="n">
        <f aca="false">C25-$B25</f>
        <v>0.00053858</v>
      </c>
      <c r="J25" s="2" t="n">
        <f aca="false">LN(D25/(100-D25))-LN($B25/(100-$B25))</f>
        <v>0.16302618777493</v>
      </c>
      <c r="K25" s="2" t="n">
        <f aca="false">D25-$B25</f>
        <v>0.00097452</v>
      </c>
      <c r="L25" s="2" t="n">
        <f aca="false">LN(E25/(100-E25))-LN($B25/(100-$B25))</f>
        <v>0.354688734806723</v>
      </c>
      <c r="M25" s="2" t="n">
        <f aca="false">E25-$B25</f>
        <v>0.00234308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0.00341914</v>
      </c>
      <c r="C26" s="1" t="n">
        <v>0.00405012</v>
      </c>
      <c r="D26" s="1" t="n">
        <v>0.00415909</v>
      </c>
      <c r="E26" s="1" t="n">
        <v>0.00521007</v>
      </c>
      <c r="H26" s="2" t="n">
        <f aca="false">LN(C26/(100-C26))-LN($B26/(100-$B26))</f>
        <v>0.169363762880442</v>
      </c>
      <c r="I26" s="2" t="n">
        <f aca="false">C26-$B26</f>
        <v>0.00063098</v>
      </c>
      <c r="J26" s="2" t="n">
        <f aca="false">LN(D26/(100-D26))-LN($B26/(100-$B26))</f>
        <v>0.195914642659945</v>
      </c>
      <c r="K26" s="2" t="n">
        <f aca="false">D26-$B26</f>
        <v>0.00073995</v>
      </c>
      <c r="L26" s="2" t="n">
        <f aca="false">LN(E26/(100-E26))-LN($B26/(100-$B26))</f>
        <v>0.421222143984</v>
      </c>
      <c r="M26" s="2" t="n">
        <f aca="false">E26-$B26</f>
        <v>0.00179093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0.00214146</v>
      </c>
      <c r="C27" s="1" t="n">
        <v>0.0027317</v>
      </c>
      <c r="D27" s="1" t="n">
        <v>0.00268217</v>
      </c>
      <c r="E27" s="1" t="n">
        <v>0.00339334</v>
      </c>
      <c r="H27" s="2" t="n">
        <f aca="false">LN(C27/(100-C27))-LN($B27/(100-$B27))</f>
        <v>0.243442189157129</v>
      </c>
      <c r="I27" s="2" t="n">
        <f aca="false">C27-$B27</f>
        <v>0.00059024</v>
      </c>
      <c r="J27" s="2" t="n">
        <f aca="false">LN(D27/(100-D27))-LN($B27/(100-$B27))</f>
        <v>0.225143736211844</v>
      </c>
      <c r="K27" s="2" t="n">
        <f aca="false">D27-$B27</f>
        <v>0.00054071</v>
      </c>
      <c r="L27" s="2" t="n">
        <f aca="false">LN(E27/(100-E27))-LN($B27/(100-$B27))</f>
        <v>0.460339366832873</v>
      </c>
      <c r="M27" s="2" t="n">
        <f aca="false">E27-$B27</f>
        <v>0.00125188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0.00142172</v>
      </c>
      <c r="C28" s="1" t="n">
        <v>0.00186361</v>
      </c>
      <c r="D28" s="1" t="n">
        <v>0.00174149</v>
      </c>
      <c r="E28" s="1" t="n">
        <v>0.00228761</v>
      </c>
      <c r="H28" s="2" t="n">
        <f aca="false">LN(C28/(100-C28))-LN($B28/(100-$B28))</f>
        <v>0.270652479651019</v>
      </c>
      <c r="I28" s="2" t="n">
        <f aca="false">C28-$B28</f>
        <v>0.00044189</v>
      </c>
      <c r="J28" s="2" t="n">
        <f aca="false">LN(D28/(100-D28))-LN($B28/(100-$B28))</f>
        <v>0.202876860155687</v>
      </c>
      <c r="K28" s="2" t="n">
        <f aca="false">D28-$B28</f>
        <v>0.00031977</v>
      </c>
      <c r="L28" s="2" t="n">
        <f aca="false">LN(E28/(100-E28))-LN($B28/(100-$B28))</f>
        <v>0.47564885727763</v>
      </c>
      <c r="M28" s="2" t="n">
        <f aca="false">E28-$B28</f>
        <v>0.00086589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0.000938148</v>
      </c>
      <c r="C29" s="1" t="n">
        <v>0.00129063</v>
      </c>
      <c r="D29" s="1" t="n">
        <v>0.00123938</v>
      </c>
      <c r="E29" s="1" t="n">
        <v>0.00155933</v>
      </c>
      <c r="H29" s="2" t="n">
        <f aca="false">LN(C29/(100-C29))-LN($B29/(100-$B29))</f>
        <v>0.318981556017318</v>
      </c>
      <c r="I29" s="2" t="n">
        <f aca="false">C29-$B29</f>
        <v>0.000352482</v>
      </c>
      <c r="J29" s="2" t="n">
        <f aca="false">LN(D29/(100-D29))-LN($B29/(100-$B29))</f>
        <v>0.278461826834333</v>
      </c>
      <c r="K29" s="2" t="n">
        <f aca="false">D29-$B29</f>
        <v>0.000301232</v>
      </c>
      <c r="L29" s="2" t="n">
        <f aca="false">LN(E29/(100-E29))-LN($B29/(100-$B29))</f>
        <v>0.508110013629766</v>
      </c>
      <c r="M29" s="2" t="n">
        <f aca="false">E29-$B29</f>
        <v>0.000621182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0.000625276</v>
      </c>
      <c r="C30" s="1" t="n">
        <v>0.000876711</v>
      </c>
      <c r="D30" s="1" t="n">
        <v>0.000833998</v>
      </c>
      <c r="E30" s="1" t="n">
        <v>0.00105435</v>
      </c>
      <c r="H30" s="2" t="n">
        <f aca="false">LN(C30/(100-C30))-LN($B30/(100-$B30))</f>
        <v>0.337986767676334</v>
      </c>
      <c r="I30" s="2" t="n">
        <f aca="false">C30-$B30</f>
        <v>0.000251435</v>
      </c>
      <c r="J30" s="2" t="n">
        <f aca="false">LN(D30/(100-D30))-LN($B30/(100-$B30))</f>
        <v>0.288039939249748</v>
      </c>
      <c r="K30" s="2" t="n">
        <f aca="false">D30-$B30</f>
        <v>0.000208722</v>
      </c>
      <c r="L30" s="2" t="n">
        <f aca="false">LN(E30/(100-E30))-LN($B30/(100-$B30))</f>
        <v>0.52249088080624</v>
      </c>
      <c r="M30" s="2" t="n">
        <f aca="false">E30-$B30</f>
        <v>0.000429074</v>
      </c>
    </row>
    <row r="31" customFormat="false" ht="13.8" hidden="false" customHeight="false" outlineLevel="0" collapsed="false">
      <c r="A31" s="1" t="n">
        <f aca="false">1+A30</f>
        <v>29</v>
      </c>
      <c r="B31" s="1" t="n">
        <v>0.000403132</v>
      </c>
      <c r="C31" s="1" t="n">
        <v>0.000620405</v>
      </c>
      <c r="D31" s="1" t="n">
        <v>0.000556631</v>
      </c>
      <c r="E31" s="1" t="n">
        <v>0.000716601</v>
      </c>
      <c r="H31" s="2" t="n">
        <f aca="false">LN(C31/(100-C31))-LN($B31/(100-$B31))</f>
        <v>0.431110611587233</v>
      </c>
      <c r="I31" s="2" t="n">
        <f aca="false">C31-$B31</f>
        <v>0.000217273</v>
      </c>
      <c r="J31" s="2" t="n">
        <f aca="false">LN(D31/(100-D31))-LN($B31/(100-$B31))</f>
        <v>0.322640026090717</v>
      </c>
      <c r="K31" s="2" t="n">
        <f aca="false">D31-$B31</f>
        <v>0.000153499</v>
      </c>
      <c r="L31" s="2" t="n">
        <f aca="false">LN(E31/(100-E31))-LN($B31/(100-$B31))</f>
        <v>0.575258283315716</v>
      </c>
      <c r="M31" s="2" t="n">
        <f aca="false">E31-$B31</f>
        <v>0.000313469</v>
      </c>
    </row>
    <row r="32" customFormat="false" ht="13.8" hidden="false" customHeight="false" outlineLevel="0" collapsed="false">
      <c r="A32" s="1" t="n">
        <f aca="false">1+A31</f>
        <v>30</v>
      </c>
      <c r="B32" s="1" t="n">
        <v>0.000267508</v>
      </c>
      <c r="C32" s="1" t="n">
        <v>0.000413443</v>
      </c>
      <c r="D32" s="1" t="n">
        <v>0.000380728</v>
      </c>
      <c r="E32" s="1" t="n">
        <v>0.000476955</v>
      </c>
      <c r="H32" s="2" t="n">
        <f aca="false">LN(C32/(100-C32))-LN($B32/(100-$B32))</f>
        <v>0.435371644243849</v>
      </c>
      <c r="I32" s="2" t="n">
        <f aca="false">C32-$B32</f>
        <v>0.000145935</v>
      </c>
      <c r="J32" s="2" t="n">
        <f aca="false">LN(D32/(100-D32))-LN($B32/(100-$B32))</f>
        <v>0.352936869182651</v>
      </c>
      <c r="K32" s="2" t="n">
        <f aca="false">D32-$B32</f>
        <v>0.00011322</v>
      </c>
      <c r="L32" s="2" t="n">
        <f aca="false">LN(E32/(100-E32))-LN($B32/(100-$B32))</f>
        <v>0.578274768862308</v>
      </c>
      <c r="M32" s="2" t="n">
        <f aca="false">E32-$B32</f>
        <v>0.000209447</v>
      </c>
    </row>
    <row r="33" customFormat="false" ht="13.8" hidden="false" customHeight="false" outlineLevel="0" collapsed="false">
      <c r="A33" s="1" t="n">
        <f aca="false">1+A32</f>
        <v>31</v>
      </c>
      <c r="B33" s="1" t="n">
        <v>0.00019876</v>
      </c>
      <c r="C33" s="1" t="n">
        <v>0.000286009</v>
      </c>
      <c r="D33" s="1" t="n">
        <v>0.000269781</v>
      </c>
      <c r="E33" s="1" t="n">
        <v>0.000320462</v>
      </c>
      <c r="H33" s="2" t="n">
        <f aca="false">LN(C33/(100-C33))-LN($B33/(100-$B33))</f>
        <v>0.363926084614192</v>
      </c>
      <c r="I33" s="2" t="n">
        <f aca="false">C33-$B33</f>
        <v>8.7249E-005</v>
      </c>
      <c r="J33" s="2" t="n">
        <f aca="false">LN(D33/(100-D33))-LN($B33/(100-$B33))</f>
        <v>0.305513162236206</v>
      </c>
      <c r="K33" s="2" t="n">
        <f aca="false">D33-$B33</f>
        <v>7.1021E-005</v>
      </c>
      <c r="L33" s="2" t="n">
        <f aca="false">LN(E33/(100-E33))-LN($B33/(100-$B33))</f>
        <v>0.477666854877821</v>
      </c>
      <c r="M33" s="2" t="n">
        <f aca="false">E33-$B33</f>
        <v>0.000121702</v>
      </c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5" min="1" style="1" width="12.15"/>
    <col collapsed="false" customWidth="true" hidden="false" outlineLevel="0" max="6" min="6" style="1" width="11.43"/>
  </cols>
  <sheetData>
    <row r="1" customFormat="false" ht="13.8" hidden="false" customHeight="false" outlineLevel="0" collapsed="false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</row>
    <row r="2" customFormat="false" ht="13.8" hidden="false" customHeight="false" outlineLevel="0" collapsed="false">
      <c r="A2" s="1" t="n">
        <v>-100</v>
      </c>
      <c r="B2" s="1" t="s">
        <v>10</v>
      </c>
      <c r="C2" s="1" t="n">
        <v>5.00911</v>
      </c>
      <c r="D2" s="1" t="e">
        <f aca="false">100*B2/SUM(B$2:B$202)</f>
        <v>#VALUE!</v>
      </c>
      <c r="E2" s="1" t="e">
        <f aca="false">D2</f>
        <v>#VALUE!</v>
      </c>
    </row>
    <row r="3" customFormat="false" ht="13.8" hidden="false" customHeight="false" outlineLevel="0" collapsed="false">
      <c r="A3" s="1" t="n">
        <f aca="false">1+A2</f>
        <v>-99</v>
      </c>
      <c r="B3" s="1" t="n">
        <v>69</v>
      </c>
      <c r="C3" s="1" t="n">
        <v>7.24638</v>
      </c>
      <c r="D3" s="1" t="n">
        <f aca="false">100*B3/SUM(B$2:B$202)</f>
        <v>5.82201718821478E-005</v>
      </c>
      <c r="E3" s="1" t="e">
        <f aca="false">D3+E2</f>
        <v>#VALUE!</v>
      </c>
    </row>
    <row r="4" customFormat="false" ht="13.8" hidden="false" customHeight="false" outlineLevel="0" collapsed="false">
      <c r="A4" s="1" t="n">
        <f aca="false">1+A3</f>
        <v>-98</v>
      </c>
      <c r="B4" s="1" t="n">
        <v>32</v>
      </c>
      <c r="C4" s="1" t="n">
        <v>6.25</v>
      </c>
      <c r="D4" s="1" t="n">
        <f aca="false">100*B4/SUM(B$2:B$202)</f>
        <v>2.70006594236048E-005</v>
      </c>
      <c r="E4" s="1" t="e">
        <f aca="false">D4+E3</f>
        <v>#VALUE!</v>
      </c>
    </row>
    <row r="5" customFormat="false" ht="13.8" hidden="false" customHeight="false" outlineLevel="0" collapsed="false">
      <c r="A5" s="1" t="n">
        <f aca="false">1+A4</f>
        <v>-97</v>
      </c>
      <c r="B5" s="1" t="n">
        <v>34</v>
      </c>
      <c r="C5" s="1" t="n">
        <v>11.7647</v>
      </c>
      <c r="D5" s="1" t="n">
        <f aca="false">100*B5/SUM(B$2:B$202)</f>
        <v>2.86882006375801E-005</v>
      </c>
      <c r="E5" s="1" t="e">
        <f aca="false">D5+E4</f>
        <v>#VALUE!</v>
      </c>
    </row>
    <row r="6" customFormat="false" ht="13.8" hidden="false" customHeight="false" outlineLevel="0" collapsed="false">
      <c r="A6" s="1" t="n">
        <f aca="false">1+A5</f>
        <v>-96</v>
      </c>
      <c r="B6" s="1" t="n">
        <v>82</v>
      </c>
      <c r="C6" s="1" t="n">
        <v>2.43902</v>
      </c>
      <c r="D6" s="1" t="n">
        <f aca="false">100*B6/SUM(B$2:B$202)</f>
        <v>6.91891897729872E-005</v>
      </c>
      <c r="E6" s="1" t="e">
        <f aca="false">D6+E5</f>
        <v>#VALUE!</v>
      </c>
    </row>
    <row r="7" customFormat="false" ht="13.8" hidden="false" customHeight="false" outlineLevel="0" collapsed="false">
      <c r="A7" s="1" t="n">
        <f aca="false">1+A6</f>
        <v>-95</v>
      </c>
      <c r="B7" s="1" t="n">
        <v>43</v>
      </c>
      <c r="C7" s="1" t="n">
        <v>11.6279</v>
      </c>
      <c r="D7" s="1" t="n">
        <f aca="false">100*B7/SUM(B$2:B$202)</f>
        <v>3.62821361004689E-005</v>
      </c>
      <c r="E7" s="1" t="e">
        <f aca="false">D7+E6</f>
        <v>#VALUE!</v>
      </c>
    </row>
    <row r="8" customFormat="false" ht="13.8" hidden="false" customHeight="false" outlineLevel="0" collapsed="false">
      <c r="A8" s="1" t="n">
        <f aca="false">1+A7</f>
        <v>-94</v>
      </c>
      <c r="B8" s="1" t="n">
        <v>73</v>
      </c>
      <c r="C8" s="1" t="n">
        <v>4.10959</v>
      </c>
      <c r="D8" s="1" t="n">
        <f aca="false">100*B8/SUM(B$2:B$202)</f>
        <v>6.15952543100984E-005</v>
      </c>
      <c r="E8" s="1" t="e">
        <f aca="false">D8+E7</f>
        <v>#VALUE!</v>
      </c>
    </row>
    <row r="9" customFormat="false" ht="13.8" hidden="false" customHeight="false" outlineLevel="0" collapsed="false">
      <c r="A9" s="1" t="n">
        <f aca="false">1+A8</f>
        <v>-93</v>
      </c>
      <c r="B9" s="1" t="n">
        <v>49</v>
      </c>
      <c r="C9" s="1" t="n">
        <v>4.08163</v>
      </c>
      <c r="D9" s="1" t="n">
        <f aca="false">100*B9/SUM(B$2:B$202)</f>
        <v>4.13447597423948E-005</v>
      </c>
      <c r="E9" s="1" t="e">
        <f aca="false">D9+E8</f>
        <v>#VALUE!</v>
      </c>
    </row>
    <row r="10" customFormat="false" ht="13.8" hidden="false" customHeight="false" outlineLevel="0" collapsed="false">
      <c r="A10" s="1" t="n">
        <f aca="false">1+A9</f>
        <v>-92</v>
      </c>
      <c r="B10" s="1" t="n">
        <v>72</v>
      </c>
      <c r="C10" s="1" t="n">
        <v>2.77778</v>
      </c>
      <c r="D10" s="1" t="n">
        <f aca="false">100*B10/SUM(B$2:B$202)</f>
        <v>6.07514837031107E-005</v>
      </c>
      <c r="E10" s="1" t="e">
        <f aca="false">D10+E9</f>
        <v>#VALUE!</v>
      </c>
    </row>
    <row r="11" customFormat="false" ht="13.8" hidden="false" customHeight="false" outlineLevel="0" collapsed="false">
      <c r="A11" s="1" t="n">
        <f aca="false">1+A10</f>
        <v>-91</v>
      </c>
      <c r="B11" s="1" t="n">
        <v>75</v>
      </c>
      <c r="C11" s="1" t="n">
        <v>8</v>
      </c>
      <c r="D11" s="1" t="n">
        <f aca="false">100*B11/SUM(B$2:B$202)</f>
        <v>6.32827955240737E-005</v>
      </c>
      <c r="E11" s="1" t="e">
        <f aca="false">D11+E10</f>
        <v>#VALUE!</v>
      </c>
    </row>
    <row r="12" customFormat="false" ht="13.8" hidden="false" customHeight="false" outlineLevel="0" collapsed="false">
      <c r="A12" s="1" t="n">
        <f aca="false">1+A11</f>
        <v>-90</v>
      </c>
      <c r="B12" s="1" t="n">
        <v>65</v>
      </c>
      <c r="C12" s="1" t="n">
        <v>3.07692</v>
      </c>
      <c r="D12" s="1" t="n">
        <f aca="false">100*B12/SUM(B$2:B$202)</f>
        <v>5.48450894541972E-005</v>
      </c>
      <c r="E12" s="1" t="e">
        <f aca="false">D12+E11</f>
        <v>#VALUE!</v>
      </c>
    </row>
    <row r="13" customFormat="false" ht="13.8" hidden="false" customHeight="false" outlineLevel="0" collapsed="false">
      <c r="A13" s="1" t="n">
        <f aca="false">1+A12</f>
        <v>-89</v>
      </c>
      <c r="B13" s="1" t="n">
        <v>63</v>
      </c>
      <c r="C13" s="1" t="n">
        <v>6.34921</v>
      </c>
      <c r="D13" s="1" t="n">
        <f aca="false">100*B13/SUM(B$2:B$202)</f>
        <v>5.31575482402219E-005</v>
      </c>
      <c r="E13" s="1" t="e">
        <f aca="false">D13+E12</f>
        <v>#VALUE!</v>
      </c>
    </row>
    <row r="14" customFormat="false" ht="13.8" hidden="false" customHeight="false" outlineLevel="0" collapsed="false">
      <c r="A14" s="1" t="n">
        <f aca="false">1+A13</f>
        <v>-88</v>
      </c>
      <c r="B14" s="1" t="n">
        <v>74</v>
      </c>
      <c r="C14" s="1" t="n">
        <v>8.10811</v>
      </c>
      <c r="D14" s="1" t="n">
        <f aca="false">100*B14/SUM(B$2:B$202)</f>
        <v>6.2439024917086E-005</v>
      </c>
      <c r="E14" s="1" t="e">
        <f aca="false">D14+E13</f>
        <v>#VALUE!</v>
      </c>
    </row>
    <row r="15" customFormat="false" ht="13.8" hidden="false" customHeight="false" outlineLevel="0" collapsed="false">
      <c r="A15" s="1" t="n">
        <f aca="false">1+A14</f>
        <v>-87</v>
      </c>
      <c r="B15" s="1" t="n">
        <v>132</v>
      </c>
      <c r="C15" s="1" t="n">
        <v>2.27273</v>
      </c>
      <c r="D15" s="1" t="n">
        <f aca="false">100*B15/SUM(B$2:B$202)</f>
        <v>0.00011137772012237</v>
      </c>
      <c r="E15" s="1" t="e">
        <f aca="false">D15+E14</f>
        <v>#VALUE!</v>
      </c>
    </row>
    <row r="16" customFormat="false" ht="13.8" hidden="false" customHeight="false" outlineLevel="0" collapsed="false">
      <c r="A16" s="1" t="n">
        <f aca="false">1+A15</f>
        <v>-86</v>
      </c>
      <c r="B16" s="1" t="n">
        <v>95</v>
      </c>
      <c r="C16" s="1" t="n">
        <v>9.47368</v>
      </c>
      <c r="D16" s="1" t="n">
        <f aca="false">100*B16/SUM(B$2:B$202)</f>
        <v>8.01582076638267E-005</v>
      </c>
      <c r="E16" s="1" t="e">
        <f aca="false">D16+E15</f>
        <v>#VALUE!</v>
      </c>
    </row>
    <row r="17" customFormat="false" ht="13.8" hidden="false" customHeight="false" outlineLevel="0" collapsed="false">
      <c r="A17" s="1" t="n">
        <f aca="false">1+A16</f>
        <v>-85</v>
      </c>
      <c r="B17" s="1" t="n">
        <v>115</v>
      </c>
      <c r="C17" s="1" t="n">
        <v>3.47826</v>
      </c>
      <c r="D17" s="1" t="n">
        <f aca="false">100*B17/SUM(B$2:B$202)</f>
        <v>9.70336198035797E-005</v>
      </c>
      <c r="E17" s="1" t="e">
        <f aca="false">D17+E16</f>
        <v>#VALUE!</v>
      </c>
    </row>
    <row r="18" customFormat="false" ht="13.8" hidden="false" customHeight="false" outlineLevel="0" collapsed="false">
      <c r="A18" s="1" t="n">
        <f aca="false">1+A17</f>
        <v>-84</v>
      </c>
      <c r="B18" s="1" t="n">
        <v>98</v>
      </c>
      <c r="C18" s="1" t="n">
        <v>7.14286</v>
      </c>
      <c r="D18" s="1" t="n">
        <f aca="false">100*B18/SUM(B$2:B$202)</f>
        <v>8.26895194847896E-005</v>
      </c>
      <c r="E18" s="1" t="e">
        <f aca="false">D18+E17</f>
        <v>#VALUE!</v>
      </c>
    </row>
    <row r="19" customFormat="false" ht="13.8" hidden="false" customHeight="false" outlineLevel="0" collapsed="false">
      <c r="A19" s="1" t="n">
        <f aca="false">1+A18</f>
        <v>-83</v>
      </c>
      <c r="B19" s="1" t="n">
        <v>108</v>
      </c>
      <c r="C19" s="1" t="n">
        <v>8.33333</v>
      </c>
      <c r="D19" s="1" t="n">
        <f aca="false">100*B19/SUM(B$2:B$202)</f>
        <v>9.11272255546661E-005</v>
      </c>
      <c r="E19" s="1" t="e">
        <f aca="false">D19+E18</f>
        <v>#VALUE!</v>
      </c>
    </row>
    <row r="20" customFormat="false" ht="13.8" hidden="false" customHeight="false" outlineLevel="0" collapsed="false">
      <c r="A20" s="1" t="n">
        <f aca="false">1+A19</f>
        <v>-82</v>
      </c>
      <c r="B20" s="1" t="n">
        <v>79</v>
      </c>
      <c r="C20" s="1" t="n">
        <v>5.06329</v>
      </c>
      <c r="D20" s="1" t="n">
        <f aca="false">100*B20/SUM(B$2:B$202)</f>
        <v>6.66578779520243E-005</v>
      </c>
      <c r="E20" s="1" t="e">
        <f aca="false">D20+E19</f>
        <v>#VALUE!</v>
      </c>
    </row>
    <row r="21" customFormat="false" ht="13.8" hidden="false" customHeight="false" outlineLevel="0" collapsed="false">
      <c r="A21" s="1" t="n">
        <f aca="false">1+A20</f>
        <v>-81</v>
      </c>
      <c r="B21" s="1" t="n">
        <v>94</v>
      </c>
      <c r="C21" s="1" t="n">
        <v>6.38298</v>
      </c>
      <c r="D21" s="1" t="n">
        <f aca="false">100*B21/SUM(B$2:B$202)</f>
        <v>7.9314437056839E-005</v>
      </c>
      <c r="E21" s="1" t="e">
        <f aca="false">D21+E20</f>
        <v>#VALUE!</v>
      </c>
    </row>
    <row r="22" customFormat="false" ht="13.8" hidden="false" customHeight="false" outlineLevel="0" collapsed="false">
      <c r="A22" s="1" t="n">
        <f aca="false">1+A21</f>
        <v>-80</v>
      </c>
      <c r="B22" s="1" t="n">
        <v>111</v>
      </c>
      <c r="C22" s="1" t="n">
        <v>5.40541</v>
      </c>
      <c r="D22" s="1" t="n">
        <f aca="false">100*B22/SUM(B$2:B$202)</f>
        <v>9.36585373756291E-005</v>
      </c>
      <c r="E22" s="1" t="e">
        <f aca="false">D22+E21</f>
        <v>#VALUE!</v>
      </c>
    </row>
    <row r="23" customFormat="false" ht="13.8" hidden="false" customHeight="false" outlineLevel="0" collapsed="false">
      <c r="A23" s="1" t="n">
        <f aca="false">1+A22</f>
        <v>-79</v>
      </c>
      <c r="B23" s="1" t="n">
        <v>129</v>
      </c>
      <c r="C23" s="1" t="n">
        <v>4.65116</v>
      </c>
      <c r="D23" s="1" t="n">
        <f aca="false">100*B23/SUM(B$2:B$202)</f>
        <v>0.000108846408301407</v>
      </c>
      <c r="E23" s="1" t="e">
        <f aca="false">D23+E22</f>
        <v>#VALUE!</v>
      </c>
    </row>
    <row r="24" customFormat="false" ht="13.8" hidden="false" customHeight="false" outlineLevel="0" collapsed="false">
      <c r="A24" s="1" t="n">
        <f aca="false">1+A23</f>
        <v>-78</v>
      </c>
      <c r="B24" s="1" t="n">
        <v>142</v>
      </c>
      <c r="C24" s="1" t="n">
        <v>7.04225</v>
      </c>
      <c r="D24" s="1" t="n">
        <f aca="false">100*B24/SUM(B$2:B$202)</f>
        <v>0.000119815426192246</v>
      </c>
      <c r="E24" s="1" t="e">
        <f aca="false">D24+E23</f>
        <v>#VALUE!</v>
      </c>
    </row>
    <row r="25" customFormat="false" ht="13.8" hidden="false" customHeight="false" outlineLevel="0" collapsed="false">
      <c r="A25" s="1" t="n">
        <f aca="false">1+A24</f>
        <v>-77</v>
      </c>
      <c r="B25" s="1" t="n">
        <v>168</v>
      </c>
      <c r="C25" s="1" t="n">
        <v>3.57143</v>
      </c>
      <c r="D25" s="1" t="n">
        <f aca="false">100*B25/SUM(B$2:B$202)</f>
        <v>0.000141753461973925</v>
      </c>
      <c r="E25" s="1" t="e">
        <f aca="false">D25+E24</f>
        <v>#VALUE!</v>
      </c>
    </row>
    <row r="26" customFormat="false" ht="13.8" hidden="false" customHeight="false" outlineLevel="0" collapsed="false">
      <c r="A26" s="1" t="n">
        <f aca="false">1+A25</f>
        <v>-76</v>
      </c>
      <c r="B26" s="1" t="n">
        <v>132</v>
      </c>
      <c r="C26" s="1" t="n">
        <v>7.57576</v>
      </c>
      <c r="D26" s="1" t="n">
        <f aca="false">100*B26/SUM(B$2:B$202)</f>
        <v>0.00011137772012237</v>
      </c>
      <c r="E26" s="1" t="e">
        <f aca="false">D26+E25</f>
        <v>#VALUE!</v>
      </c>
    </row>
    <row r="27" customFormat="false" ht="13.8" hidden="false" customHeight="false" outlineLevel="0" collapsed="false">
      <c r="A27" s="1" t="n">
        <f aca="false">1+A26</f>
        <v>-75</v>
      </c>
      <c r="B27" s="1" t="n">
        <v>207</v>
      </c>
      <c r="C27" s="1" t="n">
        <v>7.24638</v>
      </c>
      <c r="D27" s="1" t="n">
        <f aca="false">100*B27/SUM(B$2:B$202)</f>
        <v>0.000174660515646443</v>
      </c>
      <c r="E27" s="1" t="e">
        <f aca="false">D27+E26</f>
        <v>#VALUE!</v>
      </c>
    </row>
    <row r="28" customFormat="false" ht="13.8" hidden="false" customHeight="false" outlineLevel="0" collapsed="false">
      <c r="A28" s="1" t="n">
        <f aca="false">1+A27</f>
        <v>-74</v>
      </c>
      <c r="B28" s="1" t="n">
        <v>152</v>
      </c>
      <c r="C28" s="1" t="n">
        <v>5.26316</v>
      </c>
      <c r="D28" s="1" t="n">
        <f aca="false">100*B28/SUM(B$2:B$202)</f>
        <v>0.000128253132262123</v>
      </c>
      <c r="E28" s="1" t="e">
        <f aca="false">D28+E27</f>
        <v>#VALUE!</v>
      </c>
    </row>
    <row r="29" customFormat="false" ht="13.8" hidden="false" customHeight="false" outlineLevel="0" collapsed="false">
      <c r="A29" s="1" t="n">
        <f aca="false">1+A28</f>
        <v>-73</v>
      </c>
      <c r="B29" s="1" t="n">
        <v>114</v>
      </c>
      <c r="C29" s="1" t="n">
        <v>7.89474</v>
      </c>
      <c r="D29" s="1" t="n">
        <f aca="false">100*B29/SUM(B$2:B$202)</f>
        <v>9.6189849196592E-005</v>
      </c>
      <c r="E29" s="1" t="e">
        <f aca="false">D29+E28</f>
        <v>#VALUE!</v>
      </c>
    </row>
    <row r="30" customFormat="false" ht="13.8" hidden="false" customHeight="false" outlineLevel="0" collapsed="false">
      <c r="A30" s="1" t="n">
        <f aca="false">1+A29</f>
        <v>-72</v>
      </c>
      <c r="B30" s="1" t="n">
        <v>140</v>
      </c>
      <c r="C30" s="1" t="n">
        <v>7.14286</v>
      </c>
      <c r="D30" s="1" t="n">
        <f aca="false">100*B30/SUM(B$2:B$202)</f>
        <v>0.000118127884978271</v>
      </c>
      <c r="E30" s="1" t="e">
        <f aca="false">D30+E29</f>
        <v>#VALUE!</v>
      </c>
    </row>
    <row r="31" customFormat="false" ht="13.8" hidden="false" customHeight="false" outlineLevel="0" collapsed="false">
      <c r="A31" s="1" t="n">
        <f aca="false">1+A30</f>
        <v>-71</v>
      </c>
      <c r="B31" s="1" t="n">
        <v>172</v>
      </c>
      <c r="C31" s="1" t="n">
        <v>8.13953</v>
      </c>
      <c r="D31" s="1" t="n">
        <f aca="false">100*B31/SUM(B$2:B$202)</f>
        <v>0.000145128544401876</v>
      </c>
      <c r="E31" s="1" t="e">
        <f aca="false">D31+E30</f>
        <v>#VALUE!</v>
      </c>
    </row>
    <row r="32" customFormat="false" ht="13.8" hidden="false" customHeight="false" outlineLevel="0" collapsed="false">
      <c r="A32" s="1" t="n">
        <f aca="false">1+A31</f>
        <v>-70</v>
      </c>
      <c r="B32" s="1" t="n">
        <v>186</v>
      </c>
      <c r="C32" s="1" t="n">
        <v>6.98925</v>
      </c>
      <c r="D32" s="1" t="n">
        <f aca="false">100*B32/SUM(B$2:B$202)</f>
        <v>0.000156941332899703</v>
      </c>
      <c r="E32" s="1" t="e">
        <f aca="false">D32+E31</f>
        <v>#VALUE!</v>
      </c>
    </row>
    <row r="33" customFormat="false" ht="13.8" hidden="false" customHeight="false" outlineLevel="0" collapsed="false">
      <c r="A33" s="1" t="n">
        <f aca="false">1+A32</f>
        <v>-69</v>
      </c>
      <c r="B33" s="1" t="n">
        <v>213</v>
      </c>
      <c r="C33" s="1" t="n">
        <v>11.2676</v>
      </c>
      <c r="D33" s="1" t="n">
        <f aca="false">100*B33/SUM(B$2:B$202)</f>
        <v>0.000179723139288369</v>
      </c>
      <c r="E33" s="1" t="e">
        <f aca="false">D33+E32</f>
        <v>#VALUE!</v>
      </c>
    </row>
    <row r="34" customFormat="false" ht="13.8" hidden="false" customHeight="false" outlineLevel="0" collapsed="false">
      <c r="A34" s="1" t="n">
        <f aca="false">1+A33</f>
        <v>-68</v>
      </c>
      <c r="B34" s="1" t="n">
        <v>197</v>
      </c>
      <c r="C34" s="1" t="n">
        <v>11.1675</v>
      </c>
      <c r="D34" s="1" t="n">
        <f aca="false">100*B34/SUM(B$2:B$202)</f>
        <v>0.000166222809576567</v>
      </c>
      <c r="E34" s="1" t="e">
        <f aca="false">D34+E33</f>
        <v>#VALUE!</v>
      </c>
    </row>
    <row r="35" customFormat="false" ht="13.8" hidden="false" customHeight="false" outlineLevel="0" collapsed="false">
      <c r="A35" s="1" t="n">
        <f aca="false">1+A34</f>
        <v>-67</v>
      </c>
      <c r="B35" s="1" t="n">
        <v>241</v>
      </c>
      <c r="C35" s="1" t="n">
        <v>8.29876</v>
      </c>
      <c r="D35" s="1" t="n">
        <f aca="false">100*B35/SUM(B$2:B$202)</f>
        <v>0.000203348716284023</v>
      </c>
      <c r="E35" s="1" t="e">
        <f aca="false">D35+E34</f>
        <v>#VALUE!</v>
      </c>
    </row>
    <row r="36" customFormat="false" ht="13.8" hidden="false" customHeight="false" outlineLevel="0" collapsed="false">
      <c r="A36" s="1" t="n">
        <f aca="false">1+A35</f>
        <v>-66</v>
      </c>
      <c r="B36" s="1" t="n">
        <v>384</v>
      </c>
      <c r="C36" s="1" t="n">
        <v>5.46875</v>
      </c>
      <c r="D36" s="1" t="n">
        <f aca="false">100*B36/SUM(B$2:B$202)</f>
        <v>0.000324007913083257</v>
      </c>
      <c r="E36" s="1" t="e">
        <f aca="false">D36+E35</f>
        <v>#VALUE!</v>
      </c>
    </row>
    <row r="37" customFormat="false" ht="13.8" hidden="false" customHeight="false" outlineLevel="0" collapsed="false">
      <c r="A37" s="1" t="n">
        <f aca="false">1+A36</f>
        <v>-65</v>
      </c>
      <c r="B37" s="1" t="n">
        <v>263</v>
      </c>
      <c r="C37" s="1" t="n">
        <v>7.60456</v>
      </c>
      <c r="D37" s="1" t="n">
        <f aca="false">100*B37/SUM(B$2:B$202)</f>
        <v>0.000221911669637752</v>
      </c>
      <c r="E37" s="1" t="e">
        <f aca="false">D37+E36</f>
        <v>#VALUE!</v>
      </c>
    </row>
    <row r="38" customFormat="false" ht="13.8" hidden="false" customHeight="false" outlineLevel="0" collapsed="false">
      <c r="A38" s="1" t="n">
        <f aca="false">1+A37</f>
        <v>-64</v>
      </c>
      <c r="B38" s="1" t="n">
        <v>362</v>
      </c>
      <c r="C38" s="1" t="n">
        <v>4.41989</v>
      </c>
      <c r="D38" s="1" t="n">
        <f aca="false">100*B38/SUM(B$2:B$202)</f>
        <v>0.000305444959729529</v>
      </c>
      <c r="E38" s="1" t="e">
        <f aca="false">D38+E37</f>
        <v>#VALUE!</v>
      </c>
    </row>
    <row r="39" customFormat="false" ht="13.8" hidden="false" customHeight="false" outlineLevel="0" collapsed="false">
      <c r="A39" s="1" t="n">
        <f aca="false">1+A38</f>
        <v>-63</v>
      </c>
      <c r="B39" s="1" t="n">
        <v>351</v>
      </c>
      <c r="C39" s="1" t="n">
        <v>3.7037</v>
      </c>
      <c r="D39" s="1" t="n">
        <f aca="false">100*B39/SUM(B$2:B$202)</f>
        <v>0.000296163483052665</v>
      </c>
      <c r="E39" s="1" t="e">
        <f aca="false">D39+E38</f>
        <v>#VALUE!</v>
      </c>
    </row>
    <row r="40" customFormat="false" ht="13.8" hidden="false" customHeight="false" outlineLevel="0" collapsed="false">
      <c r="A40" s="1" t="n">
        <f aca="false">1+A39</f>
        <v>-62</v>
      </c>
      <c r="B40" s="1" t="n">
        <v>373</v>
      </c>
      <c r="C40" s="1" t="n">
        <v>5.09383</v>
      </c>
      <c r="D40" s="1" t="n">
        <f aca="false">100*B40/SUM(B$2:B$202)</f>
        <v>0.000314726436406393</v>
      </c>
      <c r="E40" s="1" t="e">
        <f aca="false">D40+E39</f>
        <v>#VALUE!</v>
      </c>
    </row>
    <row r="41" customFormat="false" ht="13.8" hidden="false" customHeight="false" outlineLevel="0" collapsed="false">
      <c r="A41" s="1" t="n">
        <f aca="false">1+A40</f>
        <v>-61</v>
      </c>
      <c r="B41" s="1" t="n">
        <v>408</v>
      </c>
      <c r="C41" s="1" t="n">
        <v>4.90196</v>
      </c>
      <c r="D41" s="1" t="n">
        <f aca="false">100*B41/SUM(B$2:B$202)</f>
        <v>0.000344258407650961</v>
      </c>
      <c r="E41" s="1" t="e">
        <f aca="false">D41+E40</f>
        <v>#VALUE!</v>
      </c>
    </row>
    <row r="42" customFormat="false" ht="13.8" hidden="false" customHeight="false" outlineLevel="0" collapsed="false">
      <c r="A42" s="1" t="n">
        <f aca="false">1+A41</f>
        <v>-60</v>
      </c>
      <c r="B42" s="1" t="n">
        <v>400</v>
      </c>
      <c r="C42" s="1" t="n">
        <v>6</v>
      </c>
      <c r="D42" s="1" t="n">
        <f aca="false">100*B42/SUM(B$2:B$202)</f>
        <v>0.00033750824279506</v>
      </c>
      <c r="E42" s="1" t="e">
        <f aca="false">D42+E41</f>
        <v>#VALUE!</v>
      </c>
    </row>
    <row r="43" customFormat="false" ht="13.8" hidden="false" customHeight="false" outlineLevel="0" collapsed="false">
      <c r="A43" s="1" t="n">
        <f aca="false">1+A42</f>
        <v>-59</v>
      </c>
      <c r="B43" s="1" t="n">
        <v>413</v>
      </c>
      <c r="C43" s="1" t="n">
        <v>7.50605</v>
      </c>
      <c r="D43" s="1" t="n">
        <f aca="false">100*B43/SUM(B$2:B$202)</f>
        <v>0.000348477260685899</v>
      </c>
      <c r="E43" s="1" t="e">
        <f aca="false">D43+E42</f>
        <v>#VALUE!</v>
      </c>
    </row>
    <row r="44" customFormat="false" ht="13.8" hidden="false" customHeight="false" outlineLevel="0" collapsed="false">
      <c r="A44" s="1" t="n">
        <f aca="false">1+A43</f>
        <v>-58</v>
      </c>
      <c r="B44" s="1" t="n">
        <v>351</v>
      </c>
      <c r="C44" s="1" t="n">
        <v>4.8433</v>
      </c>
      <c r="D44" s="1" t="n">
        <f aca="false">100*B44/SUM(B$2:B$202)</f>
        <v>0.000296163483052665</v>
      </c>
      <c r="E44" s="1" t="e">
        <f aca="false">D44+E43</f>
        <v>#VALUE!</v>
      </c>
    </row>
    <row r="45" customFormat="false" ht="13.8" hidden="false" customHeight="false" outlineLevel="0" collapsed="false">
      <c r="A45" s="1" t="n">
        <f aca="false">1+A44</f>
        <v>-57</v>
      </c>
      <c r="B45" s="1" t="n">
        <v>337</v>
      </c>
      <c r="C45" s="1" t="n">
        <v>5.04451</v>
      </c>
      <c r="D45" s="1" t="n">
        <f aca="false">100*B45/SUM(B$2:B$202)</f>
        <v>0.000284350694554838</v>
      </c>
      <c r="E45" s="1" t="e">
        <f aca="false">D45+E44</f>
        <v>#VALUE!</v>
      </c>
    </row>
    <row r="46" customFormat="false" ht="13.8" hidden="false" customHeight="false" outlineLevel="0" collapsed="false">
      <c r="A46" s="1" t="n">
        <f aca="false">1+A45</f>
        <v>-56</v>
      </c>
      <c r="B46" s="1" t="n">
        <v>387</v>
      </c>
      <c r="C46" s="1" t="n">
        <v>3.61757</v>
      </c>
      <c r="D46" s="1" t="n">
        <f aca="false">100*B46/SUM(B$2:B$202)</f>
        <v>0.00032653922490422</v>
      </c>
      <c r="E46" s="1" t="e">
        <f aca="false">D46+E45</f>
        <v>#VALUE!</v>
      </c>
    </row>
    <row r="47" customFormat="false" ht="13.8" hidden="false" customHeight="false" outlineLevel="0" collapsed="false">
      <c r="A47" s="1" t="n">
        <f aca="false">1+A46</f>
        <v>-55</v>
      </c>
      <c r="B47" s="1" t="n">
        <v>434</v>
      </c>
      <c r="C47" s="1" t="n">
        <v>4.14747</v>
      </c>
      <c r="D47" s="1" t="n">
        <f aca="false">100*B47/SUM(B$2:B$202)</f>
        <v>0.00036619644343264</v>
      </c>
      <c r="E47" s="1" t="e">
        <f aca="false">D47+E46</f>
        <v>#VALUE!</v>
      </c>
    </row>
    <row r="48" customFormat="false" ht="13.8" hidden="false" customHeight="false" outlineLevel="0" collapsed="false">
      <c r="A48" s="1" t="n">
        <f aca="false">1+A47</f>
        <v>-54</v>
      </c>
      <c r="B48" s="1" t="n">
        <v>487</v>
      </c>
      <c r="C48" s="1" t="n">
        <v>5.54415</v>
      </c>
      <c r="D48" s="1" t="n">
        <f aca="false">100*B48/SUM(B$2:B$202)</f>
        <v>0.000410916285602985</v>
      </c>
      <c r="E48" s="1" t="e">
        <f aca="false">D48+E47</f>
        <v>#VALUE!</v>
      </c>
    </row>
    <row r="49" customFormat="false" ht="13.8" hidden="false" customHeight="false" outlineLevel="0" collapsed="false">
      <c r="A49" s="1" t="n">
        <f aca="false">1+A48</f>
        <v>-53</v>
      </c>
      <c r="B49" s="1" t="n">
        <v>395</v>
      </c>
      <c r="C49" s="1" t="n">
        <v>4.81013</v>
      </c>
      <c r="D49" s="1" t="n">
        <f aca="false">100*B49/SUM(B$2:B$202)</f>
        <v>0.000333289389760121</v>
      </c>
      <c r="E49" s="1" t="e">
        <f aca="false">D49+E48</f>
        <v>#VALUE!</v>
      </c>
    </row>
    <row r="50" customFormat="false" ht="13.8" hidden="false" customHeight="false" outlineLevel="0" collapsed="false">
      <c r="A50" s="1" t="n">
        <f aca="false">1+A49</f>
        <v>-52</v>
      </c>
      <c r="B50" s="1" t="n">
        <v>480</v>
      </c>
      <c r="C50" s="1" t="n">
        <v>4.375</v>
      </c>
      <c r="D50" s="1" t="n">
        <f aca="false">100*B50/SUM(B$2:B$202)</f>
        <v>0.000405009891354072</v>
      </c>
      <c r="E50" s="1" t="e">
        <f aca="false">D50+E49</f>
        <v>#VALUE!</v>
      </c>
    </row>
    <row r="51" customFormat="false" ht="13.8" hidden="false" customHeight="false" outlineLevel="0" collapsed="false">
      <c r="A51" s="1" t="n">
        <f aca="false">1+A50</f>
        <v>-51</v>
      </c>
      <c r="B51" s="1" t="n">
        <v>412</v>
      </c>
      <c r="C51" s="1" t="n">
        <v>6.06796</v>
      </c>
      <c r="D51" s="1" t="n">
        <f aca="false">100*B51/SUM(B$2:B$202)</f>
        <v>0.000347633490078911</v>
      </c>
      <c r="E51" s="1" t="e">
        <f aca="false">D51+E50</f>
        <v>#VALUE!</v>
      </c>
    </row>
    <row r="52" customFormat="false" ht="13.8" hidden="false" customHeight="false" outlineLevel="0" collapsed="false">
      <c r="A52" s="1" t="n">
        <f aca="false">1+A51</f>
        <v>-50</v>
      </c>
      <c r="B52" s="1" t="n">
        <v>562</v>
      </c>
      <c r="C52" s="1" t="n">
        <v>4.4484</v>
      </c>
      <c r="D52" s="1" t="n">
        <f aca="false">100*B52/SUM(B$2:B$202)</f>
        <v>0.000474199081127059</v>
      </c>
      <c r="E52" s="1" t="e">
        <f aca="false">D52+E51</f>
        <v>#VALUE!</v>
      </c>
    </row>
    <row r="53" customFormat="false" ht="13.8" hidden="false" customHeight="false" outlineLevel="0" collapsed="false">
      <c r="A53" s="1" t="n">
        <f aca="false">1+A52</f>
        <v>-49</v>
      </c>
      <c r="B53" s="1" t="n">
        <v>512</v>
      </c>
      <c r="C53" s="1" t="n">
        <v>4.6875</v>
      </c>
      <c r="D53" s="1" t="n">
        <f aca="false">100*B53/SUM(B$2:B$202)</f>
        <v>0.000432010550777676</v>
      </c>
      <c r="E53" s="1" t="e">
        <f aca="false">D53+E52</f>
        <v>#VALUE!</v>
      </c>
    </row>
    <row r="54" customFormat="false" ht="13.8" hidden="false" customHeight="false" outlineLevel="0" collapsed="false">
      <c r="A54" s="1" t="n">
        <f aca="false">1+A53</f>
        <v>-48</v>
      </c>
      <c r="B54" s="1" t="n">
        <v>524</v>
      </c>
      <c r="C54" s="1" t="n">
        <v>4.58015</v>
      </c>
      <c r="D54" s="1" t="n">
        <f aca="false">100*B54/SUM(B$2:B$202)</f>
        <v>0.000442135798061528</v>
      </c>
      <c r="E54" s="1" t="e">
        <f aca="false">D54+E53</f>
        <v>#VALUE!</v>
      </c>
    </row>
    <row r="55" customFormat="false" ht="13.8" hidden="false" customHeight="false" outlineLevel="0" collapsed="false">
      <c r="A55" s="1" t="n">
        <f aca="false">1+A54</f>
        <v>-47</v>
      </c>
      <c r="B55" s="1" t="n">
        <v>520</v>
      </c>
      <c r="C55" s="1" t="n">
        <v>3.65385</v>
      </c>
      <c r="D55" s="1" t="n">
        <f aca="false">100*B55/SUM(B$2:B$202)</f>
        <v>0.000438760715633578</v>
      </c>
      <c r="E55" s="1" t="e">
        <f aca="false">D55+E54</f>
        <v>#VALUE!</v>
      </c>
    </row>
    <row r="56" customFormat="false" ht="13.8" hidden="false" customHeight="false" outlineLevel="0" collapsed="false">
      <c r="A56" s="1" t="n">
        <f aca="false">1+A55</f>
        <v>-46</v>
      </c>
      <c r="B56" s="1" t="n">
        <v>663</v>
      </c>
      <c r="C56" s="1" t="n">
        <v>4.22323</v>
      </c>
      <c r="D56" s="1" t="n">
        <f aca="false">100*B56/SUM(B$2:B$202)</f>
        <v>0.000559419912432811</v>
      </c>
      <c r="E56" s="1" t="e">
        <f aca="false">D56+E55</f>
        <v>#VALUE!</v>
      </c>
    </row>
    <row r="57" customFormat="false" ht="13.8" hidden="false" customHeight="false" outlineLevel="0" collapsed="false">
      <c r="A57" s="1" t="n">
        <f aca="false">1+A56</f>
        <v>-45</v>
      </c>
      <c r="B57" s="1" t="n">
        <v>795</v>
      </c>
      <c r="C57" s="1" t="n">
        <v>3.27044</v>
      </c>
      <c r="D57" s="1" t="n">
        <f aca="false">100*B57/SUM(B$2:B$202)</f>
        <v>0.000670797632555181</v>
      </c>
      <c r="E57" s="1" t="e">
        <f aca="false">D57+E56</f>
        <v>#VALUE!</v>
      </c>
    </row>
    <row r="58" customFormat="false" ht="13.8" hidden="false" customHeight="false" outlineLevel="0" collapsed="false">
      <c r="A58" s="1" t="n">
        <f aca="false">1+A57</f>
        <v>-44</v>
      </c>
      <c r="B58" s="1" t="n">
        <v>815</v>
      </c>
      <c r="C58" s="1" t="n">
        <v>3.55828</v>
      </c>
      <c r="D58" s="1" t="n">
        <f aca="false">100*B58/SUM(B$2:B$202)</f>
        <v>0.000687673044694934</v>
      </c>
      <c r="E58" s="1" t="e">
        <f aca="false">D58+E57</f>
        <v>#VALUE!</v>
      </c>
    </row>
    <row r="59" customFormat="false" ht="13.8" hidden="false" customHeight="false" outlineLevel="0" collapsed="false">
      <c r="A59" s="1" t="n">
        <f aca="false">1+A58</f>
        <v>-43</v>
      </c>
      <c r="B59" s="1" t="n">
        <v>876</v>
      </c>
      <c r="C59" s="1" t="n">
        <v>4.56621</v>
      </c>
      <c r="D59" s="1" t="n">
        <f aca="false">100*B59/SUM(B$2:B$202)</f>
        <v>0.000739143051721181</v>
      </c>
      <c r="E59" s="1" t="e">
        <f aca="false">D59+E58</f>
        <v>#VALUE!</v>
      </c>
    </row>
    <row r="60" customFormat="false" ht="13.8" hidden="false" customHeight="false" outlineLevel="0" collapsed="false">
      <c r="A60" s="1" t="n">
        <f aca="false">1+A59</f>
        <v>-42</v>
      </c>
      <c r="B60" s="1" t="n">
        <v>1193</v>
      </c>
      <c r="C60" s="1" t="n">
        <v>2.59849</v>
      </c>
      <c r="D60" s="1" t="n">
        <f aca="false">100*B60/SUM(B$2:B$202)</f>
        <v>0.00100661833413627</v>
      </c>
      <c r="E60" s="1" t="e">
        <f aca="false">D60+E59</f>
        <v>#VALUE!</v>
      </c>
    </row>
    <row r="61" customFormat="false" ht="13.8" hidden="false" customHeight="false" outlineLevel="0" collapsed="false">
      <c r="A61" s="1" t="n">
        <f aca="false">1+A60</f>
        <v>-41</v>
      </c>
      <c r="B61" s="1" t="n">
        <v>1229</v>
      </c>
      <c r="C61" s="1" t="n">
        <v>4.06835</v>
      </c>
      <c r="D61" s="1" t="n">
        <f aca="false">100*B61/SUM(B$2:B$202)</f>
        <v>0.00103699407598782</v>
      </c>
      <c r="E61" s="1" t="e">
        <f aca="false">D61+E60</f>
        <v>#VALUE!</v>
      </c>
    </row>
    <row r="62" customFormat="false" ht="13.8" hidden="false" customHeight="false" outlineLevel="0" collapsed="false">
      <c r="A62" s="1" t="n">
        <f aca="false">1+A61</f>
        <v>-40</v>
      </c>
      <c r="B62" s="1" t="n">
        <v>1323</v>
      </c>
      <c r="C62" s="1" t="n">
        <v>2.94785</v>
      </c>
      <c r="D62" s="1" t="n">
        <f aca="false">100*B62/SUM(B$2:B$202)</f>
        <v>0.00111630851304466</v>
      </c>
      <c r="E62" s="1" t="e">
        <f aca="false">D62+E61</f>
        <v>#VALUE!</v>
      </c>
    </row>
    <row r="63" customFormat="false" ht="13.8" hidden="false" customHeight="false" outlineLevel="0" collapsed="false">
      <c r="A63" s="1" t="n">
        <f aca="false">1+A62</f>
        <v>-39</v>
      </c>
      <c r="B63" s="1" t="n">
        <v>1535</v>
      </c>
      <c r="C63" s="1" t="n">
        <v>4.23453</v>
      </c>
      <c r="D63" s="1" t="n">
        <f aca="false">100*B63/SUM(B$2:B$202)</f>
        <v>0.00129518788172604</v>
      </c>
      <c r="E63" s="1" t="e">
        <f aca="false">D63+E62</f>
        <v>#VALUE!</v>
      </c>
    </row>
    <row r="64" customFormat="false" ht="13.8" hidden="false" customHeight="false" outlineLevel="0" collapsed="false">
      <c r="A64" s="1" t="n">
        <f aca="false">1+A63</f>
        <v>-38</v>
      </c>
      <c r="B64" s="1" t="n">
        <v>1634</v>
      </c>
      <c r="C64" s="1" t="n">
        <v>4.03917</v>
      </c>
      <c r="D64" s="1" t="n">
        <f aca="false">100*B64/SUM(B$2:B$202)</f>
        <v>0.00137872117181782</v>
      </c>
      <c r="E64" s="1" t="e">
        <f aca="false">D64+E63</f>
        <v>#VALUE!</v>
      </c>
    </row>
    <row r="65" customFormat="false" ht="13.8" hidden="false" customHeight="false" outlineLevel="0" collapsed="false">
      <c r="A65" s="1" t="n">
        <f aca="false">1+A64</f>
        <v>-37</v>
      </c>
      <c r="B65" s="1" t="n">
        <v>1942</v>
      </c>
      <c r="C65" s="1" t="n">
        <v>3.8105</v>
      </c>
      <c r="D65" s="1" t="n">
        <f aca="false">100*B65/SUM(B$2:B$202)</f>
        <v>0.00163860251877001</v>
      </c>
      <c r="E65" s="1" t="e">
        <f aca="false">D65+E64</f>
        <v>#VALUE!</v>
      </c>
    </row>
    <row r="66" customFormat="false" ht="13.8" hidden="false" customHeight="false" outlineLevel="0" collapsed="false">
      <c r="A66" s="1" t="n">
        <f aca="false">1+A65</f>
        <v>-36</v>
      </c>
      <c r="B66" s="1" t="n">
        <v>2334</v>
      </c>
      <c r="C66" s="1" t="n">
        <v>2.82776</v>
      </c>
      <c r="D66" s="1" t="n">
        <f aca="false">100*B66/SUM(B$2:B$202)</f>
        <v>0.00196936059670917</v>
      </c>
      <c r="E66" s="1" t="e">
        <f aca="false">D66+E65</f>
        <v>#VALUE!</v>
      </c>
    </row>
    <row r="67" customFormat="false" ht="13.8" hidden="false" customHeight="false" outlineLevel="0" collapsed="false">
      <c r="A67" s="1" t="n">
        <f aca="false">1+A66</f>
        <v>-35</v>
      </c>
      <c r="B67" s="1" t="n">
        <v>2883</v>
      </c>
      <c r="C67" s="1" t="n">
        <v>3.88484</v>
      </c>
      <c r="D67" s="1" t="n">
        <f aca="false">100*B67/SUM(B$2:B$202)</f>
        <v>0.00243259065994539</v>
      </c>
      <c r="E67" s="1" t="e">
        <f aca="false">D67+E66</f>
        <v>#VALUE!</v>
      </c>
    </row>
    <row r="68" customFormat="false" ht="13.8" hidden="false" customHeight="false" outlineLevel="0" collapsed="false">
      <c r="A68" s="1" t="n">
        <f aca="false">1+A67</f>
        <v>-34</v>
      </c>
      <c r="B68" s="1" t="n">
        <v>2658</v>
      </c>
      <c r="C68" s="1" t="n">
        <v>3.64936</v>
      </c>
      <c r="D68" s="1" t="n">
        <f aca="false">100*B68/SUM(B$2:B$202)</f>
        <v>0.00224274227337317</v>
      </c>
      <c r="E68" s="1" t="e">
        <f aca="false">D68+E67</f>
        <v>#VALUE!</v>
      </c>
    </row>
    <row r="69" customFormat="false" ht="13.8" hidden="false" customHeight="false" outlineLevel="0" collapsed="false">
      <c r="A69" s="1" t="n">
        <f aca="false">1+A68</f>
        <v>-33</v>
      </c>
      <c r="B69" s="1" t="n">
        <v>3118</v>
      </c>
      <c r="C69" s="1" t="n">
        <v>3.5279</v>
      </c>
      <c r="D69" s="1" t="n">
        <f aca="false">100*B69/SUM(B$2:B$202)</f>
        <v>0.00263087675258749</v>
      </c>
      <c r="E69" s="1" t="e">
        <f aca="false">D69+E68</f>
        <v>#VALUE!</v>
      </c>
    </row>
    <row r="70" customFormat="false" ht="13.8" hidden="false" customHeight="false" outlineLevel="0" collapsed="false">
      <c r="A70" s="1" t="n">
        <f aca="false">1+A69</f>
        <v>-32</v>
      </c>
      <c r="B70" s="1" t="n">
        <v>3691</v>
      </c>
      <c r="C70" s="1" t="n">
        <v>3.79301</v>
      </c>
      <c r="D70" s="1" t="n">
        <f aca="false">100*B70/SUM(B$2:B$202)</f>
        <v>0.00311435731039141</v>
      </c>
      <c r="E70" s="1" t="e">
        <f aca="false">D70+E69</f>
        <v>#VALUE!</v>
      </c>
    </row>
    <row r="71" customFormat="false" ht="13.8" hidden="false" customHeight="false" outlineLevel="0" collapsed="false">
      <c r="A71" s="1" t="n">
        <f aca="false">1+A70</f>
        <v>-31</v>
      </c>
      <c r="B71" s="1" t="n">
        <v>4039</v>
      </c>
      <c r="C71" s="1" t="n">
        <v>4.20896</v>
      </c>
      <c r="D71" s="1" t="n">
        <f aca="false">100*B71/SUM(B$2:B$202)</f>
        <v>0.00340798948162312</v>
      </c>
      <c r="E71" s="1" t="e">
        <f aca="false">D71+E70</f>
        <v>#VALUE!</v>
      </c>
    </row>
    <row r="72" customFormat="false" ht="13.8" hidden="false" customHeight="false" outlineLevel="0" collapsed="false">
      <c r="A72" s="1" t="n">
        <f aca="false">1+A71</f>
        <v>-30</v>
      </c>
      <c r="B72" s="1" t="n">
        <v>4682</v>
      </c>
      <c r="C72" s="1" t="n">
        <v>3.78044</v>
      </c>
      <c r="D72" s="1" t="n">
        <f aca="false">100*B72/SUM(B$2:B$202)</f>
        <v>0.00395053398191617</v>
      </c>
      <c r="E72" s="1" t="e">
        <f aca="false">D72+E71</f>
        <v>#VALUE!</v>
      </c>
    </row>
    <row r="73" customFormat="false" ht="13.8" hidden="false" customHeight="false" outlineLevel="0" collapsed="false">
      <c r="A73" s="1" t="n">
        <f aca="false">1+A72</f>
        <v>-29</v>
      </c>
      <c r="B73" s="1" t="n">
        <v>4682</v>
      </c>
      <c r="C73" s="1" t="n">
        <v>4.59205</v>
      </c>
      <c r="D73" s="1" t="n">
        <f aca="false">100*B73/SUM(B$2:B$202)</f>
        <v>0.00395053398191617</v>
      </c>
      <c r="E73" s="1" t="e">
        <f aca="false">D73+E72</f>
        <v>#VALUE!</v>
      </c>
    </row>
    <row r="74" customFormat="false" ht="13.8" hidden="false" customHeight="false" outlineLevel="0" collapsed="false">
      <c r="A74" s="1" t="n">
        <f aca="false">1+A73</f>
        <v>-28</v>
      </c>
      <c r="B74" s="1" t="n">
        <v>5670</v>
      </c>
      <c r="C74" s="1" t="n">
        <v>3.88007</v>
      </c>
      <c r="D74" s="1" t="n">
        <f aca="false">100*B74/SUM(B$2:B$202)</f>
        <v>0.00478417934161997</v>
      </c>
      <c r="E74" s="1" t="e">
        <f aca="false">D74+E73</f>
        <v>#VALUE!</v>
      </c>
    </row>
    <row r="75" customFormat="false" ht="13.8" hidden="false" customHeight="false" outlineLevel="0" collapsed="false">
      <c r="A75" s="1" t="n">
        <f aca="false">1+A74</f>
        <v>-27</v>
      </c>
      <c r="B75" s="1" t="n">
        <v>6722</v>
      </c>
      <c r="C75" s="1" t="n">
        <v>3.45135</v>
      </c>
      <c r="D75" s="1" t="n">
        <f aca="false">100*B75/SUM(B$2:B$202)</f>
        <v>0.00567182602017098</v>
      </c>
      <c r="E75" s="1" t="e">
        <f aca="false">D75+E74</f>
        <v>#VALUE!</v>
      </c>
    </row>
    <row r="76" customFormat="false" ht="13.8" hidden="false" customHeight="false" outlineLevel="0" collapsed="false">
      <c r="A76" s="1" t="n">
        <f aca="false">1+A75</f>
        <v>-26</v>
      </c>
      <c r="B76" s="1" t="n">
        <v>7525</v>
      </c>
      <c r="C76" s="1" t="n">
        <v>3.56146</v>
      </c>
      <c r="D76" s="1" t="n">
        <f aca="false">100*B76/SUM(B$2:B$202)</f>
        <v>0.00634937381758206</v>
      </c>
      <c r="E76" s="1" t="e">
        <f aca="false">D76+E75</f>
        <v>#VALUE!</v>
      </c>
    </row>
    <row r="77" customFormat="false" ht="13.8" hidden="false" customHeight="false" outlineLevel="0" collapsed="false">
      <c r="A77" s="1" t="n">
        <f aca="false">1+A76</f>
        <v>-25</v>
      </c>
      <c r="B77" s="1" t="n">
        <v>7911</v>
      </c>
      <c r="C77" s="1" t="n">
        <v>3.93123</v>
      </c>
      <c r="D77" s="1" t="n">
        <f aca="false">100*B77/SUM(B$2:B$202)</f>
        <v>0.00667506927187929</v>
      </c>
      <c r="E77" s="1" t="e">
        <f aca="false">D77+E76</f>
        <v>#VALUE!</v>
      </c>
    </row>
    <row r="78" customFormat="false" ht="13.8" hidden="false" customHeight="false" outlineLevel="0" collapsed="false">
      <c r="A78" s="1" t="n">
        <f aca="false">1+A77</f>
        <v>-24</v>
      </c>
      <c r="B78" s="1" t="n">
        <v>9248</v>
      </c>
      <c r="C78" s="1" t="n">
        <v>3.6981</v>
      </c>
      <c r="D78" s="1" t="n">
        <f aca="false">100*B78/SUM(B$2:B$202)</f>
        <v>0.00780319057342178</v>
      </c>
      <c r="E78" s="1" t="e">
        <f aca="false">D78+E77</f>
        <v>#VALUE!</v>
      </c>
    </row>
    <row r="79" customFormat="false" ht="13.8" hidden="false" customHeight="false" outlineLevel="0" collapsed="false">
      <c r="A79" s="1" t="n">
        <f aca="false">1+A78</f>
        <v>-23</v>
      </c>
      <c r="B79" s="1" t="n">
        <v>10190</v>
      </c>
      <c r="C79" s="1" t="n">
        <v>3.73896</v>
      </c>
      <c r="D79" s="1" t="n">
        <f aca="false">100*B79/SUM(B$2:B$202)</f>
        <v>0.00859802248520415</v>
      </c>
      <c r="E79" s="1" t="e">
        <f aca="false">D79+E78</f>
        <v>#VALUE!</v>
      </c>
    </row>
    <row r="80" customFormat="false" ht="13.8" hidden="false" customHeight="false" outlineLevel="0" collapsed="false">
      <c r="A80" s="1" t="n">
        <f aca="false">1+A79</f>
        <v>-22</v>
      </c>
      <c r="B80" s="1" t="n">
        <v>12759</v>
      </c>
      <c r="C80" s="1" t="n">
        <v>3.49557</v>
      </c>
      <c r="D80" s="1" t="n">
        <f aca="false">100*B80/SUM(B$2:B$202)</f>
        <v>0.0107656691745554</v>
      </c>
      <c r="E80" s="1" t="e">
        <f aca="false">D80+E79</f>
        <v>#VALUE!</v>
      </c>
    </row>
    <row r="81" customFormat="false" ht="13.8" hidden="false" customHeight="false" outlineLevel="0" collapsed="false">
      <c r="A81" s="1" t="n">
        <f aca="false">1+A80</f>
        <v>-21</v>
      </c>
      <c r="B81" s="1" t="n">
        <v>13978</v>
      </c>
      <c r="C81" s="1" t="n">
        <v>3.82029</v>
      </c>
      <c r="D81" s="1" t="n">
        <f aca="false">100*B81/SUM(B$2:B$202)</f>
        <v>0.0117942255444734</v>
      </c>
      <c r="E81" s="1" t="e">
        <f aca="false">D81+E80</f>
        <v>#VALUE!</v>
      </c>
    </row>
    <row r="82" customFormat="false" ht="13.8" hidden="false" customHeight="false" outlineLevel="0" collapsed="false">
      <c r="A82" s="1" t="n">
        <f aca="false">1+A81</f>
        <v>-20</v>
      </c>
      <c r="B82" s="1" t="n">
        <v>15169</v>
      </c>
      <c r="C82" s="1" t="n">
        <v>3.45441</v>
      </c>
      <c r="D82" s="1" t="n">
        <f aca="false">100*B82/SUM(B$2:B$202)</f>
        <v>0.0127991563373957</v>
      </c>
      <c r="E82" s="1" t="e">
        <f aca="false">D82+E81</f>
        <v>#VALUE!</v>
      </c>
    </row>
    <row r="83" customFormat="false" ht="13.8" hidden="false" customHeight="false" outlineLevel="0" collapsed="false">
      <c r="A83" s="1" t="n">
        <f aca="false">1+A82</f>
        <v>-19</v>
      </c>
      <c r="B83" s="1" t="n">
        <v>17277</v>
      </c>
      <c r="C83" s="1" t="n">
        <v>3.8722</v>
      </c>
      <c r="D83" s="1" t="n">
        <f aca="false">100*B83/SUM(B$2:B$202)</f>
        <v>0.0145778247769256</v>
      </c>
      <c r="E83" s="1" t="e">
        <f aca="false">D83+E82</f>
        <v>#VALUE!</v>
      </c>
    </row>
    <row r="84" customFormat="false" ht="13.8" hidden="false" customHeight="false" outlineLevel="0" collapsed="false">
      <c r="A84" s="1" t="n">
        <f aca="false">1+A83</f>
        <v>-18</v>
      </c>
      <c r="B84" s="1" t="n">
        <v>19796</v>
      </c>
      <c r="C84" s="1" t="n">
        <v>3.71792</v>
      </c>
      <c r="D84" s="1" t="n">
        <f aca="false">100*B84/SUM(B$2:B$202)</f>
        <v>0.0167032829359275</v>
      </c>
      <c r="E84" s="1" t="e">
        <f aca="false">D84+E83</f>
        <v>#VALUE!</v>
      </c>
    </row>
    <row r="85" customFormat="false" ht="13.8" hidden="false" customHeight="false" outlineLevel="0" collapsed="false">
      <c r="A85" s="1" t="n">
        <f aca="false">1+A84</f>
        <v>-17</v>
      </c>
      <c r="B85" s="1" t="n">
        <v>24953</v>
      </c>
      <c r="C85" s="1" t="n">
        <v>3.57071</v>
      </c>
      <c r="D85" s="1" t="n">
        <f aca="false">100*B85/SUM(B$2:B$202)</f>
        <v>0.0210546079561628</v>
      </c>
      <c r="E85" s="1" t="e">
        <f aca="false">D85+E84</f>
        <v>#VALUE!</v>
      </c>
    </row>
    <row r="86" customFormat="false" ht="13.8" hidden="false" customHeight="false" outlineLevel="0" collapsed="false">
      <c r="A86" s="1" t="n">
        <f aca="false">1+A85</f>
        <v>-16</v>
      </c>
      <c r="B86" s="1" t="n">
        <v>28552</v>
      </c>
      <c r="C86" s="1" t="n">
        <v>3.57243</v>
      </c>
      <c r="D86" s="1" t="n">
        <f aca="false">100*B86/SUM(B$2:B$202)</f>
        <v>0.0240913383707114</v>
      </c>
      <c r="E86" s="1" t="e">
        <f aca="false">D86+E85</f>
        <v>#VALUE!</v>
      </c>
    </row>
    <row r="87" customFormat="false" ht="13.8" hidden="false" customHeight="false" outlineLevel="0" collapsed="false">
      <c r="A87" s="1" t="n">
        <f aca="false">1+A86</f>
        <v>-15</v>
      </c>
      <c r="B87" s="1" t="n">
        <v>32882</v>
      </c>
      <c r="C87" s="1" t="n">
        <v>3.8775</v>
      </c>
      <c r="D87" s="1" t="n">
        <f aca="false">100*B87/SUM(B$2:B$202)</f>
        <v>0.0277448650989679</v>
      </c>
      <c r="E87" s="1" t="e">
        <f aca="false">D87+E86</f>
        <v>#VALUE!</v>
      </c>
    </row>
    <row r="88" customFormat="false" ht="13.8" hidden="false" customHeight="false" outlineLevel="0" collapsed="false">
      <c r="A88" s="1" t="n">
        <f aca="false">1+A87</f>
        <v>-14</v>
      </c>
      <c r="B88" s="1" t="n">
        <v>39030</v>
      </c>
      <c r="C88" s="1" t="n">
        <v>3.81758</v>
      </c>
      <c r="D88" s="1" t="n">
        <f aca="false">100*B88/SUM(B$2:B$202)</f>
        <v>0.0329323667907279</v>
      </c>
      <c r="E88" s="1" t="e">
        <f aca="false">D88+E87</f>
        <v>#VALUE!</v>
      </c>
    </row>
    <row r="89" customFormat="false" ht="13.8" hidden="false" customHeight="false" outlineLevel="0" collapsed="false">
      <c r="A89" s="1" t="n">
        <f aca="false">1+A88</f>
        <v>-13</v>
      </c>
      <c r="B89" s="1" t="n">
        <v>46176</v>
      </c>
      <c r="C89" s="1" t="n">
        <v>3.98692</v>
      </c>
      <c r="D89" s="1" t="n">
        <f aca="false">100*B89/SUM(B$2:B$202)</f>
        <v>0.0389619515482617</v>
      </c>
      <c r="E89" s="1" t="e">
        <f aca="false">D89+E88</f>
        <v>#VALUE!</v>
      </c>
    </row>
    <row r="90" customFormat="false" ht="13.8" hidden="false" customHeight="false" outlineLevel="0" collapsed="false">
      <c r="A90" s="1" t="n">
        <f aca="false">1+A89</f>
        <v>-12</v>
      </c>
      <c r="B90" s="1" t="n">
        <v>61702</v>
      </c>
      <c r="C90" s="1" t="n">
        <v>3.99339</v>
      </c>
      <c r="D90" s="1" t="n">
        <f aca="false">100*B90/SUM(B$2:B$202)</f>
        <v>0.0520623339923519</v>
      </c>
      <c r="E90" s="1" t="e">
        <f aca="false">D90+E89</f>
        <v>#VALUE!</v>
      </c>
    </row>
    <row r="91" customFormat="false" ht="13.8" hidden="false" customHeight="false" outlineLevel="0" collapsed="false">
      <c r="A91" s="1" t="n">
        <f aca="false">1+A90</f>
        <v>-11</v>
      </c>
      <c r="B91" s="1" t="n">
        <v>72851</v>
      </c>
      <c r="C91" s="1" t="n">
        <v>4.36919</v>
      </c>
      <c r="D91" s="1" t="n">
        <f aca="false">100*B91/SUM(B$2:B$202)</f>
        <v>0.0614695324896572</v>
      </c>
      <c r="E91" s="1" t="e">
        <f aca="false">D91+E90</f>
        <v>#VALUE!</v>
      </c>
    </row>
    <row r="92" customFormat="false" ht="13.8" hidden="false" customHeight="false" outlineLevel="0" collapsed="false">
      <c r="A92" s="1" t="n">
        <f aca="false">1+A91</f>
        <v>-10</v>
      </c>
      <c r="B92" s="1" t="n">
        <v>92711</v>
      </c>
      <c r="C92" s="1" t="n">
        <v>4.49893</v>
      </c>
      <c r="D92" s="1" t="n">
        <f aca="false">100*B92/SUM(B$2:B$202)</f>
        <v>0.0782268167444319</v>
      </c>
      <c r="E92" s="1" t="e">
        <f aca="false">D92+E91</f>
        <v>#VALUE!</v>
      </c>
    </row>
    <row r="93" customFormat="false" ht="13.8" hidden="false" customHeight="false" outlineLevel="0" collapsed="false">
      <c r="A93" s="1" t="n">
        <f aca="false">1+A92</f>
        <v>-9</v>
      </c>
      <c r="B93" s="1" t="n">
        <v>112023</v>
      </c>
      <c r="C93" s="1" t="n">
        <v>4.66779</v>
      </c>
      <c r="D93" s="1" t="n">
        <f aca="false">100*B93/SUM(B$2:B$202)</f>
        <v>0.0945217147065774</v>
      </c>
      <c r="E93" s="1" t="e">
        <f aca="false">D93+E92</f>
        <v>#VALUE!</v>
      </c>
    </row>
    <row r="94" customFormat="false" ht="13.8" hidden="false" customHeight="false" outlineLevel="0" collapsed="false">
      <c r="A94" s="1" t="n">
        <f aca="false">1+A93</f>
        <v>-8</v>
      </c>
      <c r="B94" s="1" t="n">
        <v>141427</v>
      </c>
      <c r="C94" s="1" t="n">
        <v>4.835</v>
      </c>
      <c r="D94" s="1" t="n">
        <f aca="false">100*B94/SUM(B$2:B$202)</f>
        <v>0.119331945634442</v>
      </c>
      <c r="E94" s="1" t="e">
        <f aca="false">D94+E93</f>
        <v>#VALUE!</v>
      </c>
    </row>
    <row r="95" customFormat="false" ht="13.8" hidden="false" customHeight="false" outlineLevel="0" collapsed="false">
      <c r="A95" s="1" t="n">
        <f aca="false">1+A94</f>
        <v>-7</v>
      </c>
      <c r="B95" s="1" t="n">
        <v>206430</v>
      </c>
      <c r="C95" s="1" t="n">
        <v>4.9983</v>
      </c>
      <c r="D95" s="1" t="n">
        <f aca="false">100*B95/SUM(B$2:B$202)</f>
        <v>0.17417956640046</v>
      </c>
      <c r="E95" s="1" t="e">
        <f aca="false">D95+E94</f>
        <v>#VALUE!</v>
      </c>
    </row>
    <row r="96" customFormat="false" ht="13.8" hidden="false" customHeight="false" outlineLevel="0" collapsed="false">
      <c r="A96" s="1" t="n">
        <f aca="false">1+A95</f>
        <v>-6</v>
      </c>
      <c r="B96" s="1" t="n">
        <v>284485</v>
      </c>
      <c r="C96" s="1" t="n">
        <v>5.25335</v>
      </c>
      <c r="D96" s="1" t="n">
        <f aca="false">100*B96/SUM(B$2:B$202)</f>
        <v>0.240040081128881</v>
      </c>
      <c r="E96" s="1" t="e">
        <f aca="false">D96+E95</f>
        <v>#VALUE!</v>
      </c>
    </row>
    <row r="97" customFormat="false" ht="13.8" hidden="false" customHeight="false" outlineLevel="0" collapsed="false">
      <c r="A97" s="1" t="n">
        <f aca="false">1+A96</f>
        <v>-5</v>
      </c>
      <c r="B97" s="1" t="n">
        <v>377340</v>
      </c>
      <c r="C97" s="1" t="n">
        <v>5.41395</v>
      </c>
      <c r="D97" s="1" t="n">
        <f aca="false">100*B97/SUM(B$2:B$202)</f>
        <v>0.31838840084072</v>
      </c>
      <c r="E97" s="1" t="e">
        <f aca="false">D97+E96</f>
        <v>#VALUE!</v>
      </c>
    </row>
    <row r="98" customFormat="false" ht="13.8" hidden="false" customHeight="false" outlineLevel="0" collapsed="false">
      <c r="A98" s="1" t="n">
        <f aca="false">1+A97</f>
        <v>-4</v>
      </c>
      <c r="B98" s="1" t="n">
        <v>556954</v>
      </c>
      <c r="C98" s="1" t="n">
        <v>5.35717</v>
      </c>
      <c r="D98" s="1" t="n">
        <f aca="false">100*B98/SUM(B$2:B$202)</f>
        <v>0.469941414644199</v>
      </c>
      <c r="E98" s="1" t="e">
        <f aca="false">D98+E97</f>
        <v>#VALUE!</v>
      </c>
    </row>
    <row r="99" customFormat="false" ht="13.8" hidden="false" customHeight="false" outlineLevel="0" collapsed="false">
      <c r="A99" s="1" t="n">
        <f aca="false">1+A98</f>
        <v>-3</v>
      </c>
      <c r="B99" s="1" t="n">
        <v>927062</v>
      </c>
      <c r="C99" s="1" t="n">
        <v>5.32823</v>
      </c>
      <c r="D99" s="1" t="n">
        <f aca="false">100*B99/SUM(B$2:B$202)</f>
        <v>0.782227666455184</v>
      </c>
      <c r="E99" s="1" t="e">
        <f aca="false">D99+E98</f>
        <v>#VALUE!</v>
      </c>
    </row>
    <row r="100" customFormat="false" ht="13.8" hidden="false" customHeight="false" outlineLevel="0" collapsed="false">
      <c r="A100" s="1" t="n">
        <f aca="false">1+A99</f>
        <v>-2</v>
      </c>
      <c r="B100" s="1" t="n">
        <v>1630685</v>
      </c>
      <c r="C100" s="1" t="n">
        <v>5.2015</v>
      </c>
      <c r="D100" s="1" t="n">
        <f aca="false">100*B100/SUM(B$2:B$202)</f>
        <v>1.37592407225565</v>
      </c>
      <c r="E100" s="1" t="e">
        <f aca="false">D100+E99</f>
        <v>#VALUE!</v>
      </c>
    </row>
    <row r="101" customFormat="false" ht="13.8" hidden="false" customHeight="false" outlineLevel="0" collapsed="false">
      <c r="A101" s="1" t="n">
        <f aca="false">1+A100</f>
        <v>-1</v>
      </c>
      <c r="B101" s="1" t="n">
        <v>2779626</v>
      </c>
      <c r="C101" s="1" t="n">
        <v>5.04838</v>
      </c>
      <c r="D101" s="1" t="n">
        <f aca="false">100*B101/SUM(B$2:B$202)</f>
        <v>2.34536671721865</v>
      </c>
      <c r="E101" s="1" t="e">
        <f aca="false">D101+E100</f>
        <v>#VALUE!</v>
      </c>
    </row>
    <row r="102" customFormat="false" ht="13.8" hidden="false" customHeight="false" outlineLevel="0" collapsed="false">
      <c r="A102" s="1" t="n">
        <f aca="false">1+A101</f>
        <v>0</v>
      </c>
      <c r="B102" s="1" t="n">
        <v>104499864</v>
      </c>
      <c r="C102" s="1" t="n">
        <v>22.288</v>
      </c>
      <c r="D102" s="1" t="n">
        <f aca="false">100*B102/SUM(B$2:B$202)</f>
        <v>88.1739136774068</v>
      </c>
      <c r="E102" s="1" t="e">
        <f aca="false">D102+E101</f>
        <v>#VALUE!</v>
      </c>
    </row>
    <row r="103" customFormat="false" ht="13.8" hidden="false" customHeight="false" outlineLevel="0" collapsed="false">
      <c r="A103" s="1" t="n">
        <f aca="false">1+A102</f>
        <v>1</v>
      </c>
      <c r="B103" s="1" t="n">
        <v>1059262</v>
      </c>
      <c r="C103" s="1" t="n">
        <v>46.3601</v>
      </c>
      <c r="D103" s="1" t="n">
        <f aca="false">100*B103/SUM(B$2:B$202)</f>
        <v>0.893774140698951</v>
      </c>
      <c r="E103" s="1" t="e">
        <f aca="false">D103+E102</f>
        <v>#VALUE!</v>
      </c>
    </row>
    <row r="104" customFormat="false" ht="13.8" hidden="false" customHeight="false" outlineLevel="0" collapsed="false">
      <c r="A104" s="1" t="n">
        <f aca="false">1+A103</f>
        <v>2</v>
      </c>
      <c r="B104" s="1" t="n">
        <v>761291</v>
      </c>
      <c r="C104" s="1" t="n">
        <v>48.1893</v>
      </c>
      <c r="D104" s="1" t="n">
        <f aca="false">100*B104/SUM(B$2:B$202)</f>
        <v>0.642354969164234</v>
      </c>
      <c r="E104" s="1" t="e">
        <f aca="false">D104+E103</f>
        <v>#VALUE!</v>
      </c>
    </row>
    <row r="105" customFormat="false" ht="13.8" hidden="false" customHeight="false" outlineLevel="0" collapsed="false">
      <c r="A105" s="1" t="n">
        <f aca="false">1+A104</f>
        <v>3</v>
      </c>
      <c r="B105" s="1" t="n">
        <v>566769</v>
      </c>
      <c r="C105" s="1" t="n">
        <v>50.6587</v>
      </c>
      <c r="D105" s="1" t="n">
        <f aca="false">100*B105/SUM(B$2:B$202)</f>
        <v>0.478223023151783</v>
      </c>
      <c r="E105" s="1" t="e">
        <f aca="false">D105+E104</f>
        <v>#VALUE!</v>
      </c>
    </row>
    <row r="106" customFormat="false" ht="13.8" hidden="false" customHeight="false" outlineLevel="0" collapsed="false">
      <c r="A106" s="1" t="n">
        <f aca="false">1+A105</f>
        <v>4</v>
      </c>
      <c r="B106" s="1" t="n">
        <v>451554</v>
      </c>
      <c r="C106" s="1" t="n">
        <v>52.0671</v>
      </c>
      <c r="D106" s="1" t="n">
        <f aca="false">100*B106/SUM(B$2:B$202)</f>
        <v>0.381007992667701</v>
      </c>
      <c r="E106" s="1" t="e">
        <f aca="false">D106+E105</f>
        <v>#VALUE!</v>
      </c>
    </row>
    <row r="107" customFormat="false" ht="13.8" hidden="false" customHeight="false" outlineLevel="0" collapsed="false">
      <c r="A107" s="1" t="n">
        <f aca="false">1+A106</f>
        <v>5</v>
      </c>
      <c r="B107" s="1" t="n">
        <v>367734</v>
      </c>
      <c r="C107" s="1" t="n">
        <v>53.3293</v>
      </c>
      <c r="D107" s="1" t="n">
        <f aca="false">100*B107/SUM(B$2:B$202)</f>
        <v>0.310283140389996</v>
      </c>
      <c r="E107" s="1" t="e">
        <f aca="false">D107+E106</f>
        <v>#VALUE!</v>
      </c>
    </row>
    <row r="108" customFormat="false" ht="13.8" hidden="false" customHeight="false" outlineLevel="0" collapsed="false">
      <c r="A108" s="1" t="n">
        <f aca="false">1+A107</f>
        <v>6</v>
      </c>
      <c r="B108" s="1" t="n">
        <v>309021</v>
      </c>
      <c r="C108" s="1" t="n">
        <v>54.1439</v>
      </c>
      <c r="D108" s="1" t="n">
        <f aca="false">100*B108/SUM(B$2:B$202)</f>
        <v>0.26074283674193</v>
      </c>
      <c r="E108" s="1" t="e">
        <f aca="false">D108+E107</f>
        <v>#VALUE!</v>
      </c>
    </row>
    <row r="109" customFormat="false" ht="13.8" hidden="false" customHeight="false" outlineLevel="0" collapsed="false">
      <c r="A109" s="1" t="n">
        <f aca="false">1+A108</f>
        <v>7</v>
      </c>
      <c r="B109" s="1" t="n">
        <v>263395</v>
      </c>
      <c r="C109" s="1" t="n">
        <v>55.9893</v>
      </c>
      <c r="D109" s="1" t="n">
        <f aca="false">100*B109/SUM(B$2:B$202)</f>
        <v>0.222244959027512</v>
      </c>
      <c r="E109" s="1" t="e">
        <f aca="false">D109+E108</f>
        <v>#VALUE!</v>
      </c>
    </row>
    <row r="110" customFormat="false" ht="13.8" hidden="false" customHeight="false" outlineLevel="0" collapsed="false">
      <c r="A110" s="1" t="n">
        <f aca="false">1+A109</f>
        <v>8</v>
      </c>
      <c r="B110" s="1" t="n">
        <v>229171</v>
      </c>
      <c r="C110" s="1" t="n">
        <v>57.1486</v>
      </c>
      <c r="D110" s="1" t="n">
        <f aca="false">100*B110/SUM(B$2:B$202)</f>
        <v>0.193367753773967</v>
      </c>
      <c r="E110" s="1" t="e">
        <f aca="false">D110+E109</f>
        <v>#VALUE!</v>
      </c>
    </row>
    <row r="111" customFormat="false" ht="13.8" hidden="false" customHeight="false" outlineLevel="0" collapsed="false">
      <c r="A111" s="1" t="n">
        <f aca="false">1+A110</f>
        <v>9</v>
      </c>
      <c r="B111" s="1" t="n">
        <v>203054</v>
      </c>
      <c r="C111" s="1" t="n">
        <v>57.5182</v>
      </c>
      <c r="D111" s="1" t="n">
        <f aca="false">100*B111/SUM(B$2:B$202)</f>
        <v>0.17133099683127</v>
      </c>
      <c r="E111" s="1" t="e">
        <f aca="false">D111+E110</f>
        <v>#VALUE!</v>
      </c>
    </row>
    <row r="112" customFormat="false" ht="13.8" hidden="false" customHeight="false" outlineLevel="0" collapsed="false">
      <c r="A112" s="1" t="n">
        <f aca="false">1+A111</f>
        <v>10</v>
      </c>
      <c r="B112" s="1" t="n">
        <v>176926</v>
      </c>
      <c r="C112" s="1" t="n">
        <v>58.9235</v>
      </c>
      <c r="D112" s="1" t="n">
        <f aca="false">100*B112/SUM(B$2:B$202)</f>
        <v>0.149284958411897</v>
      </c>
      <c r="E112" s="1" t="e">
        <f aca="false">D112+E111</f>
        <v>#VALUE!</v>
      </c>
    </row>
    <row r="113" customFormat="false" ht="13.8" hidden="false" customHeight="false" outlineLevel="0" collapsed="false">
      <c r="A113" s="1" t="n">
        <f aca="false">1+A112</f>
        <v>11</v>
      </c>
      <c r="B113" s="1" t="n">
        <v>158623</v>
      </c>
      <c r="C113" s="1" t="n">
        <v>59.1926</v>
      </c>
      <c r="D113" s="1" t="n">
        <f aca="false">100*B113/SUM(B$2:B$202)</f>
        <v>0.133841424992202</v>
      </c>
      <c r="E113" s="1" t="e">
        <f aca="false">D113+E112</f>
        <v>#VALUE!</v>
      </c>
    </row>
    <row r="114" customFormat="false" ht="13.8" hidden="false" customHeight="false" outlineLevel="0" collapsed="false">
      <c r="A114" s="1" t="n">
        <f aca="false">1+A113</f>
        <v>12</v>
      </c>
      <c r="B114" s="1" t="n">
        <v>142593</v>
      </c>
      <c r="C114" s="1" t="n">
        <v>60.2842</v>
      </c>
      <c r="D114" s="1" t="n">
        <f aca="false">100*B114/SUM(B$2:B$202)</f>
        <v>0.12031578216219</v>
      </c>
      <c r="E114" s="1" t="e">
        <f aca="false">D114+E113</f>
        <v>#VALUE!</v>
      </c>
    </row>
    <row r="115" customFormat="false" ht="13.8" hidden="false" customHeight="false" outlineLevel="0" collapsed="false">
      <c r="A115" s="1" t="n">
        <f aca="false">1+A114</f>
        <v>13</v>
      </c>
      <c r="B115" s="1" t="n">
        <v>128601</v>
      </c>
      <c r="C115" s="1" t="n">
        <v>61.1636</v>
      </c>
      <c r="D115" s="1" t="n">
        <f aca="false">100*B115/SUM(B$2:B$202)</f>
        <v>0.108509743829219</v>
      </c>
      <c r="E115" s="1" t="e">
        <f aca="false">D115+E114</f>
        <v>#VALUE!</v>
      </c>
    </row>
    <row r="116" customFormat="false" ht="13.8" hidden="false" customHeight="false" outlineLevel="0" collapsed="false">
      <c r="A116" s="1" t="n">
        <f aca="false">1+A115</f>
        <v>14</v>
      </c>
      <c r="B116" s="1" t="n">
        <v>117536</v>
      </c>
      <c r="C116" s="1" t="n">
        <v>61.0936</v>
      </c>
      <c r="D116" s="1" t="n">
        <f aca="false">100*B116/SUM(B$2:B$202)</f>
        <v>0.0991734220629003</v>
      </c>
      <c r="E116" s="1" t="e">
        <f aca="false">D116+E115</f>
        <v>#VALUE!</v>
      </c>
    </row>
    <row r="117" customFormat="false" ht="13.8" hidden="false" customHeight="false" outlineLevel="0" collapsed="false">
      <c r="A117" s="1" t="n">
        <f aca="false">1+A116</f>
        <v>15</v>
      </c>
      <c r="B117" s="1" t="n">
        <v>106821</v>
      </c>
      <c r="C117" s="1" t="n">
        <v>61.6592</v>
      </c>
      <c r="D117" s="1" t="n">
        <f aca="false">100*B117/SUM(B$2:B$202)</f>
        <v>0.0901324200090277</v>
      </c>
      <c r="E117" s="1" t="e">
        <f aca="false">D117+E116</f>
        <v>#VALUE!</v>
      </c>
    </row>
    <row r="118" customFormat="false" ht="13.8" hidden="false" customHeight="false" outlineLevel="0" collapsed="false">
      <c r="A118" s="1" t="n">
        <f aca="false">1+A117</f>
        <v>16</v>
      </c>
      <c r="B118" s="1" t="n">
        <v>96400</v>
      </c>
      <c r="C118" s="1" t="n">
        <v>62.7054</v>
      </c>
      <c r="D118" s="1" t="n">
        <f aca="false">100*B118/SUM(B$2:B$202)</f>
        <v>0.0813394865136094</v>
      </c>
      <c r="E118" s="1" t="e">
        <f aca="false">D118+E117</f>
        <v>#VALUE!</v>
      </c>
    </row>
    <row r="119" customFormat="false" ht="13.8" hidden="false" customHeight="false" outlineLevel="0" collapsed="false">
      <c r="A119" s="1" t="n">
        <f aca="false">1+A118</f>
        <v>17</v>
      </c>
      <c r="B119" s="1" t="n">
        <v>89837</v>
      </c>
      <c r="C119" s="1" t="n">
        <v>62.8293</v>
      </c>
      <c r="D119" s="1" t="n">
        <f aca="false">100*B119/SUM(B$2:B$202)</f>
        <v>0.0758018200199494</v>
      </c>
      <c r="E119" s="1" t="e">
        <f aca="false">D119+E118</f>
        <v>#VALUE!</v>
      </c>
    </row>
    <row r="120" customFormat="false" ht="13.8" hidden="false" customHeight="false" outlineLevel="0" collapsed="false">
      <c r="A120" s="1" t="n">
        <f aca="false">1+A119</f>
        <v>18</v>
      </c>
      <c r="B120" s="1" t="n">
        <v>83019</v>
      </c>
      <c r="C120" s="1" t="n">
        <v>63.2024</v>
      </c>
      <c r="D120" s="1" t="n">
        <f aca="false">100*B120/SUM(B$2:B$202)</f>
        <v>0.0700489920215077</v>
      </c>
      <c r="E120" s="1" t="e">
        <f aca="false">D120+E119</f>
        <v>#VALUE!</v>
      </c>
    </row>
    <row r="121" customFormat="false" ht="13.8" hidden="false" customHeight="false" outlineLevel="0" collapsed="false">
      <c r="A121" s="1" t="n">
        <f aca="false">1+A120</f>
        <v>19</v>
      </c>
      <c r="B121" s="1" t="n">
        <v>76190</v>
      </c>
      <c r="C121" s="1" t="n">
        <v>64.0333</v>
      </c>
      <c r="D121" s="1" t="n">
        <f aca="false">100*B121/SUM(B$2:B$202)</f>
        <v>0.064286882546389</v>
      </c>
      <c r="E121" s="1" t="e">
        <f aca="false">D121+E120</f>
        <v>#VALUE!</v>
      </c>
    </row>
    <row r="122" customFormat="false" ht="13.8" hidden="false" customHeight="false" outlineLevel="0" collapsed="false">
      <c r="A122" s="1" t="n">
        <f aca="false">1+A121</f>
        <v>20</v>
      </c>
      <c r="B122" s="1" t="n">
        <v>70768</v>
      </c>
      <c r="C122" s="1" t="n">
        <v>64.9262</v>
      </c>
      <c r="D122" s="1" t="n">
        <f aca="false">100*B122/SUM(B$2:B$202)</f>
        <v>0.059711958315302</v>
      </c>
      <c r="E122" s="1" t="e">
        <f aca="false">D122+E121</f>
        <v>#VALUE!</v>
      </c>
    </row>
    <row r="123" customFormat="false" ht="13.8" hidden="false" customHeight="false" outlineLevel="0" collapsed="false">
      <c r="A123" s="1" t="n">
        <f aca="false">1+A122</f>
        <v>21</v>
      </c>
      <c r="B123" s="1" t="n">
        <v>64455</v>
      </c>
      <c r="C123" s="1" t="n">
        <v>65.6737</v>
      </c>
      <c r="D123" s="1" t="n">
        <f aca="false">100*B123/SUM(B$2:B$202)</f>
        <v>0.0543852344733889</v>
      </c>
      <c r="E123" s="1" t="e">
        <f aca="false">D123+E122</f>
        <v>#VALUE!</v>
      </c>
    </row>
    <row r="124" customFormat="false" ht="13.8" hidden="false" customHeight="false" outlineLevel="0" collapsed="false">
      <c r="A124" s="1" t="n">
        <f aca="false">1+A123</f>
        <v>22</v>
      </c>
      <c r="B124" s="1" t="n">
        <v>59312</v>
      </c>
      <c r="C124" s="1" t="n">
        <v>66.6004</v>
      </c>
      <c r="D124" s="1" t="n">
        <f aca="false">100*B124/SUM(B$2:B$202)</f>
        <v>0.0500457222416515</v>
      </c>
      <c r="E124" s="1" t="e">
        <f aca="false">D124+E123</f>
        <v>#VALUE!</v>
      </c>
    </row>
    <row r="125" customFormat="false" ht="13.8" hidden="false" customHeight="false" outlineLevel="0" collapsed="false">
      <c r="A125" s="1" t="n">
        <f aca="false">1+A124</f>
        <v>23</v>
      </c>
      <c r="B125" s="1" t="n">
        <v>55393</v>
      </c>
      <c r="C125" s="1" t="n">
        <v>67.4526</v>
      </c>
      <c r="D125" s="1" t="n">
        <f aca="false">100*B125/SUM(B$2:B$202)</f>
        <v>0.0467389852328669</v>
      </c>
      <c r="E125" s="1" t="e">
        <f aca="false">D125+E124</f>
        <v>#VALUE!</v>
      </c>
    </row>
    <row r="126" customFormat="false" ht="13.8" hidden="false" customHeight="false" outlineLevel="0" collapsed="false">
      <c r="A126" s="1" t="n">
        <f aca="false">1+A125</f>
        <v>24</v>
      </c>
      <c r="B126" s="1" t="n">
        <v>51382</v>
      </c>
      <c r="C126" s="1" t="n">
        <v>67.294</v>
      </c>
      <c r="D126" s="1" t="n">
        <f aca="false">100*B126/SUM(B$2:B$202)</f>
        <v>0.0433546213282394</v>
      </c>
      <c r="E126" s="1" t="e">
        <f aca="false">D126+E125</f>
        <v>#VALUE!</v>
      </c>
    </row>
    <row r="127" customFormat="false" ht="13.8" hidden="false" customHeight="false" outlineLevel="0" collapsed="false">
      <c r="A127" s="1" t="n">
        <f aca="false">1+A126</f>
        <v>25</v>
      </c>
      <c r="B127" s="1" t="n">
        <v>47719</v>
      </c>
      <c r="C127" s="1" t="n">
        <v>67.8116</v>
      </c>
      <c r="D127" s="1" t="n">
        <f aca="false">100*B127/SUM(B$2:B$202)</f>
        <v>0.0402638895948436</v>
      </c>
      <c r="E127" s="1" t="e">
        <f aca="false">D127+E126</f>
        <v>#VALUE!</v>
      </c>
    </row>
    <row r="128" customFormat="false" ht="13.8" hidden="false" customHeight="false" outlineLevel="0" collapsed="false">
      <c r="A128" s="1" t="n">
        <f aca="false">1+A127</f>
        <v>26</v>
      </c>
      <c r="B128" s="1" t="n">
        <v>44359</v>
      </c>
      <c r="C128" s="1" t="n">
        <v>68.3108</v>
      </c>
      <c r="D128" s="1" t="n">
        <f aca="false">100*B128/SUM(B$2:B$202)</f>
        <v>0.0374288203553651</v>
      </c>
      <c r="E128" s="1" t="e">
        <f aca="false">D128+E127</f>
        <v>#VALUE!</v>
      </c>
    </row>
    <row r="129" customFormat="false" ht="13.8" hidden="false" customHeight="false" outlineLevel="0" collapsed="false">
      <c r="A129" s="1" t="n">
        <f aca="false">1+A128</f>
        <v>27</v>
      </c>
      <c r="B129" s="1" t="n">
        <v>41109</v>
      </c>
      <c r="C129" s="1" t="n">
        <v>69.34</v>
      </c>
      <c r="D129" s="1" t="n">
        <f aca="false">100*B129/SUM(B$2:B$202)</f>
        <v>0.0346865658826553</v>
      </c>
      <c r="E129" s="1" t="e">
        <f aca="false">D129+E128</f>
        <v>#VALUE!</v>
      </c>
    </row>
    <row r="130" customFormat="false" ht="13.8" hidden="false" customHeight="false" outlineLevel="0" collapsed="false">
      <c r="A130" s="1" t="n">
        <f aca="false">1+A129</f>
        <v>28</v>
      </c>
      <c r="B130" s="1" t="n">
        <v>38505</v>
      </c>
      <c r="C130" s="1" t="n">
        <v>69.7338</v>
      </c>
      <c r="D130" s="1" t="n">
        <f aca="false">100*B130/SUM(B$2:B$202)</f>
        <v>0.0324893872220594</v>
      </c>
      <c r="E130" s="1" t="e">
        <f aca="false">D130+E129</f>
        <v>#VALUE!</v>
      </c>
    </row>
    <row r="131" customFormat="false" ht="13.8" hidden="false" customHeight="false" outlineLevel="0" collapsed="false">
      <c r="A131" s="1" t="n">
        <f aca="false">1+A130</f>
        <v>29</v>
      </c>
      <c r="B131" s="1" t="n">
        <v>36101</v>
      </c>
      <c r="C131" s="1" t="n">
        <v>69.8042</v>
      </c>
      <c r="D131" s="1" t="n">
        <f aca="false">100*B131/SUM(B$2:B$202)</f>
        <v>0.0304609626828611</v>
      </c>
      <c r="E131" s="1" t="e">
        <f aca="false">D131+E130</f>
        <v>#VALUE!</v>
      </c>
    </row>
    <row r="132" customFormat="false" ht="13.8" hidden="false" customHeight="false" outlineLevel="0" collapsed="false">
      <c r="A132" s="1" t="n">
        <f aca="false">1+A131</f>
        <v>30</v>
      </c>
      <c r="B132" s="1" t="n">
        <v>33507</v>
      </c>
      <c r="C132" s="1" t="n">
        <v>70.4599</v>
      </c>
      <c r="D132" s="1" t="n">
        <f aca="false">100*B132/SUM(B$2:B$202)</f>
        <v>0.0282722217283352</v>
      </c>
      <c r="E132" s="1" t="e">
        <f aca="false">D132+E131</f>
        <v>#VALUE!</v>
      </c>
    </row>
    <row r="133" customFormat="false" ht="13.8" hidden="false" customHeight="false" outlineLevel="0" collapsed="false">
      <c r="A133" s="1" t="n">
        <f aca="false">1+A132</f>
        <v>31</v>
      </c>
      <c r="B133" s="1" t="n">
        <v>30731</v>
      </c>
      <c r="C133" s="1" t="n">
        <v>71.0162</v>
      </c>
      <c r="D133" s="1" t="n">
        <f aca="false">100*B133/SUM(B$2:B$202)</f>
        <v>0.0259299145233374</v>
      </c>
      <c r="E133" s="1" t="e">
        <f aca="false">D133+E132</f>
        <v>#VALUE!</v>
      </c>
    </row>
    <row r="134" customFormat="false" ht="13.8" hidden="false" customHeight="false" outlineLevel="0" collapsed="false">
      <c r="A134" s="1" t="n">
        <f aca="false">1+A133</f>
        <v>32</v>
      </c>
      <c r="B134" s="1" t="n">
        <v>29268</v>
      </c>
      <c r="C134" s="1" t="n">
        <v>70.5959</v>
      </c>
      <c r="D134" s="1" t="n">
        <f aca="false">100*B134/SUM(B$2:B$202)</f>
        <v>0.0246954781253145</v>
      </c>
      <c r="E134" s="1" t="e">
        <f aca="false">D134+E133</f>
        <v>#VALUE!</v>
      </c>
    </row>
    <row r="135" customFormat="false" ht="13.8" hidden="false" customHeight="false" outlineLevel="0" collapsed="false">
      <c r="A135" s="1" t="n">
        <f aca="false">1+A134</f>
        <v>33</v>
      </c>
      <c r="B135" s="1" t="n">
        <v>26741</v>
      </c>
      <c r="C135" s="1" t="n">
        <v>71.8073</v>
      </c>
      <c r="D135" s="1" t="n">
        <f aca="false">100*B135/SUM(B$2:B$202)</f>
        <v>0.0225632698014567</v>
      </c>
      <c r="E135" s="1" t="e">
        <f aca="false">D135+E134</f>
        <v>#VALUE!</v>
      </c>
    </row>
    <row r="136" customFormat="false" ht="13.8" hidden="false" customHeight="false" outlineLevel="0" collapsed="false">
      <c r="A136" s="1" t="n">
        <f aca="false">1+A135</f>
        <v>34</v>
      </c>
      <c r="B136" s="1" t="n">
        <v>25138</v>
      </c>
      <c r="C136" s="1" t="n">
        <v>71.8673</v>
      </c>
      <c r="D136" s="1" t="n">
        <f aca="false">100*B136/SUM(B$2:B$202)</f>
        <v>0.0212107055184555</v>
      </c>
      <c r="E136" s="1" t="e">
        <f aca="false">D136+E135</f>
        <v>#VALUE!</v>
      </c>
    </row>
    <row r="137" customFormat="false" ht="13.8" hidden="false" customHeight="false" outlineLevel="0" collapsed="false">
      <c r="A137" s="1" t="n">
        <f aca="false">1+A136</f>
        <v>35</v>
      </c>
      <c r="B137" s="1" t="n">
        <v>23239</v>
      </c>
      <c r="C137" s="1" t="n">
        <v>72.6279</v>
      </c>
      <c r="D137" s="1" t="n">
        <f aca="false">100*B137/SUM(B$2:B$202)</f>
        <v>0.019608385135786</v>
      </c>
      <c r="E137" s="1" t="e">
        <f aca="false">D137+E136</f>
        <v>#VALUE!</v>
      </c>
    </row>
    <row r="138" customFormat="false" ht="13.8" hidden="false" customHeight="false" outlineLevel="0" collapsed="false">
      <c r="A138" s="1" t="n">
        <f aca="false">1+A137</f>
        <v>36</v>
      </c>
      <c r="B138" s="1" t="n">
        <v>22260</v>
      </c>
      <c r="C138" s="1" t="n">
        <v>72.7493</v>
      </c>
      <c r="D138" s="1" t="n">
        <f aca="false">100*B138/SUM(B$2:B$202)</f>
        <v>0.0187823337115451</v>
      </c>
      <c r="E138" s="1" t="e">
        <f aca="false">D138+E137</f>
        <v>#VALUE!</v>
      </c>
    </row>
    <row r="139" customFormat="false" ht="13.8" hidden="false" customHeight="false" outlineLevel="0" collapsed="false">
      <c r="A139" s="1" t="n">
        <f aca="false">1+A138</f>
        <v>37</v>
      </c>
      <c r="B139" s="1" t="n">
        <v>20387</v>
      </c>
      <c r="C139" s="1" t="n">
        <v>72.9043</v>
      </c>
      <c r="D139" s="1" t="n">
        <f aca="false">100*B139/SUM(B$2:B$202)</f>
        <v>0.0172019513646572</v>
      </c>
      <c r="E139" s="1" t="e">
        <f aca="false">D139+E138</f>
        <v>#VALUE!</v>
      </c>
    </row>
    <row r="140" customFormat="false" ht="13.8" hidden="false" customHeight="false" outlineLevel="0" collapsed="false">
      <c r="A140" s="1" t="n">
        <f aca="false">1+A139</f>
        <v>38</v>
      </c>
      <c r="B140" s="1" t="n">
        <v>19020</v>
      </c>
      <c r="C140" s="1" t="n">
        <v>73.8433</v>
      </c>
      <c r="D140" s="1" t="n">
        <f aca="false">100*B140/SUM(B$2:B$202)</f>
        <v>0.0160485169449051</v>
      </c>
      <c r="E140" s="1" t="e">
        <f aca="false">D140+E139</f>
        <v>#VALUE!</v>
      </c>
    </row>
    <row r="141" customFormat="false" ht="13.8" hidden="false" customHeight="false" outlineLevel="0" collapsed="false">
      <c r="A141" s="1" t="n">
        <f aca="false">1+A140</f>
        <v>39</v>
      </c>
      <c r="B141" s="1" t="n">
        <v>18152</v>
      </c>
      <c r="C141" s="1" t="n">
        <v>73.2041</v>
      </c>
      <c r="D141" s="1" t="n">
        <f aca="false">100*B141/SUM(B$2:B$202)</f>
        <v>0.0153161240580398</v>
      </c>
      <c r="E141" s="1" t="e">
        <f aca="false">D141+E140</f>
        <v>#VALUE!</v>
      </c>
    </row>
    <row r="142" customFormat="false" ht="13.8" hidden="false" customHeight="false" outlineLevel="0" collapsed="false">
      <c r="A142" s="1" t="n">
        <f aca="false">1+A141</f>
        <v>40</v>
      </c>
      <c r="B142" s="1" t="n">
        <v>16569</v>
      </c>
      <c r="C142" s="1" t="n">
        <v>72.7624</v>
      </c>
      <c r="D142" s="1" t="n">
        <f aca="false">100*B142/SUM(B$2:B$202)</f>
        <v>0.0139804351871784</v>
      </c>
      <c r="E142" s="1" t="e">
        <f aca="false">D142+E141</f>
        <v>#VALUE!</v>
      </c>
    </row>
    <row r="143" customFormat="false" ht="13.8" hidden="false" customHeight="false" outlineLevel="0" collapsed="false">
      <c r="A143" s="1" t="n">
        <f aca="false">1+A142</f>
        <v>41</v>
      </c>
      <c r="B143" s="1" t="n">
        <v>15840</v>
      </c>
      <c r="C143" s="1" t="n">
        <v>73.5732</v>
      </c>
      <c r="D143" s="1" t="n">
        <f aca="false">100*B143/SUM(B$2:B$202)</f>
        <v>0.0133653264146844</v>
      </c>
      <c r="E143" s="1" t="e">
        <f aca="false">D143+E142</f>
        <v>#VALUE!</v>
      </c>
    </row>
    <row r="144" customFormat="false" ht="13.8" hidden="false" customHeight="false" outlineLevel="0" collapsed="false">
      <c r="A144" s="1" t="n">
        <f aca="false">1+A143</f>
        <v>42</v>
      </c>
      <c r="B144" s="1" t="n">
        <v>14608</v>
      </c>
      <c r="C144" s="1" t="n">
        <v>73.9663</v>
      </c>
      <c r="D144" s="1" t="n">
        <f aca="false">100*B144/SUM(B$2:B$202)</f>
        <v>0.0123258010268756</v>
      </c>
      <c r="E144" s="1" t="e">
        <f aca="false">D144+E143</f>
        <v>#VALUE!</v>
      </c>
    </row>
    <row r="145" customFormat="false" ht="13.8" hidden="false" customHeight="false" outlineLevel="0" collapsed="false">
      <c r="A145" s="1" t="n">
        <f aca="false">1+A144</f>
        <v>43</v>
      </c>
      <c r="B145" s="1" t="n">
        <v>13476</v>
      </c>
      <c r="C145" s="1" t="n">
        <v>75.7643</v>
      </c>
      <c r="D145" s="1" t="n">
        <f aca="false">100*B145/SUM(B$2:B$202)</f>
        <v>0.0113706526997656</v>
      </c>
      <c r="E145" s="1" t="e">
        <f aca="false">D145+E144</f>
        <v>#VALUE!</v>
      </c>
    </row>
    <row r="146" customFormat="false" ht="13.8" hidden="false" customHeight="false" outlineLevel="0" collapsed="false">
      <c r="A146" s="1" t="n">
        <f aca="false">1+A145</f>
        <v>44</v>
      </c>
      <c r="B146" s="1" t="n">
        <v>12809</v>
      </c>
      <c r="C146" s="1" t="n">
        <v>75.3298</v>
      </c>
      <c r="D146" s="1" t="n">
        <f aca="false">100*B146/SUM(B$2:B$202)</f>
        <v>0.0108078577049048</v>
      </c>
      <c r="E146" s="1" t="e">
        <f aca="false">D146+E145</f>
        <v>#VALUE!</v>
      </c>
    </row>
    <row r="147" customFormat="false" ht="13.8" hidden="false" customHeight="false" outlineLevel="0" collapsed="false">
      <c r="A147" s="1" t="n">
        <f aca="false">1+A146</f>
        <v>45</v>
      </c>
      <c r="B147" s="1" t="n">
        <v>12304</v>
      </c>
      <c r="C147" s="1" t="n">
        <v>74.2929</v>
      </c>
      <c r="D147" s="1" t="n">
        <f aca="false">100*B147/SUM(B$2:B$202)</f>
        <v>0.010381753548376</v>
      </c>
      <c r="E147" s="1" t="e">
        <f aca="false">D147+E146</f>
        <v>#VALUE!</v>
      </c>
    </row>
    <row r="148" customFormat="false" ht="13.8" hidden="false" customHeight="false" outlineLevel="0" collapsed="false">
      <c r="A148" s="1" t="n">
        <f aca="false">1+A147</f>
        <v>46</v>
      </c>
      <c r="B148" s="1" t="n">
        <v>11121</v>
      </c>
      <c r="C148" s="1" t="n">
        <v>75.8835</v>
      </c>
      <c r="D148" s="1" t="n">
        <f aca="false">100*B148/SUM(B$2:B$202)</f>
        <v>0.00938357292030965</v>
      </c>
      <c r="E148" s="1" t="e">
        <f aca="false">D148+E147</f>
        <v>#VALUE!</v>
      </c>
    </row>
    <row r="149" customFormat="false" ht="13.8" hidden="false" customHeight="false" outlineLevel="0" collapsed="false">
      <c r="A149" s="1" t="n">
        <f aca="false">1+A148</f>
        <v>47</v>
      </c>
      <c r="B149" s="1" t="n">
        <v>10388</v>
      </c>
      <c r="C149" s="1" t="n">
        <v>75.308</v>
      </c>
      <c r="D149" s="1" t="n">
        <f aca="false">100*B149/SUM(B$2:B$202)</f>
        <v>0.0087650890653877</v>
      </c>
      <c r="E149" s="1" t="e">
        <f aca="false">D149+E148</f>
        <v>#VALUE!</v>
      </c>
    </row>
    <row r="150" customFormat="false" ht="13.8" hidden="false" customHeight="false" outlineLevel="0" collapsed="false">
      <c r="A150" s="1" t="n">
        <f aca="false">1+A149</f>
        <v>48</v>
      </c>
      <c r="B150" s="1" t="n">
        <v>9903</v>
      </c>
      <c r="C150" s="1" t="n">
        <v>75.1792</v>
      </c>
      <c r="D150" s="1" t="n">
        <f aca="false">100*B150/SUM(B$2:B$202)</f>
        <v>0.00835586032099869</v>
      </c>
      <c r="E150" s="1" t="e">
        <f aca="false">D150+E149</f>
        <v>#VALUE!</v>
      </c>
    </row>
    <row r="151" customFormat="false" ht="13.8" hidden="false" customHeight="false" outlineLevel="0" collapsed="false">
      <c r="A151" s="1" t="n">
        <f aca="false">1+A150</f>
        <v>49</v>
      </c>
      <c r="B151" s="1" t="n">
        <v>9170</v>
      </c>
      <c r="C151" s="1" t="n">
        <v>76.3141</v>
      </c>
      <c r="D151" s="1" t="n">
        <f aca="false">100*B151/SUM(B$2:B$202)</f>
        <v>0.00773737646607674</v>
      </c>
      <c r="E151" s="1" t="e">
        <f aca="false">D151+E150</f>
        <v>#VALUE!</v>
      </c>
    </row>
    <row r="152" customFormat="false" ht="13.8" hidden="false" customHeight="false" outlineLevel="0" collapsed="false">
      <c r="A152" s="1" t="n">
        <f aca="false">1+A151</f>
        <v>50</v>
      </c>
      <c r="B152" s="1" t="n">
        <v>8633</v>
      </c>
      <c r="C152" s="1" t="n">
        <v>77.3891</v>
      </c>
      <c r="D152" s="1" t="n">
        <f aca="false">100*B152/SUM(B$2:B$202)</f>
        <v>0.00728427165012438</v>
      </c>
      <c r="E152" s="1" t="e">
        <f aca="false">D152+E151</f>
        <v>#VALUE!</v>
      </c>
    </row>
    <row r="153" customFormat="false" ht="13.8" hidden="false" customHeight="false" outlineLevel="0" collapsed="false">
      <c r="A153" s="1" t="n">
        <f aca="false">1+A152</f>
        <v>51</v>
      </c>
      <c r="B153" s="1" t="n">
        <v>7775</v>
      </c>
      <c r="C153" s="1" t="n">
        <v>77.5563</v>
      </c>
      <c r="D153" s="1" t="n">
        <f aca="false">100*B153/SUM(B$2:B$202)</f>
        <v>0.00656031646932897</v>
      </c>
      <c r="E153" s="1" t="e">
        <f aca="false">D153+E152</f>
        <v>#VALUE!</v>
      </c>
    </row>
    <row r="154" customFormat="false" ht="13.8" hidden="false" customHeight="false" outlineLevel="0" collapsed="false">
      <c r="A154" s="1" t="n">
        <f aca="false">1+A153</f>
        <v>52</v>
      </c>
      <c r="B154" s="1" t="n">
        <v>7323</v>
      </c>
      <c r="C154" s="1" t="n">
        <v>78.3695</v>
      </c>
      <c r="D154" s="1" t="n">
        <f aca="false">100*B154/SUM(B$2:B$202)</f>
        <v>0.00617893215497055</v>
      </c>
      <c r="E154" s="1" t="e">
        <f aca="false">D154+E153</f>
        <v>#VALUE!</v>
      </c>
    </row>
    <row r="155" customFormat="false" ht="13.8" hidden="false" customHeight="false" outlineLevel="0" collapsed="false">
      <c r="A155" s="1" t="n">
        <f aca="false">1+A154</f>
        <v>53</v>
      </c>
      <c r="B155" s="1" t="n">
        <v>6995</v>
      </c>
      <c r="C155" s="1" t="n">
        <v>77.6984</v>
      </c>
      <c r="D155" s="1" t="n">
        <f aca="false">100*B155/SUM(B$2:B$202)</f>
        <v>0.00590217539587861</v>
      </c>
      <c r="E155" s="1" t="e">
        <f aca="false">D155+E154</f>
        <v>#VALUE!</v>
      </c>
    </row>
    <row r="156" customFormat="false" ht="13.8" hidden="false" customHeight="false" outlineLevel="0" collapsed="false">
      <c r="A156" s="1" t="n">
        <f aca="false">1+A155</f>
        <v>54</v>
      </c>
      <c r="B156" s="1" t="n">
        <v>6786</v>
      </c>
      <c r="C156" s="1" t="n">
        <v>79.1335</v>
      </c>
      <c r="D156" s="1" t="n">
        <f aca="false">100*B156/SUM(B$2:B$202)</f>
        <v>0.00572582733901819</v>
      </c>
      <c r="E156" s="1" t="e">
        <f aca="false">D156+E155</f>
        <v>#VALUE!</v>
      </c>
    </row>
    <row r="157" customFormat="false" ht="13.8" hidden="false" customHeight="false" outlineLevel="0" collapsed="false">
      <c r="A157" s="1" t="n">
        <f aca="false">1+A156</f>
        <v>55</v>
      </c>
      <c r="B157" s="1" t="n">
        <v>6388</v>
      </c>
      <c r="C157" s="1" t="n">
        <v>77.9587</v>
      </c>
      <c r="D157" s="1" t="n">
        <f aca="false">100*B157/SUM(B$2:B$202)</f>
        <v>0.0053900066374371</v>
      </c>
      <c r="E157" s="1" t="e">
        <f aca="false">D157+E156</f>
        <v>#VALUE!</v>
      </c>
    </row>
    <row r="158" customFormat="false" ht="13.8" hidden="false" customHeight="false" outlineLevel="0" collapsed="false">
      <c r="A158" s="1" t="n">
        <f aca="false">1+A157</f>
        <v>56</v>
      </c>
      <c r="B158" s="1" t="n">
        <v>5912</v>
      </c>
      <c r="C158" s="1" t="n">
        <v>78.8058</v>
      </c>
      <c r="D158" s="1" t="n">
        <f aca="false">100*B158/SUM(B$2:B$202)</f>
        <v>0.00498837182851098</v>
      </c>
      <c r="E158" s="1" t="e">
        <f aca="false">D158+E157</f>
        <v>#VALUE!</v>
      </c>
    </row>
    <row r="159" customFormat="false" ht="13.8" hidden="false" customHeight="false" outlineLevel="0" collapsed="false">
      <c r="A159" s="1" t="n">
        <f aca="false">1+A158</f>
        <v>57</v>
      </c>
      <c r="B159" s="1" t="n">
        <v>5622</v>
      </c>
      <c r="C159" s="1" t="n">
        <v>80.0071</v>
      </c>
      <c r="D159" s="1" t="n">
        <f aca="false">100*B159/SUM(B$2:B$202)</f>
        <v>0.00474367835248456</v>
      </c>
      <c r="E159" s="1" t="e">
        <f aca="false">D159+E158</f>
        <v>#VALUE!</v>
      </c>
    </row>
    <row r="160" customFormat="false" ht="13.8" hidden="false" customHeight="false" outlineLevel="0" collapsed="false">
      <c r="A160" s="1" t="n">
        <f aca="false">1+A159</f>
        <v>58</v>
      </c>
      <c r="B160" s="1" t="n">
        <v>5386</v>
      </c>
      <c r="C160" s="1" t="n">
        <v>79.0011</v>
      </c>
      <c r="D160" s="1" t="n">
        <f aca="false">100*B160/SUM(B$2:B$202)</f>
        <v>0.00454454848923548</v>
      </c>
      <c r="E160" s="1" t="e">
        <f aca="false">D160+E159</f>
        <v>#VALUE!</v>
      </c>
    </row>
    <row r="161" customFormat="false" ht="13.8" hidden="false" customHeight="false" outlineLevel="0" collapsed="false">
      <c r="A161" s="1" t="n">
        <f aca="false">1+A160</f>
        <v>59</v>
      </c>
      <c r="B161" s="1" t="n">
        <v>5046</v>
      </c>
      <c r="C161" s="1" t="n">
        <v>79.786</v>
      </c>
      <c r="D161" s="1" t="n">
        <f aca="false">100*B161/SUM(B$2:B$202)</f>
        <v>0.00425766648285968</v>
      </c>
      <c r="E161" s="1" t="e">
        <f aca="false">D161+E160</f>
        <v>#VALUE!</v>
      </c>
    </row>
    <row r="162" customFormat="false" ht="13.8" hidden="false" customHeight="false" outlineLevel="0" collapsed="false">
      <c r="A162" s="1" t="n">
        <f aca="false">1+A161</f>
        <v>60</v>
      </c>
      <c r="B162" s="1" t="n">
        <v>5037</v>
      </c>
      <c r="C162" s="1" t="n">
        <v>79.0153</v>
      </c>
      <c r="D162" s="1" t="n">
        <f aca="false">100*B162/SUM(B$2:B$202)</f>
        <v>0.00425007254739679</v>
      </c>
      <c r="E162" s="1" t="e">
        <f aca="false">D162+E161</f>
        <v>#VALUE!</v>
      </c>
    </row>
    <row r="163" customFormat="false" ht="13.8" hidden="false" customHeight="false" outlineLevel="0" collapsed="false">
      <c r="A163" s="1" t="n">
        <f aca="false">1+A162</f>
        <v>61</v>
      </c>
      <c r="B163" s="1" t="n">
        <v>4947</v>
      </c>
      <c r="C163" s="1" t="n">
        <v>78.1686</v>
      </c>
      <c r="D163" s="1" t="n">
        <f aca="false">100*B163/SUM(B$2:B$202)</f>
        <v>0.0041741331927679</v>
      </c>
      <c r="E163" s="1" t="e">
        <f aca="false">D163+E162</f>
        <v>#VALUE!</v>
      </c>
    </row>
    <row r="164" customFormat="false" ht="13.8" hidden="false" customHeight="false" outlineLevel="0" collapsed="false">
      <c r="A164" s="1" t="n">
        <f aca="false">1+A163</f>
        <v>62</v>
      </c>
      <c r="B164" s="1" t="n">
        <v>4296</v>
      </c>
      <c r="C164" s="1" t="n">
        <v>80.5168</v>
      </c>
      <c r="D164" s="1" t="n">
        <f aca="false">100*B164/SUM(B$2:B$202)</f>
        <v>0.00362483852761894</v>
      </c>
      <c r="E164" s="1" t="e">
        <f aca="false">D164+E163</f>
        <v>#VALUE!</v>
      </c>
    </row>
    <row r="165" customFormat="false" ht="13.8" hidden="false" customHeight="false" outlineLevel="0" collapsed="false">
      <c r="A165" s="1" t="n">
        <f aca="false">1+A164</f>
        <v>63</v>
      </c>
      <c r="B165" s="1" t="n">
        <v>4259</v>
      </c>
      <c r="C165" s="1" t="n">
        <v>81.6389</v>
      </c>
      <c r="D165" s="1" t="n">
        <f aca="false">100*B165/SUM(B$2:B$202)</f>
        <v>0.0035936190151604</v>
      </c>
      <c r="E165" s="1" t="e">
        <f aca="false">D165+E164</f>
        <v>#VALUE!</v>
      </c>
    </row>
    <row r="166" customFormat="false" ht="13.8" hidden="false" customHeight="false" outlineLevel="0" collapsed="false">
      <c r="A166" s="1" t="n">
        <f aca="false">1+A165</f>
        <v>64</v>
      </c>
      <c r="B166" s="1" t="n">
        <v>3962</v>
      </c>
      <c r="C166" s="1" t="n">
        <v>82.3069</v>
      </c>
      <c r="D166" s="1" t="n">
        <f aca="false">100*B166/SUM(B$2:B$202)</f>
        <v>0.00334301914488507</v>
      </c>
      <c r="E166" s="1" t="e">
        <f aca="false">D166+E165</f>
        <v>#VALUE!</v>
      </c>
    </row>
    <row r="167" customFormat="false" ht="13.8" hidden="false" customHeight="false" outlineLevel="0" collapsed="false">
      <c r="A167" s="1" t="n">
        <f aca="false">1+A166</f>
        <v>65</v>
      </c>
      <c r="B167" s="1" t="n">
        <v>3901</v>
      </c>
      <c r="C167" s="1" t="n">
        <v>80.7742</v>
      </c>
      <c r="D167" s="1" t="n">
        <f aca="false">100*B167/SUM(B$2:B$202)</f>
        <v>0.00329154913785882</v>
      </c>
      <c r="E167" s="1" t="e">
        <f aca="false">D167+E166</f>
        <v>#VALUE!</v>
      </c>
    </row>
    <row r="168" customFormat="false" ht="13.8" hidden="false" customHeight="false" outlineLevel="0" collapsed="false">
      <c r="A168" s="1" t="n">
        <f aca="false">1+A167</f>
        <v>66</v>
      </c>
      <c r="B168" s="1" t="n">
        <v>3618</v>
      </c>
      <c r="C168" s="1" t="n">
        <v>81.9237</v>
      </c>
      <c r="D168" s="1" t="n">
        <f aca="false">100*B168/SUM(B$2:B$202)</f>
        <v>0.00305276205608131</v>
      </c>
      <c r="E168" s="1" t="e">
        <f aca="false">D168+E167</f>
        <v>#VALUE!</v>
      </c>
    </row>
    <row r="169" customFormat="false" ht="13.8" hidden="false" customHeight="false" outlineLevel="0" collapsed="false">
      <c r="A169" s="1" t="n">
        <f aca="false">1+A168</f>
        <v>67</v>
      </c>
      <c r="B169" s="1" t="n">
        <v>3389</v>
      </c>
      <c r="C169" s="1" t="n">
        <v>82.4727</v>
      </c>
      <c r="D169" s="1" t="n">
        <f aca="false">100*B169/SUM(B$2:B$202)</f>
        <v>0.00285953858708114</v>
      </c>
      <c r="E169" s="1" t="e">
        <f aca="false">D169+E168</f>
        <v>#VALUE!</v>
      </c>
    </row>
    <row r="170" customFormat="false" ht="13.8" hidden="false" customHeight="false" outlineLevel="0" collapsed="false">
      <c r="A170" s="1" t="n">
        <f aca="false">1+A169</f>
        <v>68</v>
      </c>
      <c r="B170" s="1" t="n">
        <v>3240</v>
      </c>
      <c r="C170" s="1" t="n">
        <v>82.963</v>
      </c>
      <c r="D170" s="1" t="n">
        <f aca="false">100*B170/SUM(B$2:B$202)</f>
        <v>0.00273381676663998</v>
      </c>
      <c r="E170" s="1" t="e">
        <f aca="false">D170+E169</f>
        <v>#VALUE!</v>
      </c>
    </row>
    <row r="171" customFormat="false" ht="13.8" hidden="false" customHeight="false" outlineLevel="0" collapsed="false">
      <c r="A171" s="1" t="n">
        <f aca="false">1+A170</f>
        <v>69</v>
      </c>
      <c r="B171" s="1" t="n">
        <v>3046</v>
      </c>
      <c r="C171" s="1" t="n">
        <v>82.5673</v>
      </c>
      <c r="D171" s="1" t="n">
        <f aca="false">100*B171/SUM(B$2:B$202)</f>
        <v>0.00257012526888438</v>
      </c>
      <c r="E171" s="1" t="e">
        <f aca="false">D171+E170</f>
        <v>#VALUE!</v>
      </c>
    </row>
    <row r="172" customFormat="false" ht="13.8" hidden="false" customHeight="false" outlineLevel="0" collapsed="false">
      <c r="A172" s="1" t="n">
        <f aca="false">1+A171</f>
        <v>70</v>
      </c>
      <c r="B172" s="1" t="n">
        <v>2851</v>
      </c>
      <c r="C172" s="1" t="n">
        <v>81.2697</v>
      </c>
      <c r="D172" s="1" t="n">
        <f aca="false">100*B172/SUM(B$2:B$202)</f>
        <v>0.00240559000052179</v>
      </c>
      <c r="E172" s="1" t="e">
        <f aca="false">D172+E171</f>
        <v>#VALUE!</v>
      </c>
    </row>
    <row r="173" customFormat="false" ht="13.8" hidden="false" customHeight="false" outlineLevel="0" collapsed="false">
      <c r="A173" s="1" t="n">
        <f aca="false">1+A172</f>
        <v>71</v>
      </c>
      <c r="B173" s="1" t="n">
        <v>2724</v>
      </c>
      <c r="C173" s="1" t="n">
        <v>79.8091</v>
      </c>
      <c r="D173" s="1" t="n">
        <f aca="false">100*B173/SUM(B$2:B$202)</f>
        <v>0.00229843113343436</v>
      </c>
      <c r="E173" s="1" t="e">
        <f aca="false">D173+E172</f>
        <v>#VALUE!</v>
      </c>
    </row>
    <row r="174" customFormat="false" ht="13.8" hidden="false" customHeight="false" outlineLevel="0" collapsed="false">
      <c r="A174" s="1" t="n">
        <f aca="false">1+A173</f>
        <v>72</v>
      </c>
      <c r="B174" s="1" t="n">
        <v>2467</v>
      </c>
      <c r="C174" s="1" t="n">
        <v>82.6915</v>
      </c>
      <c r="D174" s="1" t="n">
        <f aca="false">100*B174/SUM(B$2:B$202)</f>
        <v>0.00208158208743853</v>
      </c>
      <c r="E174" s="1" t="e">
        <f aca="false">D174+E173</f>
        <v>#VALUE!</v>
      </c>
    </row>
    <row r="175" customFormat="false" ht="13.8" hidden="false" customHeight="false" outlineLevel="0" collapsed="false">
      <c r="A175" s="1" t="n">
        <f aca="false">1+A174</f>
        <v>73</v>
      </c>
      <c r="B175" s="1" t="n">
        <v>2308</v>
      </c>
      <c r="C175" s="1" t="n">
        <v>82.9723</v>
      </c>
      <c r="D175" s="1" t="n">
        <f aca="false">100*B175/SUM(B$2:B$202)</f>
        <v>0.00194742256092749</v>
      </c>
      <c r="E175" s="1" t="e">
        <f aca="false">D175+E174</f>
        <v>#VALUE!</v>
      </c>
    </row>
    <row r="176" customFormat="false" ht="13.8" hidden="false" customHeight="false" outlineLevel="0" collapsed="false">
      <c r="A176" s="1" t="n">
        <f aca="false">1+A175</f>
        <v>74</v>
      </c>
      <c r="B176" s="1" t="n">
        <v>2128</v>
      </c>
      <c r="C176" s="1" t="n">
        <v>83.5526</v>
      </c>
      <c r="D176" s="1" t="n">
        <f aca="false">100*B176/SUM(B$2:B$202)</f>
        <v>0.00179554385166972</v>
      </c>
      <c r="E176" s="1" t="e">
        <f aca="false">D176+E175</f>
        <v>#VALUE!</v>
      </c>
    </row>
    <row r="177" customFormat="false" ht="13.8" hidden="false" customHeight="false" outlineLevel="0" collapsed="false">
      <c r="A177" s="1" t="n">
        <f aca="false">1+A176</f>
        <v>75</v>
      </c>
      <c r="B177" s="1" t="n">
        <v>2169</v>
      </c>
      <c r="C177" s="1" t="n">
        <v>81.7888</v>
      </c>
      <c r="D177" s="1" t="n">
        <f aca="false">100*B177/SUM(B$2:B$202)</f>
        <v>0.00183013844655621</v>
      </c>
      <c r="E177" s="1" t="e">
        <f aca="false">D177+E176</f>
        <v>#VALUE!</v>
      </c>
    </row>
    <row r="178" customFormat="false" ht="13.8" hidden="false" customHeight="false" outlineLevel="0" collapsed="false">
      <c r="A178" s="1" t="n">
        <f aca="false">1+A177</f>
        <v>76</v>
      </c>
      <c r="B178" s="1" t="n">
        <v>2001</v>
      </c>
      <c r="C178" s="1" t="n">
        <v>82.5087</v>
      </c>
      <c r="D178" s="1" t="n">
        <f aca="false">100*B178/SUM(B$2:B$202)</f>
        <v>0.00168838498458229</v>
      </c>
      <c r="E178" s="1" t="e">
        <f aca="false">D178+E177</f>
        <v>#VALUE!</v>
      </c>
    </row>
    <row r="179" customFormat="false" ht="13.8" hidden="false" customHeight="false" outlineLevel="0" collapsed="false">
      <c r="A179" s="1" t="n">
        <f aca="false">1+A178</f>
        <v>77</v>
      </c>
      <c r="B179" s="1" t="n">
        <v>1859</v>
      </c>
      <c r="C179" s="1" t="n">
        <v>84.2388</v>
      </c>
      <c r="D179" s="1" t="n">
        <f aca="false">100*B179/SUM(B$2:B$202)</f>
        <v>0.00156856955839004</v>
      </c>
      <c r="E179" s="1" t="e">
        <f aca="false">D179+E178</f>
        <v>#VALUE!</v>
      </c>
    </row>
    <row r="180" customFormat="false" ht="13.8" hidden="false" customHeight="false" outlineLevel="0" collapsed="false">
      <c r="A180" s="1" t="n">
        <f aca="false">1+A179</f>
        <v>78</v>
      </c>
      <c r="B180" s="1" t="n">
        <v>1693</v>
      </c>
      <c r="C180" s="1" t="n">
        <v>83.6976</v>
      </c>
      <c r="D180" s="1" t="n">
        <f aca="false">100*B180/SUM(B$2:B$202)</f>
        <v>0.00142850363763009</v>
      </c>
      <c r="E180" s="1" t="e">
        <f aca="false">D180+E179</f>
        <v>#VALUE!</v>
      </c>
    </row>
    <row r="181" customFormat="false" ht="13.8" hidden="false" customHeight="false" outlineLevel="0" collapsed="false">
      <c r="A181" s="1" t="n">
        <f aca="false">1+A180</f>
        <v>79</v>
      </c>
      <c r="B181" s="1" t="n">
        <v>1453</v>
      </c>
      <c r="C181" s="1" t="n">
        <v>84.446</v>
      </c>
      <c r="D181" s="1" t="n">
        <f aca="false">100*B181/SUM(B$2:B$202)</f>
        <v>0.00122599869195305</v>
      </c>
      <c r="E181" s="1" t="e">
        <f aca="false">D181+E180</f>
        <v>#VALUE!</v>
      </c>
    </row>
    <row r="182" customFormat="false" ht="13.8" hidden="false" customHeight="false" outlineLevel="0" collapsed="false">
      <c r="A182" s="1" t="n">
        <f aca="false">1+A181</f>
        <v>80</v>
      </c>
      <c r="B182" s="1" t="n">
        <v>1519</v>
      </c>
      <c r="C182" s="1" t="n">
        <v>84.0685</v>
      </c>
      <c r="D182" s="1" t="n">
        <f aca="false">100*B182/SUM(B$2:B$202)</f>
        <v>0.00128168755201424</v>
      </c>
      <c r="E182" s="1" t="e">
        <f aca="false">D182+E181</f>
        <v>#VALUE!</v>
      </c>
    </row>
    <row r="183" customFormat="false" ht="13.8" hidden="false" customHeight="false" outlineLevel="0" collapsed="false">
      <c r="A183" s="1" t="n">
        <f aca="false">1+A182</f>
        <v>81</v>
      </c>
      <c r="B183" s="1" t="n">
        <v>1442</v>
      </c>
      <c r="C183" s="1" t="n">
        <v>83.0097</v>
      </c>
      <c r="D183" s="1" t="n">
        <f aca="false">100*B183/SUM(B$2:B$202)</f>
        <v>0.00121671721527619</v>
      </c>
      <c r="E183" s="1" t="e">
        <f aca="false">D183+E182</f>
        <v>#VALUE!</v>
      </c>
    </row>
    <row r="184" customFormat="false" ht="13.8" hidden="false" customHeight="false" outlineLevel="0" collapsed="false">
      <c r="A184" s="1" t="n">
        <f aca="false">1+A183</f>
        <v>82</v>
      </c>
      <c r="B184" s="1" t="n">
        <v>1347</v>
      </c>
      <c r="C184" s="1" t="n">
        <v>83.1477</v>
      </c>
      <c r="D184" s="1" t="n">
        <f aca="false">100*B184/SUM(B$2:B$202)</f>
        <v>0.00113655900761236</v>
      </c>
      <c r="E184" s="1" t="e">
        <f aca="false">D184+E183</f>
        <v>#VALUE!</v>
      </c>
    </row>
    <row r="185" customFormat="false" ht="13.8" hidden="false" customHeight="false" outlineLevel="0" collapsed="false">
      <c r="A185" s="1" t="n">
        <f aca="false">1+A184</f>
        <v>83</v>
      </c>
      <c r="B185" s="1" t="n">
        <v>1150</v>
      </c>
      <c r="C185" s="1" t="n">
        <v>85.0435</v>
      </c>
      <c r="D185" s="1" t="n">
        <f aca="false">100*B185/SUM(B$2:B$202)</f>
        <v>0.000970336198035797</v>
      </c>
      <c r="E185" s="1" t="e">
        <f aca="false">D185+E184</f>
        <v>#VALUE!</v>
      </c>
    </row>
    <row r="186" customFormat="false" ht="13.8" hidden="false" customHeight="false" outlineLevel="0" collapsed="false">
      <c r="A186" s="1" t="n">
        <f aca="false">1+A185</f>
        <v>84</v>
      </c>
      <c r="B186" s="1" t="n">
        <v>1216</v>
      </c>
      <c r="C186" s="1" t="n">
        <v>82.648</v>
      </c>
      <c r="D186" s="1" t="n">
        <f aca="false">100*B186/SUM(B$2:B$202)</f>
        <v>0.00102602505809698</v>
      </c>
      <c r="E186" s="1" t="e">
        <f aca="false">D186+E185</f>
        <v>#VALUE!</v>
      </c>
    </row>
    <row r="187" customFormat="false" ht="13.8" hidden="false" customHeight="false" outlineLevel="0" collapsed="false">
      <c r="A187" s="1" t="n">
        <f aca="false">1+A186</f>
        <v>85</v>
      </c>
      <c r="B187" s="1" t="n">
        <v>1090</v>
      </c>
      <c r="C187" s="1" t="n">
        <v>84.9541</v>
      </c>
      <c r="D187" s="1" t="n">
        <f aca="false">100*B187/SUM(B$2:B$202)</f>
        <v>0.000919709961616538</v>
      </c>
      <c r="E187" s="1" t="e">
        <f aca="false">D187+E186</f>
        <v>#VALUE!</v>
      </c>
    </row>
    <row r="188" customFormat="false" ht="13.8" hidden="false" customHeight="false" outlineLevel="0" collapsed="false">
      <c r="A188" s="1" t="n">
        <f aca="false">1+A187</f>
        <v>86</v>
      </c>
      <c r="B188" s="1" t="n">
        <v>1061</v>
      </c>
      <c r="C188" s="1" t="n">
        <v>84.3544</v>
      </c>
      <c r="D188" s="1" t="n">
        <f aca="false">100*B188/SUM(B$2:B$202)</f>
        <v>0.000895240614013896</v>
      </c>
      <c r="E188" s="1" t="e">
        <f aca="false">D188+E187</f>
        <v>#VALUE!</v>
      </c>
    </row>
    <row r="189" customFormat="false" ht="13.8" hidden="false" customHeight="false" outlineLevel="0" collapsed="false">
      <c r="A189" s="1" t="n">
        <f aca="false">1+A188</f>
        <v>87</v>
      </c>
      <c r="B189" s="1" t="n">
        <v>1031</v>
      </c>
      <c r="C189" s="1" t="n">
        <v>80.5044</v>
      </c>
      <c r="D189" s="1" t="n">
        <f aca="false">100*B189/SUM(B$2:B$202)</f>
        <v>0.000869927495804266</v>
      </c>
      <c r="E189" s="1" t="e">
        <f aca="false">D189+E188</f>
        <v>#VALUE!</v>
      </c>
    </row>
    <row r="190" customFormat="false" ht="13.8" hidden="false" customHeight="false" outlineLevel="0" collapsed="false">
      <c r="A190" s="1" t="n">
        <f aca="false">1+A189</f>
        <v>88</v>
      </c>
      <c r="B190" s="1" t="n">
        <v>869</v>
      </c>
      <c r="C190" s="1" t="n">
        <v>83.8895</v>
      </c>
      <c r="D190" s="1" t="n">
        <f aca="false">100*B190/SUM(B$2:B$202)</f>
        <v>0.000733236657472267</v>
      </c>
      <c r="E190" s="1" t="e">
        <f aca="false">D190+E189</f>
        <v>#VALUE!</v>
      </c>
    </row>
    <row r="191" customFormat="false" ht="13.8" hidden="false" customHeight="false" outlineLevel="0" collapsed="false">
      <c r="A191" s="1" t="n">
        <f aca="false">1+A190</f>
        <v>89</v>
      </c>
      <c r="B191" s="1" t="n">
        <v>859</v>
      </c>
      <c r="C191" s="1" t="n">
        <v>86.9616</v>
      </c>
      <c r="D191" s="1" t="n">
        <f aca="false">100*B191/SUM(B$2:B$202)</f>
        <v>0.000724798951402391</v>
      </c>
      <c r="E191" s="1" t="e">
        <f aca="false">D191+E190</f>
        <v>#VALUE!</v>
      </c>
    </row>
    <row r="192" customFormat="false" ht="13.8" hidden="false" customHeight="false" outlineLevel="0" collapsed="false">
      <c r="A192" s="1" t="n">
        <f aca="false">1+A191</f>
        <v>90</v>
      </c>
      <c r="B192" s="1" t="n">
        <v>796</v>
      </c>
      <c r="C192" s="1" t="n">
        <v>88.4422</v>
      </c>
      <c r="D192" s="1" t="n">
        <f aca="false">100*B192/SUM(B$2:B$202)</f>
        <v>0.000671641403162169</v>
      </c>
      <c r="E192" s="1" t="e">
        <f aca="false">D192+E191</f>
        <v>#VALUE!</v>
      </c>
    </row>
    <row r="193" customFormat="false" ht="13.8" hidden="false" customHeight="false" outlineLevel="0" collapsed="false">
      <c r="A193" s="1" t="n">
        <f aca="false">1+A192</f>
        <v>91</v>
      </c>
      <c r="B193" s="1" t="n">
        <v>698</v>
      </c>
      <c r="C193" s="1" t="n">
        <v>80.9456</v>
      </c>
      <c r="D193" s="1" t="n">
        <f aca="false">100*B193/SUM(B$2:B$202)</f>
        <v>0.000588951883677379</v>
      </c>
      <c r="E193" s="1" t="e">
        <f aca="false">D193+E192</f>
        <v>#VALUE!</v>
      </c>
    </row>
    <row r="194" customFormat="false" ht="13.8" hidden="false" customHeight="false" outlineLevel="0" collapsed="false">
      <c r="A194" s="1" t="n">
        <f aca="false">1+A193</f>
        <v>92</v>
      </c>
      <c r="B194" s="1" t="n">
        <v>579</v>
      </c>
      <c r="C194" s="1" t="n">
        <v>87.7375</v>
      </c>
      <c r="D194" s="1" t="n">
        <f aca="false">100*B194/SUM(B$2:B$202)</f>
        <v>0.000488543181445849</v>
      </c>
      <c r="E194" s="1" t="e">
        <f aca="false">D194+E193</f>
        <v>#VALUE!</v>
      </c>
    </row>
    <row r="195" customFormat="false" ht="13.8" hidden="false" customHeight="false" outlineLevel="0" collapsed="false">
      <c r="A195" s="1" t="n">
        <f aca="false">1+A194</f>
        <v>93</v>
      </c>
      <c r="B195" s="1" t="n">
        <v>591</v>
      </c>
      <c r="C195" s="1" t="n">
        <v>80.8799</v>
      </c>
      <c r="D195" s="1" t="n">
        <f aca="false">100*B195/SUM(B$2:B$202)</f>
        <v>0.000498668428729701</v>
      </c>
      <c r="E195" s="1" t="e">
        <f aca="false">D195+E194</f>
        <v>#VALUE!</v>
      </c>
    </row>
    <row r="196" customFormat="false" ht="13.8" hidden="false" customHeight="false" outlineLevel="0" collapsed="false">
      <c r="A196" s="1" t="n">
        <f aca="false">1+A195</f>
        <v>94</v>
      </c>
      <c r="B196" s="1" t="n">
        <v>491</v>
      </c>
      <c r="C196" s="1" t="n">
        <v>87.169</v>
      </c>
      <c r="D196" s="1" t="n">
        <f aca="false">100*B196/SUM(B$2:B$202)</f>
        <v>0.000414291368030936</v>
      </c>
      <c r="E196" s="1" t="e">
        <f aca="false">D196+E195</f>
        <v>#VALUE!</v>
      </c>
    </row>
    <row r="197" customFormat="false" ht="13.8" hidden="false" customHeight="false" outlineLevel="0" collapsed="false">
      <c r="A197" s="1" t="n">
        <f aca="false">1+A196</f>
        <v>95</v>
      </c>
      <c r="B197" s="1" t="n">
        <v>491</v>
      </c>
      <c r="C197" s="1" t="n">
        <v>81.8737</v>
      </c>
      <c r="D197" s="1" t="n">
        <f aca="false">100*B197/SUM(B$2:B$202)</f>
        <v>0.000414291368030936</v>
      </c>
      <c r="E197" s="1" t="e">
        <f aca="false">D197+E196</f>
        <v>#VALUE!</v>
      </c>
    </row>
    <row r="198" customFormat="false" ht="13.8" hidden="false" customHeight="false" outlineLevel="0" collapsed="false">
      <c r="A198" s="1" t="n">
        <f aca="false">1+A197</f>
        <v>96</v>
      </c>
      <c r="B198" s="1" t="n">
        <v>472</v>
      </c>
      <c r="C198" s="1" t="n">
        <v>82.6271</v>
      </c>
      <c r="D198" s="1" t="n">
        <f aca="false">100*B198/SUM(B$2:B$202)</f>
        <v>0.00039825972649817</v>
      </c>
      <c r="E198" s="1" t="e">
        <f aca="false">D198+E197</f>
        <v>#VALUE!</v>
      </c>
    </row>
    <row r="199" customFormat="false" ht="13.8" hidden="false" customHeight="false" outlineLevel="0" collapsed="false">
      <c r="A199" s="1" t="n">
        <f aca="false">1+A198</f>
        <v>97</v>
      </c>
      <c r="B199" s="1" t="n">
        <v>415</v>
      </c>
      <c r="C199" s="1" t="n">
        <v>82.6506</v>
      </c>
      <c r="D199" s="1" t="n">
        <f aca="false">100*B199/SUM(B$2:B$202)</f>
        <v>0.000350164801899874</v>
      </c>
      <c r="E199" s="1" t="e">
        <f aca="false">D199+E198</f>
        <v>#VALUE!</v>
      </c>
    </row>
    <row r="200" customFormat="false" ht="13.8" hidden="false" customHeight="false" outlineLevel="0" collapsed="false">
      <c r="A200" s="1" t="n">
        <f aca="false">1+A199</f>
        <v>98</v>
      </c>
      <c r="B200" s="1" t="n">
        <v>485</v>
      </c>
      <c r="C200" s="1" t="n">
        <v>73.4021</v>
      </c>
      <c r="D200" s="1" t="n">
        <f aca="false">100*B200/SUM(B$2:B$202)</f>
        <v>0.00040922874438901</v>
      </c>
      <c r="E200" s="1" t="e">
        <f aca="false">D200+E199</f>
        <v>#VALUE!</v>
      </c>
    </row>
    <row r="201" customFormat="false" ht="13.8" hidden="false" customHeight="false" outlineLevel="0" collapsed="false">
      <c r="A201" s="1" t="n">
        <f aca="false">1+A200</f>
        <v>99</v>
      </c>
      <c r="B201" s="1" t="n">
        <v>346</v>
      </c>
      <c r="C201" s="1" t="n">
        <v>88.1503</v>
      </c>
      <c r="D201" s="1" t="n">
        <f aca="false">100*B201/SUM(B$2:B$202)</f>
        <v>0.000291944630017727</v>
      </c>
      <c r="E201" s="1" t="e">
        <f aca="false">D201+E200</f>
        <v>#VALUE!</v>
      </c>
    </row>
    <row r="202" customFormat="false" ht="13.8" hidden="false" customHeight="false" outlineLevel="0" collapsed="false">
      <c r="A202" s="1" t="n">
        <f aca="false">1+A201</f>
        <v>100</v>
      </c>
      <c r="B202" s="1" t="n">
        <v>6730</v>
      </c>
      <c r="C202" s="1" t="n">
        <v>80.7281</v>
      </c>
      <c r="D202" s="1" t="n">
        <f aca="false">100*B202/SUM(B$2:B$202)</f>
        <v>0.00567857618502688</v>
      </c>
      <c r="E202" s="1" t="e">
        <f aca="false">D202+E201</f>
        <v>#VALUE!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13" min="1" style="1" width="12.15"/>
    <col collapsed="false" customWidth="true" hidden="false" outlineLevel="0" max="14" min="14" style="1" width="11.43"/>
  </cols>
  <sheetData>
    <row r="1" customFormat="false" ht="13.8" hidden="false" customHeight="false" outlineLevel="0" collapsed="false">
      <c r="A1" s="1" t="s">
        <v>11</v>
      </c>
      <c r="B1" s="1" t="n">
        <v>537780</v>
      </c>
      <c r="C1" s="1" t="n">
        <v>5.28525</v>
      </c>
      <c r="D1" s="2" t="n">
        <f aca="false">B1/B$1</f>
        <v>1</v>
      </c>
      <c r="F1" s="1" t="s">
        <v>11</v>
      </c>
      <c r="G1" s="1" t="n">
        <v>5.28525</v>
      </c>
      <c r="H1" s="1" t="n">
        <v>5.40855</v>
      </c>
      <c r="I1" s="1" t="n">
        <v>0.1233</v>
      </c>
      <c r="J1" s="1" t="n">
        <v>0.221400000000001</v>
      </c>
      <c r="K1" s="2" t="n">
        <v>0.252175079223808</v>
      </c>
      <c r="L1" s="2" t="n">
        <v>0.254021754401015</v>
      </c>
      <c r="M1" s="1" t="s">
        <v>12</v>
      </c>
    </row>
    <row r="2" customFormat="false" ht="13.8" hidden="false" customHeight="false" outlineLevel="0" collapsed="false">
      <c r="A2" s="1" t="s">
        <v>13</v>
      </c>
      <c r="B2" s="1" t="n">
        <v>226973</v>
      </c>
      <c r="C2" s="1" t="n">
        <v>5.82008</v>
      </c>
      <c r="D2" s="2" t="n">
        <f aca="false">B2/B$1</f>
        <v>0.422055487374019</v>
      </c>
      <c r="F2" s="1" t="s">
        <v>13</v>
      </c>
      <c r="G2" s="1" t="n">
        <v>5.82008</v>
      </c>
      <c r="H2" s="1" t="n">
        <v>5.6165</v>
      </c>
      <c r="I2" s="1" t="n">
        <v>-0.20358</v>
      </c>
      <c r="J2" s="1" t="n">
        <v>-0.105479999999999</v>
      </c>
      <c r="K2" s="2" t="n">
        <v>0.106431875965386</v>
      </c>
      <c r="L2" s="2" t="n">
        <v>0.105605443381251</v>
      </c>
      <c r="M2" s="1" t="s">
        <v>12</v>
      </c>
    </row>
    <row r="3" customFormat="false" ht="13.8" hidden="false" customHeight="false" outlineLevel="0" collapsed="false">
      <c r="A3" s="1" t="s">
        <v>14</v>
      </c>
      <c r="B3" s="1" t="n">
        <v>485829</v>
      </c>
      <c r="C3" s="1" t="n">
        <v>5.89117</v>
      </c>
      <c r="D3" s="2" t="n">
        <f aca="false">B3/B$1</f>
        <v>0.903397300011157</v>
      </c>
      <c r="F3" s="1" t="s">
        <v>14</v>
      </c>
      <c r="G3" s="1" t="n">
        <v>5.89117</v>
      </c>
      <c r="H3" s="1" t="n">
        <v>5.93367</v>
      </c>
      <c r="I3" s="1" t="n">
        <v>0.0425000000000004</v>
      </c>
      <c r="J3" s="1" t="n">
        <v>0.140600000000001</v>
      </c>
      <c r="K3" s="2" t="n">
        <v>0.227814285700888</v>
      </c>
      <c r="L3" s="2" t="n">
        <v>0.23215424197942</v>
      </c>
    </row>
    <row r="4" customFormat="false" ht="13.8" hidden="false" customHeight="false" outlineLevel="0" collapsed="false">
      <c r="A4" s="1" t="s">
        <v>15</v>
      </c>
      <c r="B4" s="1" t="n">
        <v>175601</v>
      </c>
      <c r="C4" s="1" t="n">
        <v>6.24996</v>
      </c>
      <c r="D4" s="2" t="n">
        <f aca="false">B4/B$1</f>
        <v>0.326529435828778</v>
      </c>
      <c r="F4" s="1" t="s">
        <v>15</v>
      </c>
      <c r="G4" s="1" t="n">
        <v>6.24996</v>
      </c>
      <c r="H4" s="1" t="n">
        <v>6.11913</v>
      </c>
      <c r="I4" s="1" t="n">
        <v>-0.13083</v>
      </c>
      <c r="J4" s="1" t="n">
        <v>-0.032729999999999</v>
      </c>
      <c r="K4" s="2" t="n">
        <v>0.0823425863490274</v>
      </c>
      <c r="L4" s="2" t="n">
        <v>0.0640234391576481</v>
      </c>
    </row>
    <row r="5" customFormat="false" ht="13.8" hidden="false" customHeight="false" outlineLevel="0" collapsed="false">
      <c r="A5" s="1" t="s">
        <v>16</v>
      </c>
      <c r="B5" s="1" t="n">
        <v>1129948</v>
      </c>
      <c r="C5" s="1" t="n">
        <v>6.83713</v>
      </c>
      <c r="D5" s="2" t="n">
        <f aca="false">B5/B$1</f>
        <v>2.1011342928335</v>
      </c>
      <c r="F5" s="1" t="s">
        <v>16</v>
      </c>
      <c r="G5" s="1" t="n">
        <v>6.83713</v>
      </c>
      <c r="H5" s="1" t="n">
        <v>6.79555</v>
      </c>
      <c r="I5" s="1" t="n">
        <v>-0.0415799999999997</v>
      </c>
      <c r="J5" s="1" t="n">
        <v>0.0565200000000008</v>
      </c>
      <c r="K5" s="2" t="n">
        <v>0.529853706755149</v>
      </c>
      <c r="L5" s="2" t="n">
        <v>0.527468960653201</v>
      </c>
    </row>
    <row r="6" customFormat="false" ht="13.8" hidden="false" customHeight="false" outlineLevel="0" collapsed="false">
      <c r="A6" s="1" t="s">
        <v>17</v>
      </c>
      <c r="B6" s="1" t="n">
        <v>575648</v>
      </c>
      <c r="C6" s="1" t="n">
        <v>6.89571</v>
      </c>
      <c r="D6" s="2" t="n">
        <f aca="false">B6/B$1</f>
        <v>1.07041541150656</v>
      </c>
      <c r="F6" s="1" t="s">
        <v>17</v>
      </c>
      <c r="G6" s="1" t="n">
        <v>6.89571</v>
      </c>
      <c r="H6" s="1" t="n">
        <v>7.12441</v>
      </c>
      <c r="I6" s="1" t="n">
        <v>0.2287</v>
      </c>
      <c r="J6" s="1" t="n">
        <v>0.3268</v>
      </c>
      <c r="K6" s="2" t="n">
        <v>0.269932091199053</v>
      </c>
      <c r="L6" s="2" t="n">
        <v>0.248628657279383</v>
      </c>
    </row>
    <row r="7" customFormat="false" ht="13.8" hidden="false" customHeight="false" outlineLevel="0" collapsed="false">
      <c r="A7" s="1" t="s">
        <v>18</v>
      </c>
      <c r="B7" s="1" t="n">
        <v>698033</v>
      </c>
      <c r="C7" s="1" t="n">
        <v>8.134</v>
      </c>
      <c r="D7" s="2" t="n">
        <f aca="false">B7/B$1</f>
        <v>1.29798988433932</v>
      </c>
      <c r="F7" s="1" t="s">
        <v>18</v>
      </c>
      <c r="G7" s="1" t="n">
        <v>8.134</v>
      </c>
      <c r="H7" s="1" t="n">
        <v>8.10973</v>
      </c>
      <c r="I7" s="1" t="n">
        <v>-0.0242699999999996</v>
      </c>
      <c r="J7" s="1" t="n">
        <v>0.073830000000001</v>
      </c>
      <c r="K7" s="2" t="n">
        <v>0.32732070191497</v>
      </c>
      <c r="L7" s="2" t="n">
        <v>0.294219145213398</v>
      </c>
    </row>
    <row r="8" customFormat="false" ht="13.8" hidden="false" customHeight="false" outlineLevel="0" collapsed="false">
      <c r="A8" s="1" t="s">
        <v>19</v>
      </c>
      <c r="B8" s="1" t="n">
        <v>854161</v>
      </c>
      <c r="C8" s="1" t="n">
        <v>9.26711</v>
      </c>
      <c r="D8" s="2" t="n">
        <f aca="false">B8/B$1</f>
        <v>1.58830934582915</v>
      </c>
      <c r="F8" s="1" t="s">
        <v>19</v>
      </c>
      <c r="G8" s="1" t="n">
        <v>9.26711</v>
      </c>
      <c r="H8" s="1" t="n">
        <v>9.28458</v>
      </c>
      <c r="I8" s="1" t="n">
        <v>0.0174699999999994</v>
      </c>
      <c r="J8" s="1" t="n">
        <v>0.11557</v>
      </c>
      <c r="K8" s="2" t="n">
        <v>0.400532035116381</v>
      </c>
      <c r="L8" s="2" t="n">
        <v>0.397257451448412</v>
      </c>
    </row>
    <row r="9" customFormat="false" ht="13.8" hidden="false" customHeight="false" outlineLevel="0" collapsed="false">
      <c r="A9" s="1" t="s">
        <v>20</v>
      </c>
      <c r="B9" s="1" t="n">
        <v>182593</v>
      </c>
      <c r="C9" s="1" t="n">
        <v>10.4221</v>
      </c>
      <c r="D9" s="2" t="n">
        <f aca="false">B9/B$1</f>
        <v>0.339531034995723</v>
      </c>
      <c r="F9" s="1" t="s">
        <v>20</v>
      </c>
      <c r="G9" s="1" t="n">
        <v>10.4221</v>
      </c>
      <c r="H9" s="1" t="n">
        <v>10.3803</v>
      </c>
      <c r="I9" s="1" t="n">
        <v>-0.0418000000000003</v>
      </c>
      <c r="J9" s="1" t="n">
        <v>0.0563000000000002</v>
      </c>
      <c r="K9" s="2" t="n">
        <v>0.0856212656489881</v>
      </c>
      <c r="L9" s="2" t="n">
        <v>0.0863305194399267</v>
      </c>
    </row>
    <row r="10" customFormat="false" ht="13.8" hidden="false" customHeight="false" outlineLevel="0" collapsed="false">
      <c r="A10" s="1" t="s">
        <v>21</v>
      </c>
      <c r="B10" s="1" t="n">
        <v>1854053</v>
      </c>
      <c r="C10" s="1" t="n">
        <v>10.8</v>
      </c>
      <c r="D10" s="2" t="n">
        <f aca="false">B10/B$1</f>
        <v>3.44760496857451</v>
      </c>
      <c r="F10" s="1" t="s">
        <v>21</v>
      </c>
      <c r="G10" s="1" t="n">
        <v>10.8</v>
      </c>
      <c r="H10" s="1" t="n">
        <v>10.8352</v>
      </c>
      <c r="I10" s="1" t="n">
        <v>0.0351999999999997</v>
      </c>
      <c r="J10" s="1" t="n">
        <v>0.1333</v>
      </c>
      <c r="K10" s="2" t="n">
        <v>0.869400056082672</v>
      </c>
      <c r="L10" s="2" t="n">
        <v>0.851371205830972</v>
      </c>
    </row>
    <row r="11" customFormat="false" ht="13.8" hidden="false" customHeight="false" outlineLevel="0" collapsed="false">
      <c r="A11" s="1" t="s">
        <v>22</v>
      </c>
      <c r="B11" s="1" t="n">
        <v>1897382</v>
      </c>
      <c r="C11" s="1" t="n">
        <v>11.1999</v>
      </c>
      <c r="D11" s="2" t="n">
        <f aca="false">B11/B$1</f>
        <v>3.52817509018558</v>
      </c>
      <c r="F11" s="1" t="s">
        <v>22</v>
      </c>
      <c r="G11" s="1" t="n">
        <v>11.1999</v>
      </c>
      <c r="H11" s="1" t="n">
        <v>11.0928</v>
      </c>
      <c r="I11" s="1" t="n">
        <v>-0.107099999999999</v>
      </c>
      <c r="J11" s="1" t="n">
        <v>-0.00899999999999857</v>
      </c>
      <c r="K11" s="2" t="n">
        <v>0.889717832883015</v>
      </c>
      <c r="L11" s="2" t="n">
        <v>0.893967511625607</v>
      </c>
    </row>
    <row r="12" customFormat="false" ht="13.8" hidden="false" customHeight="false" outlineLevel="0" collapsed="false">
      <c r="A12" s="1" t="s">
        <v>23</v>
      </c>
      <c r="B12" s="1" t="n">
        <v>2114851</v>
      </c>
      <c r="C12" s="1" t="n">
        <v>11.2367</v>
      </c>
      <c r="D12" s="2" t="n">
        <f aca="false">B12/B$1</f>
        <v>3.93255792331437</v>
      </c>
      <c r="F12" s="1" t="s">
        <v>23</v>
      </c>
      <c r="G12" s="1" t="n">
        <v>11.2367</v>
      </c>
      <c r="H12" s="1" t="n">
        <v>11.1381</v>
      </c>
      <c r="I12" s="1" t="n">
        <v>-0.0986000000000011</v>
      </c>
      <c r="J12" s="1" t="n">
        <v>-0.000500000000000611</v>
      </c>
      <c r="K12" s="2" t="n">
        <v>0.991693105864016</v>
      </c>
      <c r="L12" s="2" t="n">
        <v>0.993627077217979</v>
      </c>
    </row>
    <row r="13" customFormat="false" ht="13.8" hidden="false" customHeight="false" outlineLevel="0" collapsed="false">
      <c r="A13" s="1" t="s">
        <v>24</v>
      </c>
      <c r="B13" s="1" t="n">
        <v>2132566</v>
      </c>
      <c r="C13" s="1" t="n">
        <v>11.2399</v>
      </c>
      <c r="D13" s="2" t="n">
        <f aca="false">B13/B$1</f>
        <v>3.9654989028971</v>
      </c>
      <c r="F13" s="1" t="s">
        <v>24</v>
      </c>
      <c r="G13" s="1" t="n">
        <v>11.2399</v>
      </c>
      <c r="H13" s="1" t="n">
        <v>11.1418</v>
      </c>
      <c r="I13" s="1" t="n">
        <v>-0.0981000000000005</v>
      </c>
      <c r="J13" s="1" t="n">
        <v>0</v>
      </c>
      <c r="K13" s="2" t="n">
        <v>1</v>
      </c>
      <c r="L13" s="2" t="n">
        <v>1</v>
      </c>
    </row>
    <row r="14" customFormat="false" ht="13.8" hidden="false" customHeight="false" outlineLevel="0" collapsed="false">
      <c r="A14" s="1" t="s">
        <v>25</v>
      </c>
      <c r="B14" s="1" t="n">
        <v>2132566</v>
      </c>
      <c r="C14" s="1" t="n">
        <v>11.2399</v>
      </c>
      <c r="D14" s="2" t="n">
        <f aca="false">B14/B$1</f>
        <v>3.9654989028971</v>
      </c>
      <c r="F14" s="1" t="s">
        <v>25</v>
      </c>
      <c r="G14" s="1" t="n">
        <v>11.2399</v>
      </c>
      <c r="H14" s="1" t="n">
        <v>11.1418</v>
      </c>
      <c r="I14" s="1" t="n">
        <v>-0.0981000000000005</v>
      </c>
      <c r="J14" s="1" t="n">
        <v>0</v>
      </c>
      <c r="K14" s="2" t="n">
        <v>1</v>
      </c>
      <c r="L14" s="2" t="n">
        <v>1</v>
      </c>
    </row>
    <row r="15" customFormat="false" ht="13.8" hidden="false" customHeight="false" outlineLevel="0" collapsed="false">
      <c r="A15" s="1" t="s">
        <v>26</v>
      </c>
      <c r="B15" s="1" t="n">
        <v>1949973</v>
      </c>
      <c r="C15" s="1" t="n">
        <v>11.3165</v>
      </c>
      <c r="D15" s="2" t="n">
        <f aca="false">B15/B$1</f>
        <v>3.62596786790137</v>
      </c>
      <c r="F15" s="1" t="s">
        <v>26</v>
      </c>
      <c r="G15" s="1" t="n">
        <v>11.3165</v>
      </c>
      <c r="H15" s="1" t="n">
        <v>11.2138</v>
      </c>
      <c r="I15" s="1" t="n">
        <v>-0.102699999999999</v>
      </c>
      <c r="J15" s="1" t="n">
        <v>-0.00459999999999816</v>
      </c>
      <c r="K15" s="2" t="n">
        <v>0.914378734351012</v>
      </c>
      <c r="L15" s="2" t="n">
        <v>0.913669480560073</v>
      </c>
    </row>
    <row r="16" customFormat="false" ht="13.8" hidden="false" customHeight="false" outlineLevel="0" collapsed="false">
      <c r="A16" s="1" t="s">
        <v>27</v>
      </c>
      <c r="B16" s="1" t="n">
        <v>1956965</v>
      </c>
      <c r="C16" s="1" t="n">
        <v>11.6876</v>
      </c>
      <c r="D16" s="2" t="n">
        <f aca="false">B16/B$1</f>
        <v>3.63896946706832</v>
      </c>
      <c r="F16" s="1" t="s">
        <v>27</v>
      </c>
      <c r="G16" s="1" t="n">
        <v>11.6876</v>
      </c>
      <c r="H16" s="1" t="n">
        <v>11.4854</v>
      </c>
      <c r="I16" s="1" t="n">
        <v>-0.2022</v>
      </c>
      <c r="J16" s="1" t="n">
        <v>-0.104099999999999</v>
      </c>
      <c r="K16" s="2" t="n">
        <v>0.917657413650973</v>
      </c>
      <c r="L16" s="2" t="n">
        <v>0.935976560842352</v>
      </c>
    </row>
    <row r="17" customFormat="false" ht="13.8" hidden="false" customHeight="false" outlineLevel="0" collapsed="false">
      <c r="A17" s="1" t="s">
        <v>28</v>
      </c>
      <c r="B17" s="1" t="n">
        <v>235184</v>
      </c>
      <c r="C17" s="1" t="n">
        <v>11.5624</v>
      </c>
      <c r="D17" s="2" t="n">
        <f aca="false">B17/B$1</f>
        <v>0.437323812711518</v>
      </c>
      <c r="F17" s="1" t="s">
        <v>28</v>
      </c>
      <c r="G17" s="1" t="n">
        <v>11.5624</v>
      </c>
      <c r="H17" s="1" t="n">
        <v>11.5549</v>
      </c>
      <c r="I17" s="1" t="n">
        <v>-0.00750000000000028</v>
      </c>
      <c r="J17" s="1" t="n">
        <v>0.0906000000000002</v>
      </c>
      <c r="K17" s="2" t="n">
        <v>0.110282167116985</v>
      </c>
      <c r="L17" s="2" t="n">
        <v>0.106032488374393</v>
      </c>
    </row>
    <row r="18" customFormat="false" ht="13.8" hidden="false" customHeight="false" outlineLevel="0" collapsed="false">
      <c r="A18" s="1" t="s">
        <v>29</v>
      </c>
      <c r="B18" s="1" t="n">
        <v>17715</v>
      </c>
      <c r="C18" s="1" t="n">
        <v>11.6173</v>
      </c>
      <c r="D18" s="2" t="n">
        <f aca="false">B18/B$1</f>
        <v>0.032940979582729</v>
      </c>
      <c r="F18" s="1" t="s">
        <v>29</v>
      </c>
      <c r="G18" s="1" t="n">
        <v>11.6173</v>
      </c>
      <c r="H18" s="1" t="n">
        <v>11.7161</v>
      </c>
      <c r="I18" s="1" t="n">
        <v>0.0988000000000007</v>
      </c>
      <c r="J18" s="1" t="n">
        <v>0.196900000000001</v>
      </c>
      <c r="K18" s="2" t="n">
        <v>0.00830689413598454</v>
      </c>
      <c r="L18" s="2" t="n">
        <v>0.00637292278202144</v>
      </c>
    </row>
    <row r="19" customFormat="false" ht="13.8" hidden="false" customHeight="false" outlineLevel="0" collapsed="false">
      <c r="A19" s="1" t="s">
        <v>30</v>
      </c>
      <c r="B19" s="1" t="n">
        <v>1905593</v>
      </c>
      <c r="C19" s="1" t="n">
        <v>11.8854</v>
      </c>
      <c r="D19" s="2" t="n">
        <f aca="false">B19/B$1</f>
        <v>3.54344341552308</v>
      </c>
      <c r="F19" s="1" t="s">
        <v>30</v>
      </c>
      <c r="G19" s="1" t="n">
        <v>11.8854</v>
      </c>
      <c r="H19" s="1" t="n">
        <v>11.7942</v>
      </c>
      <c r="I19" s="1" t="n">
        <v>-0.0912000000000006</v>
      </c>
      <c r="J19" s="1" t="n">
        <v>0.00689999999999991</v>
      </c>
      <c r="K19" s="2" t="n">
        <v>0.893568124034614</v>
      </c>
      <c r="L19" s="2" t="n">
        <v>0.894394556618749</v>
      </c>
    </row>
    <row r="20" customFormat="false" ht="13.8" hidden="false" customHeight="false" outlineLevel="0" collapsed="false">
      <c r="A20" s="1" t="s">
        <v>31</v>
      </c>
      <c r="B20" s="1" t="n">
        <v>1278405</v>
      </c>
      <c r="C20" s="1" t="n">
        <v>12.558</v>
      </c>
      <c r="D20" s="2" t="n">
        <f aca="false">B20/B$1</f>
        <v>2.37718955706795</v>
      </c>
      <c r="F20" s="1" t="s">
        <v>31</v>
      </c>
      <c r="G20" s="1" t="n">
        <v>12.558</v>
      </c>
      <c r="H20" s="1" t="n">
        <v>12.3659</v>
      </c>
      <c r="I20" s="1" t="n">
        <v>-0.1921</v>
      </c>
      <c r="J20" s="1" t="n">
        <v>-0.0939999999999994</v>
      </c>
      <c r="K20" s="2" t="n">
        <v>0.599467964883619</v>
      </c>
      <c r="L20" s="2" t="n">
        <v>0.602742548551588</v>
      </c>
    </row>
    <row r="21" customFormat="false" ht="13.8" hidden="false" customHeight="false" outlineLevel="0" collapsed="false">
      <c r="A21" s="1" t="s">
        <v>32</v>
      </c>
      <c r="B21" s="1" t="n">
        <v>1434533</v>
      </c>
      <c r="C21" s="1" t="n">
        <v>12.7512</v>
      </c>
      <c r="D21" s="2" t="n">
        <f aca="false">B21/B$1</f>
        <v>2.66750901855777</v>
      </c>
      <c r="F21" s="1" t="s">
        <v>32</v>
      </c>
      <c r="G21" s="1" t="n">
        <v>12.7512</v>
      </c>
      <c r="H21" s="1" t="n">
        <v>12.4058</v>
      </c>
      <c r="I21" s="1" t="n">
        <v>-0.345400000000002</v>
      </c>
      <c r="J21" s="1" t="n">
        <v>-0.247300000000001</v>
      </c>
      <c r="K21" s="2" t="n">
        <v>0.67267929808503</v>
      </c>
      <c r="L21" s="2" t="n">
        <v>0.705780854786603</v>
      </c>
      <c r="M21" s="1" t="s">
        <v>12</v>
      </c>
    </row>
    <row r="22" customFormat="false" ht="13.8" hidden="false" customHeight="false" outlineLevel="0" collapsed="false">
      <c r="A22" s="1" t="s">
        <v>33</v>
      </c>
      <c r="B22" s="1" t="n">
        <v>1556918</v>
      </c>
      <c r="C22" s="1" t="n">
        <v>12.8461</v>
      </c>
      <c r="D22" s="2" t="n">
        <f aca="false">B22/B$1</f>
        <v>2.89508349139053</v>
      </c>
      <c r="F22" s="1" t="s">
        <v>33</v>
      </c>
      <c r="G22" s="1" t="n">
        <v>12.8461</v>
      </c>
      <c r="H22" s="1" t="n">
        <v>12.4712</v>
      </c>
      <c r="I22" s="1" t="n">
        <v>-0.3749</v>
      </c>
      <c r="J22" s="1" t="n">
        <v>-0.2768</v>
      </c>
      <c r="K22" s="2" t="n">
        <v>0.730067908800947</v>
      </c>
      <c r="L22" s="2" t="n">
        <v>0.751371342720617</v>
      </c>
      <c r="M22" s="1" t="s">
        <v>12</v>
      </c>
    </row>
    <row r="23" customFormat="false" ht="13.8" hidden="false" customHeight="false" outlineLevel="0" collapsed="false">
      <c r="A23" s="1" t="s">
        <v>34</v>
      </c>
      <c r="B23" s="1" t="n">
        <v>1646737</v>
      </c>
      <c r="C23" s="1" t="n">
        <v>12.8179</v>
      </c>
      <c r="D23" s="2" t="n">
        <f aca="false">B23/B$1</f>
        <v>3.06210160288594</v>
      </c>
      <c r="F23" s="1" t="s">
        <v>34</v>
      </c>
      <c r="G23" s="1" t="n">
        <v>12.8179</v>
      </c>
      <c r="H23" s="1" t="n">
        <v>12.7165</v>
      </c>
      <c r="I23" s="1" t="n">
        <v>-0.1014</v>
      </c>
      <c r="J23" s="1" t="n">
        <v>-0.00329999999999941</v>
      </c>
      <c r="K23" s="2" t="n">
        <v>0.772185714299112</v>
      </c>
      <c r="L23" s="2" t="n">
        <v>0.76784575802058</v>
      </c>
    </row>
    <row r="24" customFormat="false" ht="13.8" hidden="false" customHeight="false" outlineLevel="0" collapsed="false">
      <c r="A24" s="1" t="s">
        <v>35</v>
      </c>
      <c r="B24" s="1" t="n">
        <v>278513</v>
      </c>
      <c r="C24" s="1" t="n">
        <v>14.1685</v>
      </c>
      <c r="D24" s="2" t="n">
        <f aca="false">B24/B$1</f>
        <v>0.517893934322586</v>
      </c>
      <c r="F24" s="1" t="s">
        <v>35</v>
      </c>
      <c r="G24" s="1" t="n">
        <v>14.1685</v>
      </c>
      <c r="H24" s="1" t="n">
        <v>12.8982</v>
      </c>
      <c r="I24" s="1" t="n">
        <v>-1.2703</v>
      </c>
      <c r="J24" s="1" t="n">
        <v>-1.1722</v>
      </c>
      <c r="K24" s="2" t="n">
        <v>0.130599943917328</v>
      </c>
      <c r="L24" s="2" t="n">
        <v>0.148628794169028</v>
      </c>
      <c r="M24" s="1" t="s">
        <v>12</v>
      </c>
    </row>
    <row r="25" customFormat="false" ht="13.8" hidden="false" customHeight="false" outlineLevel="0" collapsed="false">
      <c r="A25" s="1" t="s">
        <v>36</v>
      </c>
      <c r="B25" s="1" t="n">
        <v>1594786</v>
      </c>
      <c r="C25" s="1" t="n">
        <v>13.2479</v>
      </c>
      <c r="D25" s="2" t="n">
        <f aca="false">B25/B$1</f>
        <v>2.9654989028971</v>
      </c>
      <c r="F25" s="1" t="s">
        <v>36</v>
      </c>
      <c r="G25" s="1" t="n">
        <v>13.2479</v>
      </c>
      <c r="H25" s="1" t="n">
        <v>13.0941</v>
      </c>
      <c r="I25" s="1" t="n">
        <v>-0.1538</v>
      </c>
      <c r="J25" s="1" t="n">
        <v>-0.0556999999999999</v>
      </c>
      <c r="K25" s="2" t="n">
        <v>0.747824920776192</v>
      </c>
      <c r="L25" s="2" t="n">
        <v>0.745978245598985</v>
      </c>
    </row>
    <row r="26" customFormat="false" ht="13.8" hidden="false" customHeight="false" outlineLevel="0" collapsed="false">
      <c r="A26" s="1" t="s">
        <v>37</v>
      </c>
      <c r="B26" s="1" t="n">
        <v>1002618</v>
      </c>
      <c r="C26" s="1" t="n">
        <v>16.2018</v>
      </c>
      <c r="D26" s="2" t="n">
        <f aca="false">B26/B$1</f>
        <v>1.86436461006359</v>
      </c>
      <c r="F26" s="1" t="s">
        <v>37</v>
      </c>
      <c r="G26" s="1" t="n">
        <v>16.2018</v>
      </c>
      <c r="H26" s="1" t="n">
        <v>15.9934</v>
      </c>
      <c r="I26" s="1" t="n">
        <v>-0.208399999999999</v>
      </c>
      <c r="J26" s="1" t="n">
        <v>-0.110299999999999</v>
      </c>
      <c r="K26" s="2" t="n">
        <v>0.470146293244852</v>
      </c>
      <c r="L26" s="2" t="n">
        <v>0.472531039346799</v>
      </c>
    </row>
    <row r="27" customFormat="false" ht="13.8" hidden="false" customHeight="false" outlineLevel="0" collapsed="false">
      <c r="A27" s="1" t="s">
        <v>38</v>
      </c>
      <c r="B27" s="1" t="n">
        <v>19723917</v>
      </c>
      <c r="C27" s="1" t="n">
        <v>11.1418</v>
      </c>
      <c r="D27" s="2" t="n">
        <f aca="false">B27/B$2</f>
        <v>86.899838306759</v>
      </c>
      <c r="F27" s="1" t="s">
        <v>38</v>
      </c>
    </row>
    <row r="28" customFormat="false" ht="13.8" hidden="false" customHeight="false" outlineLevel="0" collapsed="false">
      <c r="A28" s="1" t="s">
        <v>39</v>
      </c>
      <c r="B28" s="1" t="n">
        <v>4578991</v>
      </c>
      <c r="C28" s="1" t="n">
        <v>5.93367</v>
      </c>
      <c r="D28" s="2" t="n">
        <f aca="false">B28/B$2</f>
        <v>20.1741660902398</v>
      </c>
      <c r="F28" s="1" t="s">
        <v>39</v>
      </c>
    </row>
    <row r="29" customFormat="false" ht="13.8" hidden="false" customHeight="false" outlineLevel="0" collapsed="false">
      <c r="A29" s="1" t="s">
        <v>40</v>
      </c>
      <c r="B29" s="1" t="n">
        <v>15144926</v>
      </c>
      <c r="C29" s="1" t="n">
        <v>12.7165</v>
      </c>
      <c r="D29" s="2" t="n">
        <f aca="false">B29/B$2</f>
        <v>66.7256722165191</v>
      </c>
      <c r="F29" s="1" t="s">
        <v>40</v>
      </c>
    </row>
    <row r="30" customFormat="false" ht="13.8" hidden="false" customHeight="false" outlineLevel="0" collapsed="false">
      <c r="A30" s="1" t="s">
        <v>41</v>
      </c>
      <c r="B30" s="1" t="n">
        <v>2091376</v>
      </c>
      <c r="C30" s="1" t="n">
        <v>11.5549</v>
      </c>
      <c r="D30" s="2" t="n">
        <f aca="false">B30/B$2</f>
        <v>9.21420609499808</v>
      </c>
      <c r="F30" s="1" t="s">
        <v>41</v>
      </c>
    </row>
    <row r="31" customFormat="false" ht="13.8" hidden="false" customHeight="false" outlineLevel="0" collapsed="false">
      <c r="A31" s="1" t="s">
        <v>42</v>
      </c>
      <c r="B31" s="1" t="n">
        <v>17632541</v>
      </c>
      <c r="C31" s="1" t="n">
        <v>11.0928</v>
      </c>
      <c r="D31" s="2" t="n">
        <f aca="false">B31/B$2</f>
        <v>77.6856322117609</v>
      </c>
      <c r="F31" s="1" t="s">
        <v>42</v>
      </c>
    </row>
    <row r="32" customFormat="false" ht="13.8" hidden="false" customHeight="false" outlineLevel="0" collapsed="false">
      <c r="A32" s="1" t="s">
        <v>43</v>
      </c>
      <c r="B32" s="1" t="n">
        <v>2082953</v>
      </c>
      <c r="C32" s="1" t="n">
        <v>5.6165</v>
      </c>
      <c r="D32" s="2" t="n">
        <f aca="false">B32/B$2</f>
        <v>9.17709595414433</v>
      </c>
      <c r="F32" s="1" t="s">
        <v>43</v>
      </c>
    </row>
    <row r="33" customFormat="false" ht="13.8" hidden="false" customHeight="false" outlineLevel="0" collapsed="false">
      <c r="A33" s="1" t="s">
        <v>44</v>
      </c>
      <c r="B33" s="1" t="n">
        <v>17640964</v>
      </c>
      <c r="C33" s="1" t="n">
        <v>11.7942</v>
      </c>
      <c r="D33" s="2" t="n">
        <f aca="false">B33/B$2</f>
        <v>77.7227423526146</v>
      </c>
      <c r="F33" s="1" t="s">
        <v>44</v>
      </c>
    </row>
    <row r="34" customFormat="false" ht="13.8" hidden="false" customHeight="false" outlineLevel="0" collapsed="false">
      <c r="A34" s="1" t="s">
        <v>45</v>
      </c>
      <c r="B34" s="1" t="n">
        <v>5010304</v>
      </c>
      <c r="C34" s="1" t="n">
        <v>5.40855</v>
      </c>
      <c r="D34" s="2" t="n">
        <f aca="false">B34/B$2</f>
        <v>22.0744493838474</v>
      </c>
      <c r="F34" s="1" t="s">
        <v>45</v>
      </c>
    </row>
    <row r="35" customFormat="false" ht="13.8" hidden="false" customHeight="false" outlineLevel="0" collapsed="false">
      <c r="A35" s="1" t="s">
        <v>46</v>
      </c>
      <c r="B35" s="1" t="n">
        <v>14713613</v>
      </c>
      <c r="C35" s="1" t="n">
        <v>13.0941</v>
      </c>
      <c r="D35" s="2" t="n">
        <f aca="false">B35/B$2</f>
        <v>64.8253889229115</v>
      </c>
      <c r="F35" s="1" t="s">
        <v>46</v>
      </c>
    </row>
    <row r="36" customFormat="false" ht="13.8" hidden="false" customHeight="false" outlineLevel="0" collapsed="false">
      <c r="A36" s="1" t="s">
        <v>47</v>
      </c>
      <c r="B36" s="1" t="n">
        <v>9320163</v>
      </c>
      <c r="C36" s="1" t="n">
        <v>15.9934</v>
      </c>
      <c r="D36" s="2" t="n">
        <f aca="false">B36/B$2</f>
        <v>41.0628709141616</v>
      </c>
      <c r="F36" s="1" t="s">
        <v>47</v>
      </c>
    </row>
    <row r="37" customFormat="false" ht="13.8" hidden="false" customHeight="false" outlineLevel="0" collapsed="false">
      <c r="A37" s="1" t="s">
        <v>48</v>
      </c>
      <c r="B37" s="1" t="n">
        <v>10403754</v>
      </c>
      <c r="C37" s="1" t="n">
        <v>6.79555</v>
      </c>
      <c r="D37" s="2" t="n">
        <f aca="false">B37/B$2</f>
        <v>45.8369673925974</v>
      </c>
      <c r="F37" s="1" t="s">
        <v>48</v>
      </c>
    </row>
    <row r="38" customFormat="false" ht="13.8" hidden="false" customHeight="false" outlineLevel="0" collapsed="false">
      <c r="A38" s="1" t="s">
        <v>49</v>
      </c>
      <c r="B38" s="1" t="n">
        <v>125699</v>
      </c>
      <c r="C38" s="1" t="n">
        <v>11.7161</v>
      </c>
      <c r="D38" s="2" t="n">
        <f aca="false">B38/B$2</f>
        <v>0.553805959299124</v>
      </c>
      <c r="F38" s="1" t="s">
        <v>49</v>
      </c>
    </row>
    <row r="39" customFormat="false" ht="13.8" hidden="false" customHeight="false" outlineLevel="0" collapsed="false">
      <c r="A39" s="1" t="s">
        <v>50</v>
      </c>
      <c r="B39" s="1" t="n">
        <v>19598218</v>
      </c>
      <c r="C39" s="1" t="n">
        <v>11.1381</v>
      </c>
      <c r="D39" s="2" t="n">
        <f aca="false">B39/B$2</f>
        <v>86.3460323474598</v>
      </c>
      <c r="F39" s="1" t="s">
        <v>50</v>
      </c>
    </row>
    <row r="40" customFormat="false" ht="13.8" hidden="false" customHeight="false" outlineLevel="0" collapsed="false">
      <c r="A40" s="1" t="s">
        <v>51</v>
      </c>
      <c r="B40" s="1" t="n">
        <v>19723917</v>
      </c>
      <c r="C40" s="1" t="n">
        <v>11.1418</v>
      </c>
      <c r="D40" s="2" t="n">
        <f aca="false">B40/B$2</f>
        <v>86.899838306759</v>
      </c>
      <c r="F40" s="1" t="s">
        <v>51</v>
      </c>
    </row>
    <row r="41" customFormat="false" ht="13.8" hidden="false" customHeight="false" outlineLevel="0" collapsed="false">
      <c r="A41" s="1" t="s">
        <v>52</v>
      </c>
      <c r="B41" s="1" t="n">
        <v>1262793</v>
      </c>
      <c r="C41" s="1" t="n">
        <v>6.11913</v>
      </c>
      <c r="D41" s="2" t="n">
        <f aca="false">B41/B$2</f>
        <v>5.56362651064224</v>
      </c>
      <c r="F41" s="1" t="s">
        <v>52</v>
      </c>
    </row>
    <row r="42" customFormat="false" ht="13.8" hidden="false" customHeight="false" outlineLevel="0" collapsed="false">
      <c r="A42" s="1" t="s">
        <v>53</v>
      </c>
      <c r="B42" s="1" t="n">
        <v>18461124</v>
      </c>
      <c r="C42" s="1" t="n">
        <v>11.4854</v>
      </c>
      <c r="D42" s="2" t="n">
        <f aca="false">B42/B$2</f>
        <v>81.3362117961167</v>
      </c>
      <c r="F42" s="1" t="s">
        <v>53</v>
      </c>
    </row>
    <row r="43" customFormat="false" ht="13.8" hidden="false" customHeight="false" outlineLevel="0" collapsed="false">
      <c r="A43" s="1" t="s">
        <v>54</v>
      </c>
      <c r="B43" s="1" t="n">
        <v>1702776</v>
      </c>
      <c r="C43" s="1" t="n">
        <v>10.3803</v>
      </c>
      <c r="D43" s="2" t="n">
        <f aca="false">B43/B$2</f>
        <v>7.50210818026814</v>
      </c>
      <c r="F43" s="1" t="s">
        <v>54</v>
      </c>
    </row>
    <row r="44" customFormat="false" ht="13.8" hidden="false" customHeight="false" outlineLevel="0" collapsed="false">
      <c r="A44" s="1" t="s">
        <v>55</v>
      </c>
      <c r="B44" s="1" t="n">
        <v>18021141</v>
      </c>
      <c r="C44" s="1" t="n">
        <v>11.2138</v>
      </c>
      <c r="D44" s="2" t="n">
        <f aca="false">B44/B$2</f>
        <v>79.3977301264908</v>
      </c>
      <c r="F44" s="1" t="s">
        <v>55</v>
      </c>
    </row>
    <row r="45" customFormat="false" ht="13.8" hidden="false" customHeight="false" outlineLevel="0" collapsed="false">
      <c r="A45" s="1" t="s">
        <v>56</v>
      </c>
      <c r="B45" s="1" t="n">
        <v>4903931</v>
      </c>
      <c r="C45" s="1" t="n">
        <v>7.12441</v>
      </c>
      <c r="D45" s="2" t="n">
        <f aca="false">B45/B$2</f>
        <v>21.605790116005</v>
      </c>
      <c r="F45" s="1" t="s">
        <v>56</v>
      </c>
    </row>
    <row r="46" customFormat="false" ht="13.8" hidden="false" customHeight="false" outlineLevel="0" collapsed="false">
      <c r="A46" s="1" t="s">
        <v>57</v>
      </c>
      <c r="B46" s="1" t="n">
        <v>14819986</v>
      </c>
      <c r="C46" s="1" t="n">
        <v>12.4712</v>
      </c>
      <c r="D46" s="2" t="n">
        <f aca="false">B46/B$2</f>
        <v>65.294048190754</v>
      </c>
      <c r="F46" s="1" t="s">
        <v>57</v>
      </c>
    </row>
    <row r="47" customFormat="false" ht="13.8" hidden="false" customHeight="false" outlineLevel="0" collapsed="false">
      <c r="A47" s="1" t="s">
        <v>58</v>
      </c>
      <c r="B47" s="1" t="n">
        <v>2931542</v>
      </c>
      <c r="C47" s="1" t="n">
        <v>12.8982</v>
      </c>
      <c r="D47" s="2" t="n">
        <f aca="false">B47/B$2</f>
        <v>12.9158181810171</v>
      </c>
      <c r="F47" s="1" t="s">
        <v>58</v>
      </c>
    </row>
    <row r="48" customFormat="false" ht="13.8" hidden="false" customHeight="false" outlineLevel="0" collapsed="false">
      <c r="A48" s="1" t="s">
        <v>59</v>
      </c>
      <c r="B48" s="1" t="n">
        <v>16792375</v>
      </c>
      <c r="C48" s="1" t="n">
        <v>10.8352</v>
      </c>
      <c r="D48" s="2" t="n">
        <f aca="false">B48/B$2</f>
        <v>73.9840201257418</v>
      </c>
      <c r="F48" s="1" t="s">
        <v>59</v>
      </c>
    </row>
    <row r="49" customFormat="false" ht="13.8" hidden="false" customHeight="false" outlineLevel="0" collapsed="false">
      <c r="A49" s="1" t="s">
        <v>60</v>
      </c>
      <c r="B49" s="1" t="n">
        <v>11888444</v>
      </c>
      <c r="C49" s="1" t="n">
        <v>12.3659</v>
      </c>
      <c r="D49" s="2" t="n">
        <f aca="false">B49/B$2</f>
        <v>52.3782300097368</v>
      </c>
      <c r="F49" s="1" t="s">
        <v>60</v>
      </c>
    </row>
    <row r="50" customFormat="false" ht="13.8" hidden="false" customHeight="false" outlineLevel="0" collapsed="false">
      <c r="A50" s="1" t="s">
        <v>61</v>
      </c>
      <c r="B50" s="1" t="n">
        <v>7835473</v>
      </c>
      <c r="C50" s="1" t="n">
        <v>9.28458</v>
      </c>
      <c r="D50" s="2" t="n">
        <f aca="false">B50/B$2</f>
        <v>34.5216082970221</v>
      </c>
      <c r="F50" s="1" t="s">
        <v>61</v>
      </c>
    </row>
    <row r="51" customFormat="false" ht="13.8" hidden="false" customHeight="false" outlineLevel="0" collapsed="false">
      <c r="A51" s="1" t="s">
        <v>62</v>
      </c>
      <c r="B51" s="1" t="n">
        <v>13920763</v>
      </c>
      <c r="C51" s="1" t="n">
        <v>12.4058</v>
      </c>
      <c r="D51" s="2" t="n">
        <f aca="false">B51/B$2</f>
        <v>61.3322421609619</v>
      </c>
      <c r="F51" s="1" t="s">
        <v>62</v>
      </c>
    </row>
    <row r="52" customFormat="false" ht="13.8" hidden="false" customHeight="false" outlineLevel="0" collapsed="false">
      <c r="A52" s="1" t="s">
        <v>63</v>
      </c>
      <c r="B52" s="1" t="n">
        <v>5803154</v>
      </c>
      <c r="C52" s="1" t="n">
        <v>8.10973</v>
      </c>
      <c r="D52" s="2" t="n">
        <f aca="false">B52/B$2</f>
        <v>25.5675961457971</v>
      </c>
      <c r="F52" s="1" t="s">
        <v>63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3" min="1" style="1" width="12.15"/>
    <col collapsed="false" customWidth="true" hidden="false" outlineLevel="0" max="4" min="4" style="1" width="11.43"/>
  </cols>
  <sheetData>
    <row r="1" customFormat="false" ht="13.8" hidden="false" customHeight="false" outlineLevel="0" collapsed="false">
      <c r="A1" s="1" t="n">
        <v>0</v>
      </c>
      <c r="B1" s="1" t="n">
        <v>13.3811</v>
      </c>
    </row>
    <row r="2" customFormat="false" ht="13.8" hidden="false" customHeight="false" outlineLevel="0" collapsed="false">
      <c r="A2" s="1" t="n">
        <f aca="false">1+A1</f>
        <v>1</v>
      </c>
      <c r="B2" s="1" t="n">
        <v>13.2765</v>
      </c>
    </row>
    <row r="3" customFormat="false" ht="13.8" hidden="false" customHeight="false" outlineLevel="0" collapsed="false">
      <c r="A3" s="1" t="n">
        <f aca="false">1+A2</f>
        <v>2</v>
      </c>
      <c r="B3" s="1" t="n">
        <v>13.1761</v>
      </c>
    </row>
    <row r="4" customFormat="false" ht="13.8" hidden="false" customHeight="false" outlineLevel="0" collapsed="false">
      <c r="A4" s="1" t="n">
        <f aca="false">1+A3</f>
        <v>3</v>
      </c>
      <c r="B4" s="1" t="n">
        <v>13.0792</v>
      </c>
    </row>
    <row r="5" customFormat="false" ht="13.8" hidden="false" customHeight="false" outlineLevel="0" collapsed="false">
      <c r="A5" s="1" t="n">
        <f aca="false">1+A4</f>
        <v>4</v>
      </c>
      <c r="B5" s="1" t="n">
        <v>12.9739</v>
      </c>
    </row>
    <row r="6" customFormat="false" ht="13.8" hidden="false" customHeight="false" outlineLevel="0" collapsed="false">
      <c r="A6" s="1" t="n">
        <f aca="false">1+A5</f>
        <v>5</v>
      </c>
      <c r="B6" s="1" t="n">
        <v>12.8667</v>
      </c>
    </row>
    <row r="7" customFormat="false" ht="13.8" hidden="false" customHeight="false" outlineLevel="0" collapsed="false">
      <c r="A7" s="1" t="n">
        <f aca="false">1+A6</f>
        <v>6</v>
      </c>
      <c r="B7" s="1" t="n">
        <v>12.764</v>
      </c>
    </row>
    <row r="8" customFormat="false" ht="13.8" hidden="false" customHeight="false" outlineLevel="0" collapsed="false">
      <c r="A8" s="1" t="n">
        <f aca="false">1+A7</f>
        <v>7</v>
      </c>
      <c r="B8" s="1" t="n">
        <v>12.6629</v>
      </c>
    </row>
    <row r="9" customFormat="false" ht="13.8" hidden="false" customHeight="false" outlineLevel="0" collapsed="false">
      <c r="A9" s="1" t="n">
        <f aca="false">1+A8</f>
        <v>8</v>
      </c>
      <c r="B9" s="1" t="n">
        <v>12.5667</v>
      </c>
    </row>
    <row r="10" customFormat="false" ht="13.8" hidden="false" customHeight="false" outlineLevel="0" collapsed="false">
      <c r="A10" s="1" t="n">
        <f aca="false">1+A9</f>
        <v>9</v>
      </c>
      <c r="B10" s="1" t="n">
        <v>12.4691</v>
      </c>
    </row>
    <row r="11" customFormat="false" ht="13.8" hidden="false" customHeight="false" outlineLevel="0" collapsed="false">
      <c r="A11" s="1" t="n">
        <f aca="false">1+A10</f>
        <v>10</v>
      </c>
      <c r="B11" s="1" t="n">
        <v>12.372</v>
      </c>
    </row>
    <row r="12" customFormat="false" ht="13.8" hidden="false" customHeight="false" outlineLevel="0" collapsed="false">
      <c r="A12" s="1" t="n">
        <f aca="false">1+A11</f>
        <v>11</v>
      </c>
      <c r="B12" s="1" t="n">
        <v>12.2775</v>
      </c>
    </row>
    <row r="13" customFormat="false" ht="13.8" hidden="false" customHeight="false" outlineLevel="0" collapsed="false">
      <c r="A13" s="1" t="n">
        <f aca="false">1+A12</f>
        <v>12</v>
      </c>
      <c r="B13" s="1" t="n">
        <v>12.1858</v>
      </c>
    </row>
    <row r="14" customFormat="false" ht="13.8" hidden="false" customHeight="false" outlineLevel="0" collapsed="false">
      <c r="A14" s="1" t="n">
        <f aca="false">1+A13</f>
        <v>13</v>
      </c>
      <c r="B14" s="1" t="n">
        <v>12.0945</v>
      </c>
    </row>
    <row r="15" customFormat="false" ht="13.8" hidden="false" customHeight="false" outlineLevel="0" collapsed="false">
      <c r="A15" s="1" t="n">
        <f aca="false">1+A14</f>
        <v>14</v>
      </c>
      <c r="B15" s="1" t="n">
        <v>12.0032</v>
      </c>
    </row>
    <row r="16" customFormat="false" ht="13.8" hidden="false" customHeight="false" outlineLevel="0" collapsed="false">
      <c r="A16" s="1" t="n">
        <f aca="false">1+A15</f>
        <v>15</v>
      </c>
      <c r="B16" s="1" t="n">
        <v>11.9176</v>
      </c>
    </row>
    <row r="17" customFormat="false" ht="13.8" hidden="false" customHeight="false" outlineLevel="0" collapsed="false">
      <c r="A17" s="1" t="n">
        <f aca="false">1+A16</f>
        <v>16</v>
      </c>
      <c r="B17" s="1" t="n">
        <v>11.8289</v>
      </c>
    </row>
    <row r="18" customFormat="false" ht="13.8" hidden="false" customHeight="false" outlineLevel="0" collapsed="false">
      <c r="A18" s="1" t="n">
        <f aca="false">1+A17</f>
        <v>17</v>
      </c>
      <c r="B18" s="1" t="n">
        <v>11.7412</v>
      </c>
    </row>
    <row r="19" customFormat="false" ht="13.8" hidden="false" customHeight="false" outlineLevel="0" collapsed="false">
      <c r="A19" s="1" t="n">
        <f aca="false">1+A18</f>
        <v>18</v>
      </c>
      <c r="B19" s="1" t="n">
        <v>11.6587</v>
      </c>
    </row>
    <row r="20" customFormat="false" ht="13.8" hidden="false" customHeight="false" outlineLevel="0" collapsed="false">
      <c r="A20" s="1" t="n">
        <f aca="false">1+A19</f>
        <v>19</v>
      </c>
      <c r="B20" s="1" t="n">
        <v>11.5748</v>
      </c>
    </row>
    <row r="21" customFormat="false" ht="13.8" hidden="false" customHeight="false" outlineLevel="0" collapsed="false">
      <c r="A21" s="1" t="n">
        <f aca="false">1+A20</f>
        <v>20</v>
      </c>
      <c r="B21" s="1" t="n">
        <v>11.498</v>
      </c>
    </row>
    <row r="22" customFormat="false" ht="13.8" hidden="false" customHeight="false" outlineLevel="0" collapsed="false">
      <c r="A22" s="1" t="n">
        <f aca="false">1+A21</f>
        <v>21</v>
      </c>
      <c r="B22" s="1" t="n">
        <v>11.42</v>
      </c>
    </row>
    <row r="23" customFormat="false" ht="13.8" hidden="false" customHeight="false" outlineLevel="0" collapsed="false">
      <c r="A23" s="1" t="n">
        <f aca="false">1+A22</f>
        <v>22</v>
      </c>
      <c r="B23" s="1" t="n">
        <v>11.3388</v>
      </c>
    </row>
    <row r="24" customFormat="false" ht="13.8" hidden="false" customHeight="false" outlineLevel="0" collapsed="false">
      <c r="A24" s="1" t="n">
        <f aca="false">1+A23</f>
        <v>23</v>
      </c>
      <c r="B24" s="1" t="n">
        <v>11.265</v>
      </c>
    </row>
    <row r="25" customFormat="false" ht="13.8" hidden="false" customHeight="false" outlineLevel="0" collapsed="false">
      <c r="A25" s="1" t="n">
        <f aca="false">1+A24</f>
        <v>24</v>
      </c>
      <c r="B25" s="1" t="n">
        <v>11.192</v>
      </c>
    </row>
    <row r="26" customFormat="false" ht="13.8" hidden="false" customHeight="false" outlineLevel="0" collapsed="false">
      <c r="A26" s="1" t="n">
        <f aca="false">1+A25</f>
        <v>25</v>
      </c>
      <c r="B26" s="1" t="n">
        <v>11.116</v>
      </c>
    </row>
    <row r="27" customFormat="false" ht="13.8" hidden="false" customHeight="false" outlineLevel="0" collapsed="false">
      <c r="A27" s="1" t="n">
        <f aca="false">1+A26</f>
        <v>26</v>
      </c>
      <c r="B27" s="1" t="n">
        <v>11.0445</v>
      </c>
    </row>
    <row r="28" customFormat="false" ht="13.8" hidden="false" customHeight="false" outlineLevel="0" collapsed="false">
      <c r="A28" s="1" t="n">
        <f aca="false">1+A27</f>
        <v>27</v>
      </c>
      <c r="B28" s="1" t="n">
        <v>10.9753</v>
      </c>
    </row>
    <row r="29" customFormat="false" ht="13.8" hidden="false" customHeight="false" outlineLevel="0" collapsed="false">
      <c r="A29" s="1" t="n">
        <f aca="false">1+A28</f>
        <v>28</v>
      </c>
      <c r="B29" s="1" t="n">
        <v>10.9045</v>
      </c>
    </row>
    <row r="30" customFormat="false" ht="13.8" hidden="false" customHeight="false" outlineLevel="0" collapsed="false">
      <c r="A30" s="1" t="n">
        <f aca="false">1+A29</f>
        <v>29</v>
      </c>
      <c r="B30" s="1" t="n">
        <v>10.8382</v>
      </c>
    </row>
    <row r="31" customFormat="false" ht="13.8" hidden="false" customHeight="false" outlineLevel="0" collapsed="false">
      <c r="A31" s="1" t="n">
        <f aca="false">1+A30</f>
        <v>30</v>
      </c>
      <c r="B31" s="1" t="n">
        <v>10.7666</v>
      </c>
    </row>
    <row r="32" customFormat="false" ht="13.8" hidden="false" customHeight="false" outlineLevel="0" collapsed="false">
      <c r="A32" s="1" t="n">
        <f aca="false">1+A31</f>
        <v>31</v>
      </c>
      <c r="B32" s="1" t="n">
        <v>10.696</v>
      </c>
    </row>
    <row r="33" customFormat="false" ht="13.8" hidden="false" customHeight="false" outlineLevel="0" collapsed="false">
      <c r="A33" s="1" t="n">
        <f aca="false">1+A32</f>
        <v>32</v>
      </c>
      <c r="B33" s="1" t="n">
        <v>10.6263</v>
      </c>
    </row>
    <row r="34" customFormat="false" ht="13.8" hidden="false" customHeight="false" outlineLevel="0" collapsed="false">
      <c r="A34" s="1" t="n">
        <f aca="false">1+A33</f>
        <v>33</v>
      </c>
      <c r="B34" s="1" t="n">
        <v>10.5611</v>
      </c>
    </row>
    <row r="35" customFormat="false" ht="13.8" hidden="false" customHeight="false" outlineLevel="0" collapsed="false">
      <c r="A35" s="1" t="n">
        <f aca="false">1+A34</f>
        <v>34</v>
      </c>
      <c r="B35" s="1" t="n">
        <v>10.4967</v>
      </c>
    </row>
    <row r="36" customFormat="false" ht="13.8" hidden="false" customHeight="false" outlineLevel="0" collapsed="false">
      <c r="A36" s="1" t="n">
        <f aca="false">1+A35</f>
        <v>35</v>
      </c>
      <c r="B36" s="1" t="n">
        <v>10.4339</v>
      </c>
    </row>
    <row r="37" customFormat="false" ht="13.8" hidden="false" customHeight="false" outlineLevel="0" collapsed="false">
      <c r="A37" s="1" t="n">
        <f aca="false">1+A36</f>
        <v>36</v>
      </c>
      <c r="B37" s="1" t="n">
        <v>10.3729</v>
      </c>
    </row>
    <row r="38" customFormat="false" ht="13.8" hidden="false" customHeight="false" outlineLevel="0" collapsed="false">
      <c r="A38" s="1" t="n">
        <f aca="false">1+A37</f>
        <v>37</v>
      </c>
      <c r="B38" s="1" t="n">
        <v>10.3119</v>
      </c>
    </row>
    <row r="39" customFormat="false" ht="13.8" hidden="false" customHeight="false" outlineLevel="0" collapsed="false">
      <c r="A39" s="1" t="n">
        <f aca="false">1+A38</f>
        <v>38</v>
      </c>
      <c r="B39" s="1" t="n">
        <v>10.2556</v>
      </c>
    </row>
    <row r="40" customFormat="false" ht="13.8" hidden="false" customHeight="false" outlineLevel="0" collapsed="false">
      <c r="A40" s="1" t="n">
        <f aca="false">1+A39</f>
        <v>39</v>
      </c>
      <c r="B40" s="1" t="n">
        <v>10.1928</v>
      </c>
    </row>
    <row r="41" customFormat="false" ht="13.8" hidden="false" customHeight="false" outlineLevel="0" collapsed="false">
      <c r="A41" s="1" t="n">
        <f aca="false">1+A40</f>
        <v>40</v>
      </c>
      <c r="B41" s="1" t="n">
        <v>10.1292</v>
      </c>
    </row>
    <row r="42" customFormat="false" ht="13.8" hidden="false" customHeight="false" outlineLevel="0" collapsed="false">
      <c r="A42" s="1" t="n">
        <f aca="false">1+A41</f>
        <v>41</v>
      </c>
      <c r="B42" s="1" t="n">
        <v>10.0707</v>
      </c>
    </row>
    <row r="43" customFormat="false" ht="13.8" hidden="false" customHeight="false" outlineLevel="0" collapsed="false">
      <c r="A43" s="1" t="n">
        <f aca="false">1+A42</f>
        <v>42</v>
      </c>
      <c r="B43" s="1" t="n">
        <v>10.0182</v>
      </c>
    </row>
    <row r="44" customFormat="false" ht="13.8" hidden="false" customHeight="false" outlineLevel="0" collapsed="false">
      <c r="A44" s="1" t="n">
        <f aca="false">1+A43</f>
        <v>43</v>
      </c>
      <c r="B44" s="1" t="n">
        <v>9.96087</v>
      </c>
    </row>
    <row r="45" customFormat="false" ht="13.8" hidden="false" customHeight="false" outlineLevel="0" collapsed="false">
      <c r="A45" s="1" t="n">
        <f aca="false">1+A44</f>
        <v>44</v>
      </c>
      <c r="B45" s="1" t="n">
        <v>9.90538</v>
      </c>
    </row>
    <row r="46" customFormat="false" ht="13.8" hidden="false" customHeight="false" outlineLevel="0" collapsed="false">
      <c r="A46" s="1" t="n">
        <f aca="false">1+A45</f>
        <v>45</v>
      </c>
      <c r="B46" s="1" t="n">
        <v>9.8462</v>
      </c>
    </row>
    <row r="47" customFormat="false" ht="13.8" hidden="false" customHeight="false" outlineLevel="0" collapsed="false">
      <c r="A47" s="1" t="n">
        <f aca="false">1+A46</f>
        <v>46</v>
      </c>
      <c r="B47" s="1" t="n">
        <v>9.79274</v>
      </c>
    </row>
    <row r="48" customFormat="false" ht="13.8" hidden="false" customHeight="false" outlineLevel="0" collapsed="false">
      <c r="A48" s="1" t="n">
        <f aca="false">1+A47</f>
        <v>47</v>
      </c>
      <c r="B48" s="1" t="n">
        <v>9.73933</v>
      </c>
    </row>
    <row r="49" customFormat="false" ht="13.8" hidden="false" customHeight="false" outlineLevel="0" collapsed="false">
      <c r="A49" s="1" t="n">
        <f aca="false">1+A48</f>
        <v>48</v>
      </c>
      <c r="B49" s="1" t="n">
        <v>9.68246</v>
      </c>
    </row>
    <row r="50" customFormat="false" ht="13.8" hidden="false" customHeight="false" outlineLevel="0" collapsed="false">
      <c r="A50" s="1" t="n">
        <f aca="false">1+A49</f>
        <v>49</v>
      </c>
      <c r="B50" s="1" t="n">
        <v>9.63096</v>
      </c>
    </row>
    <row r="51" customFormat="false" ht="13.8" hidden="false" customHeight="false" outlineLevel="0" collapsed="false">
      <c r="A51" s="1" t="n">
        <f aca="false">1+A50</f>
        <v>50</v>
      </c>
      <c r="B51" s="1" t="n">
        <v>9.57679</v>
      </c>
    </row>
    <row r="52" customFormat="false" ht="13.8" hidden="false" customHeight="false" outlineLevel="0" collapsed="false">
      <c r="A52" s="1" t="n">
        <f aca="false">1+A51</f>
        <v>51</v>
      </c>
      <c r="B52" s="1" t="n">
        <v>9.52488</v>
      </c>
    </row>
    <row r="53" customFormat="false" ht="13.8" hidden="false" customHeight="false" outlineLevel="0" collapsed="false">
      <c r="A53" s="1" t="n">
        <f aca="false">1+A52</f>
        <v>52</v>
      </c>
      <c r="B53" s="1" t="n">
        <v>9.47363</v>
      </c>
    </row>
    <row r="54" customFormat="false" ht="13.8" hidden="false" customHeight="false" outlineLevel="0" collapsed="false">
      <c r="A54" s="1" t="n">
        <f aca="false">1+A53</f>
        <v>53</v>
      </c>
      <c r="B54" s="1" t="n">
        <v>9.42122</v>
      </c>
    </row>
    <row r="55" customFormat="false" ht="13.8" hidden="false" customHeight="false" outlineLevel="0" collapsed="false">
      <c r="A55" s="1" t="n">
        <f aca="false">1+A54</f>
        <v>54</v>
      </c>
      <c r="B55" s="1" t="n">
        <v>9.36942</v>
      </c>
    </row>
    <row r="56" customFormat="false" ht="13.8" hidden="false" customHeight="false" outlineLevel="0" collapsed="false">
      <c r="A56" s="1" t="n">
        <f aca="false">1+A55</f>
        <v>55</v>
      </c>
      <c r="B56" s="1" t="n">
        <v>9.32503</v>
      </c>
    </row>
    <row r="57" customFormat="false" ht="13.8" hidden="false" customHeight="false" outlineLevel="0" collapsed="false">
      <c r="A57" s="1" t="n">
        <f aca="false">1+A56</f>
        <v>56</v>
      </c>
      <c r="B57" s="1" t="n">
        <v>9.27966</v>
      </c>
    </row>
    <row r="58" customFormat="false" ht="13.8" hidden="false" customHeight="false" outlineLevel="0" collapsed="false">
      <c r="A58" s="1" t="n">
        <f aca="false">1+A57</f>
        <v>57</v>
      </c>
      <c r="B58" s="1" t="n">
        <v>9.23124</v>
      </c>
    </row>
    <row r="59" customFormat="false" ht="13.8" hidden="false" customHeight="false" outlineLevel="0" collapsed="false">
      <c r="A59" s="1" t="n">
        <f aca="false">1+A58</f>
        <v>58</v>
      </c>
      <c r="B59" s="1" t="n">
        <v>9.18702</v>
      </c>
    </row>
    <row r="60" customFormat="false" ht="13.8" hidden="false" customHeight="false" outlineLevel="0" collapsed="false">
      <c r="A60" s="1" t="n">
        <f aca="false">1+A59</f>
        <v>59</v>
      </c>
      <c r="B60" s="1" t="n">
        <v>9.14174</v>
      </c>
    </row>
    <row r="61" customFormat="false" ht="13.8" hidden="false" customHeight="false" outlineLevel="0" collapsed="false">
      <c r="A61" s="1" t="n">
        <f aca="false">1+A60</f>
        <v>60</v>
      </c>
      <c r="B61" s="1" t="n">
        <v>9.09197</v>
      </c>
    </row>
    <row r="62" customFormat="false" ht="13.8" hidden="false" customHeight="false" outlineLevel="0" collapsed="false">
      <c r="A62" s="1" t="n">
        <f aca="false">1+A61</f>
        <v>61</v>
      </c>
      <c r="B62" s="1" t="n">
        <v>9.04862</v>
      </c>
    </row>
    <row r="63" customFormat="false" ht="13.8" hidden="false" customHeight="false" outlineLevel="0" collapsed="false">
      <c r="A63" s="1" t="n">
        <f aca="false">1+A62</f>
        <v>62</v>
      </c>
      <c r="B63" s="1" t="n">
        <v>9.00207</v>
      </c>
    </row>
    <row r="64" customFormat="false" ht="13.8" hidden="false" customHeight="false" outlineLevel="0" collapsed="false">
      <c r="A64" s="1" t="n">
        <f aca="false">1+A63</f>
        <v>63</v>
      </c>
      <c r="B64" s="1" t="n">
        <v>8.95531</v>
      </c>
    </row>
    <row r="65" customFormat="false" ht="13.8" hidden="false" customHeight="false" outlineLevel="0" collapsed="false">
      <c r="A65" s="1" t="n">
        <f aca="false">1+A64</f>
        <v>64</v>
      </c>
      <c r="B65" s="1" t="n">
        <v>8.91044</v>
      </c>
    </row>
    <row r="66" customFormat="false" ht="13.8" hidden="false" customHeight="false" outlineLevel="0" collapsed="false">
      <c r="A66" s="1" t="n">
        <f aca="false">1+A65</f>
        <v>65</v>
      </c>
      <c r="B66" s="1" t="n">
        <v>8.86668</v>
      </c>
    </row>
    <row r="67" customFormat="false" ht="13.8" hidden="false" customHeight="false" outlineLevel="0" collapsed="false">
      <c r="A67" s="1" t="n">
        <f aca="false">1+A66</f>
        <v>66</v>
      </c>
      <c r="B67" s="1" t="n">
        <v>8.82143</v>
      </c>
    </row>
    <row r="68" customFormat="false" ht="13.8" hidden="false" customHeight="false" outlineLevel="0" collapsed="false">
      <c r="A68" s="1" t="n">
        <f aca="false">1+A67</f>
        <v>67</v>
      </c>
      <c r="B68" s="1" t="n">
        <v>8.77653</v>
      </c>
    </row>
    <row r="69" customFormat="false" ht="13.8" hidden="false" customHeight="false" outlineLevel="0" collapsed="false">
      <c r="A69" s="1" t="n">
        <f aca="false">1+A68</f>
        <v>68</v>
      </c>
      <c r="B69" s="1" t="n">
        <v>8.73488</v>
      </c>
    </row>
    <row r="70" customFormat="false" ht="13.8" hidden="false" customHeight="false" outlineLevel="0" collapsed="false">
      <c r="A70" s="1" t="n">
        <f aca="false">1+A69</f>
        <v>69</v>
      </c>
      <c r="B70" s="1" t="n">
        <v>8.6908</v>
      </c>
    </row>
    <row r="71" customFormat="false" ht="13.8" hidden="false" customHeight="false" outlineLevel="0" collapsed="false">
      <c r="A71" s="1" t="n">
        <f aca="false">1+A70</f>
        <v>70</v>
      </c>
      <c r="B71" s="1" t="n">
        <v>8.64604</v>
      </c>
    </row>
    <row r="72" customFormat="false" ht="13.8" hidden="false" customHeight="false" outlineLevel="0" collapsed="false">
      <c r="A72" s="1" t="n">
        <f aca="false">1+A71</f>
        <v>71</v>
      </c>
      <c r="B72" s="1" t="n">
        <v>8.60527</v>
      </c>
    </row>
    <row r="73" customFormat="false" ht="13.8" hidden="false" customHeight="false" outlineLevel="0" collapsed="false">
      <c r="A73" s="1" t="n">
        <f aca="false">1+A72</f>
        <v>72</v>
      </c>
      <c r="B73" s="1" t="n">
        <v>8.56006</v>
      </c>
    </row>
    <row r="74" customFormat="false" ht="13.8" hidden="false" customHeight="false" outlineLevel="0" collapsed="false">
      <c r="A74" s="1" t="n">
        <f aca="false">1+A73</f>
        <v>73</v>
      </c>
      <c r="B74" s="1" t="n">
        <v>8.51556</v>
      </c>
    </row>
    <row r="75" customFormat="false" ht="13.8" hidden="false" customHeight="false" outlineLevel="0" collapsed="false">
      <c r="A75" s="1" t="n">
        <f aca="false">1+A74</f>
        <v>74</v>
      </c>
      <c r="B75" s="1" t="n">
        <v>8.46834</v>
      </c>
    </row>
    <row r="76" customFormat="false" ht="13.8" hidden="false" customHeight="false" outlineLevel="0" collapsed="false">
      <c r="A76" s="1" t="n">
        <f aca="false">1+A75</f>
        <v>75</v>
      </c>
      <c r="B76" s="1" t="n">
        <v>8.42947</v>
      </c>
    </row>
    <row r="77" customFormat="false" ht="13.8" hidden="false" customHeight="false" outlineLevel="0" collapsed="false">
      <c r="A77" s="1" t="n">
        <f aca="false">1+A76</f>
        <v>76</v>
      </c>
      <c r="B77" s="1" t="n">
        <v>8.38979</v>
      </c>
    </row>
    <row r="78" customFormat="false" ht="13.8" hidden="false" customHeight="false" outlineLevel="0" collapsed="false">
      <c r="A78" s="1" t="n">
        <f aca="false">1+A77</f>
        <v>77</v>
      </c>
      <c r="B78" s="1" t="n">
        <v>8.34864</v>
      </c>
    </row>
    <row r="79" customFormat="false" ht="13.8" hidden="false" customHeight="false" outlineLevel="0" collapsed="false">
      <c r="A79" s="1" t="n">
        <f aca="false">1+A78</f>
        <v>78</v>
      </c>
      <c r="B79" s="1" t="n">
        <v>8.30678</v>
      </c>
    </row>
    <row r="80" customFormat="false" ht="13.8" hidden="false" customHeight="false" outlineLevel="0" collapsed="false">
      <c r="A80" s="1" t="n">
        <f aca="false">1+A79</f>
        <v>79</v>
      </c>
      <c r="B80" s="1" t="n">
        <v>8.26512</v>
      </c>
    </row>
    <row r="81" customFormat="false" ht="13.8" hidden="false" customHeight="false" outlineLevel="0" collapsed="false">
      <c r="A81" s="1" t="n">
        <f aca="false">1+A80</f>
        <v>80</v>
      </c>
      <c r="B81" s="1" t="n">
        <v>8.22347</v>
      </c>
    </row>
    <row r="82" customFormat="false" ht="13.8" hidden="false" customHeight="false" outlineLevel="0" collapsed="false">
      <c r="A82" s="1" t="n">
        <f aca="false">1+A81</f>
        <v>81</v>
      </c>
      <c r="B82" s="1" t="n">
        <v>8.17685</v>
      </c>
    </row>
    <row r="83" customFormat="false" ht="13.8" hidden="false" customHeight="false" outlineLevel="0" collapsed="false">
      <c r="A83" s="1" t="n">
        <f aca="false">1+A82</f>
        <v>82</v>
      </c>
      <c r="B83" s="1" t="n">
        <v>8.144</v>
      </c>
    </row>
    <row r="84" customFormat="false" ht="13.8" hidden="false" customHeight="false" outlineLevel="0" collapsed="false">
      <c r="A84" s="1" t="n">
        <f aca="false">1+A83</f>
        <v>83</v>
      </c>
      <c r="B84" s="1" t="n">
        <v>8.10569</v>
      </c>
    </row>
    <row r="85" customFormat="false" ht="13.8" hidden="false" customHeight="false" outlineLevel="0" collapsed="false">
      <c r="A85" s="1" t="n">
        <f aca="false">1+A84</f>
        <v>84</v>
      </c>
      <c r="B85" s="1" t="n">
        <v>8.06644</v>
      </c>
    </row>
    <row r="86" customFormat="false" ht="13.8" hidden="false" customHeight="false" outlineLevel="0" collapsed="false">
      <c r="A86" s="1" t="n">
        <f aca="false">1+A85</f>
        <v>85</v>
      </c>
      <c r="B86" s="1" t="n">
        <v>8.02578</v>
      </c>
    </row>
    <row r="87" customFormat="false" ht="13.8" hidden="false" customHeight="false" outlineLevel="0" collapsed="false">
      <c r="A87" s="1" t="n">
        <f aca="false">1+A86</f>
        <v>86</v>
      </c>
      <c r="B87" s="1" t="n">
        <v>7.98701</v>
      </c>
    </row>
    <row r="88" customFormat="false" ht="13.8" hidden="false" customHeight="false" outlineLevel="0" collapsed="false">
      <c r="A88" s="1" t="n">
        <f aca="false">1+A87</f>
        <v>87</v>
      </c>
      <c r="B88" s="1" t="n">
        <v>7.94903</v>
      </c>
    </row>
    <row r="89" customFormat="false" ht="13.8" hidden="false" customHeight="false" outlineLevel="0" collapsed="false">
      <c r="A89" s="1" t="n">
        <f aca="false">1+A88</f>
        <v>88</v>
      </c>
      <c r="B89" s="1" t="n">
        <v>7.90812</v>
      </c>
    </row>
    <row r="90" customFormat="false" ht="13.8" hidden="false" customHeight="false" outlineLevel="0" collapsed="false">
      <c r="A90" s="1" t="n">
        <f aca="false">1+A89</f>
        <v>89</v>
      </c>
      <c r="B90" s="1" t="n">
        <v>7.87252</v>
      </c>
    </row>
    <row r="91" customFormat="false" ht="13.8" hidden="false" customHeight="false" outlineLevel="0" collapsed="false">
      <c r="A91" s="1" t="n">
        <f aca="false">1+A90</f>
        <v>90</v>
      </c>
      <c r="B91" s="1" t="n">
        <v>7.83087</v>
      </c>
    </row>
    <row r="92" customFormat="false" ht="13.8" hidden="false" customHeight="false" outlineLevel="0" collapsed="false">
      <c r="A92" s="1" t="n">
        <f aca="false">1+A91</f>
        <v>91</v>
      </c>
      <c r="B92" s="1" t="n">
        <v>7.79566</v>
      </c>
    </row>
    <row r="93" customFormat="false" ht="13.8" hidden="false" customHeight="false" outlineLevel="0" collapsed="false">
      <c r="A93" s="1" t="n">
        <f aca="false">1+A92</f>
        <v>92</v>
      </c>
      <c r="B93" s="1" t="n">
        <v>7.75562</v>
      </c>
    </row>
    <row r="94" customFormat="false" ht="13.8" hidden="false" customHeight="false" outlineLevel="0" collapsed="false">
      <c r="A94" s="1" t="n">
        <f aca="false">1+A93</f>
        <v>93</v>
      </c>
      <c r="B94" s="1" t="n">
        <v>7.71872</v>
      </c>
    </row>
    <row r="95" customFormat="false" ht="13.8" hidden="false" customHeight="false" outlineLevel="0" collapsed="false">
      <c r="A95" s="1" t="n">
        <f aca="false">1+A94</f>
        <v>94</v>
      </c>
      <c r="B95" s="1" t="n">
        <v>7.68084</v>
      </c>
    </row>
    <row r="96" customFormat="false" ht="13.8" hidden="false" customHeight="false" outlineLevel="0" collapsed="false">
      <c r="A96" s="1" t="n">
        <f aca="false">1+A95</f>
        <v>95</v>
      </c>
      <c r="B96" s="1" t="n">
        <v>7.64381</v>
      </c>
    </row>
    <row r="97" customFormat="false" ht="13.8" hidden="false" customHeight="false" outlineLevel="0" collapsed="false">
      <c r="A97" s="1" t="n">
        <f aca="false">1+A96</f>
        <v>96</v>
      </c>
      <c r="B97" s="1" t="n">
        <v>7.60948</v>
      </c>
    </row>
    <row r="98" customFormat="false" ht="13.8" hidden="false" customHeight="false" outlineLevel="0" collapsed="false">
      <c r="A98" s="1" t="n">
        <f aca="false">1+A97</f>
        <v>97</v>
      </c>
      <c r="B98" s="1" t="n">
        <v>7.57401</v>
      </c>
    </row>
    <row r="99" customFormat="false" ht="13.8" hidden="false" customHeight="false" outlineLevel="0" collapsed="false">
      <c r="A99" s="1" t="n">
        <f aca="false">1+A98</f>
        <v>98</v>
      </c>
      <c r="B99" s="1" t="n">
        <v>7.54293</v>
      </c>
    </row>
    <row r="100" customFormat="false" ht="13.8" hidden="false" customHeight="false" outlineLevel="0" collapsed="false">
      <c r="A100" s="1" t="n">
        <f aca="false">1+A99</f>
        <v>99</v>
      </c>
      <c r="B100" s="1" t="n">
        <v>7.5062</v>
      </c>
    </row>
    <row r="101" customFormat="false" ht="13.8" hidden="false" customHeight="false" outlineLevel="0" collapsed="false">
      <c r="A101" s="1" t="n">
        <f aca="false">1+A100</f>
        <v>100</v>
      </c>
      <c r="B101" s="1" t="n">
        <v>7.47203</v>
      </c>
    </row>
    <row r="102" customFormat="false" ht="13.8" hidden="false" customHeight="false" outlineLevel="0" collapsed="false">
      <c r="A102" s="1" t="n">
        <f aca="false">1+A101</f>
        <v>101</v>
      </c>
      <c r="B102" s="1" t="n">
        <v>7.43904</v>
      </c>
    </row>
    <row r="103" customFormat="false" ht="13.8" hidden="false" customHeight="false" outlineLevel="0" collapsed="false">
      <c r="A103" s="1" t="n">
        <f aca="false">1+A102</f>
        <v>102</v>
      </c>
      <c r="B103" s="1" t="n">
        <v>7.4068</v>
      </c>
    </row>
    <row r="104" customFormat="false" ht="13.8" hidden="false" customHeight="false" outlineLevel="0" collapsed="false">
      <c r="A104" s="1" t="n">
        <f aca="false">1+A103</f>
        <v>103</v>
      </c>
      <c r="B104" s="1" t="n">
        <v>7.37067</v>
      </c>
    </row>
    <row r="105" customFormat="false" ht="13.8" hidden="false" customHeight="false" outlineLevel="0" collapsed="false">
      <c r="A105" s="1" t="n">
        <f aca="false">1+A104</f>
        <v>104</v>
      </c>
      <c r="B105" s="1" t="n">
        <v>7.33831</v>
      </c>
    </row>
    <row r="106" customFormat="false" ht="13.8" hidden="false" customHeight="false" outlineLevel="0" collapsed="false">
      <c r="A106" s="1" t="n">
        <f aca="false">1+A105</f>
        <v>105</v>
      </c>
      <c r="B106" s="1" t="n">
        <v>7.30625</v>
      </c>
    </row>
    <row r="107" customFormat="false" ht="13.8" hidden="false" customHeight="false" outlineLevel="0" collapsed="false">
      <c r="A107" s="1" t="n">
        <f aca="false">1+A106</f>
        <v>106</v>
      </c>
      <c r="B107" s="1" t="n">
        <v>7.27347</v>
      </c>
    </row>
    <row r="108" customFormat="false" ht="13.8" hidden="false" customHeight="false" outlineLevel="0" collapsed="false">
      <c r="A108" s="1" t="n">
        <f aca="false">1+A107</f>
        <v>107</v>
      </c>
      <c r="B108" s="1" t="n">
        <v>7.2398</v>
      </c>
    </row>
    <row r="109" customFormat="false" ht="13.8" hidden="false" customHeight="false" outlineLevel="0" collapsed="false">
      <c r="A109" s="1" t="n">
        <f aca="false">1+A108</f>
        <v>108</v>
      </c>
      <c r="B109" s="1" t="n">
        <v>7.20962</v>
      </c>
    </row>
    <row r="110" customFormat="false" ht="13.8" hidden="false" customHeight="false" outlineLevel="0" collapsed="false">
      <c r="A110" s="1" t="n">
        <f aca="false">1+A109</f>
        <v>109</v>
      </c>
      <c r="B110" s="1" t="n">
        <v>7.17628</v>
      </c>
    </row>
    <row r="111" customFormat="false" ht="13.8" hidden="false" customHeight="false" outlineLevel="0" collapsed="false">
      <c r="A111" s="1" t="n">
        <f aca="false">1+A110</f>
        <v>110</v>
      </c>
      <c r="B111" s="1" t="n">
        <v>7.14379</v>
      </c>
    </row>
    <row r="112" customFormat="false" ht="13.8" hidden="false" customHeight="false" outlineLevel="0" collapsed="false">
      <c r="A112" s="1" t="n">
        <f aca="false">1+A111</f>
        <v>111</v>
      </c>
      <c r="B112" s="1" t="n">
        <v>7.10859</v>
      </c>
    </row>
    <row r="113" customFormat="false" ht="13.8" hidden="false" customHeight="false" outlineLevel="0" collapsed="false">
      <c r="A113" s="1" t="n">
        <f aca="false">1+A112</f>
        <v>112</v>
      </c>
      <c r="B113" s="1" t="n">
        <v>7.08111</v>
      </c>
    </row>
    <row r="114" customFormat="false" ht="13.8" hidden="false" customHeight="false" outlineLevel="0" collapsed="false">
      <c r="A114" s="1" t="n">
        <f aca="false">1+A113</f>
        <v>113</v>
      </c>
      <c r="B114" s="1" t="n">
        <v>7.04747</v>
      </c>
    </row>
    <row r="115" customFormat="false" ht="13.8" hidden="false" customHeight="false" outlineLevel="0" collapsed="false">
      <c r="A115" s="1" t="n">
        <f aca="false">1+A114</f>
        <v>114</v>
      </c>
      <c r="B115" s="1" t="n">
        <v>7.01519</v>
      </c>
    </row>
    <row r="116" customFormat="false" ht="13.8" hidden="false" customHeight="false" outlineLevel="0" collapsed="false">
      <c r="A116" s="1" t="n">
        <f aca="false">1+A115</f>
        <v>115</v>
      </c>
      <c r="B116" s="1" t="n">
        <v>6.98408</v>
      </c>
    </row>
    <row r="117" customFormat="false" ht="13.8" hidden="false" customHeight="false" outlineLevel="0" collapsed="false">
      <c r="A117" s="1" t="n">
        <f aca="false">1+A116</f>
        <v>116</v>
      </c>
      <c r="B117" s="1" t="n">
        <v>6.94756</v>
      </c>
    </row>
    <row r="118" customFormat="false" ht="13.8" hidden="false" customHeight="false" outlineLevel="0" collapsed="false">
      <c r="A118" s="1" t="n">
        <f aca="false">1+A117</f>
        <v>117</v>
      </c>
      <c r="B118" s="1" t="n">
        <v>6.91711</v>
      </c>
    </row>
    <row r="119" customFormat="false" ht="13.8" hidden="false" customHeight="false" outlineLevel="0" collapsed="false">
      <c r="A119" s="1" t="n">
        <f aca="false">1+A118</f>
        <v>118</v>
      </c>
      <c r="B119" s="1" t="n">
        <v>6.8871</v>
      </c>
    </row>
    <row r="120" customFormat="false" ht="13.8" hidden="false" customHeight="false" outlineLevel="0" collapsed="false">
      <c r="A120" s="1" t="n">
        <f aca="false">1+A119</f>
        <v>119</v>
      </c>
      <c r="B120" s="1" t="n">
        <v>6.85186</v>
      </c>
    </row>
    <row r="121" customFormat="false" ht="13.8" hidden="false" customHeight="false" outlineLevel="0" collapsed="false">
      <c r="A121" s="1" t="n">
        <f aca="false">1+A120</f>
        <v>120</v>
      </c>
      <c r="B121" s="1" t="n">
        <v>6.81789</v>
      </c>
    </row>
    <row r="122" customFormat="false" ht="13.8" hidden="false" customHeight="false" outlineLevel="0" collapsed="false">
      <c r="A122" s="1" t="n">
        <f aca="false">1+A121</f>
        <v>121</v>
      </c>
      <c r="B122" s="1" t="n">
        <v>6.78657</v>
      </c>
    </row>
    <row r="123" customFormat="false" ht="13.8" hidden="false" customHeight="false" outlineLevel="0" collapsed="false">
      <c r="A123" s="1" t="n">
        <f aca="false">1+A122</f>
        <v>122</v>
      </c>
      <c r="B123" s="1" t="n">
        <v>6.75704</v>
      </c>
    </row>
    <row r="124" customFormat="false" ht="13.8" hidden="false" customHeight="false" outlineLevel="0" collapsed="false">
      <c r="A124" s="1" t="n">
        <f aca="false">1+A123</f>
        <v>123</v>
      </c>
      <c r="B124" s="1" t="n">
        <v>6.72592</v>
      </c>
    </row>
    <row r="125" customFormat="false" ht="13.8" hidden="false" customHeight="false" outlineLevel="0" collapsed="false">
      <c r="A125" s="1" t="n">
        <f aca="false">1+A124</f>
        <v>124</v>
      </c>
      <c r="B125" s="1" t="n">
        <v>6.69688</v>
      </c>
    </row>
    <row r="126" customFormat="false" ht="13.8" hidden="false" customHeight="false" outlineLevel="0" collapsed="false">
      <c r="A126" s="1" t="n">
        <f aca="false">1+A125</f>
        <v>125</v>
      </c>
      <c r="B126" s="1" t="n">
        <v>6.66805</v>
      </c>
    </row>
    <row r="127" customFormat="false" ht="13.8" hidden="false" customHeight="false" outlineLevel="0" collapsed="false">
      <c r="A127" s="1" t="n">
        <f aca="false">1+A126</f>
        <v>126</v>
      </c>
      <c r="B127" s="1" t="n">
        <v>6.64143</v>
      </c>
    </row>
    <row r="128" customFormat="false" ht="13.8" hidden="false" customHeight="false" outlineLevel="0" collapsed="false">
      <c r="A128" s="1" t="n">
        <f aca="false">1+A127</f>
        <v>127</v>
      </c>
      <c r="B128" s="1" t="n">
        <v>6.61387</v>
      </c>
    </row>
    <row r="129" customFormat="false" ht="13.8" hidden="false" customHeight="false" outlineLevel="0" collapsed="false">
      <c r="A129" s="1" t="n">
        <f aca="false">1+A128</f>
        <v>128</v>
      </c>
      <c r="B129" s="1" t="n">
        <v>6.58458</v>
      </c>
    </row>
    <row r="130" customFormat="false" ht="13.8" hidden="false" customHeight="false" outlineLevel="0" collapsed="false">
      <c r="A130" s="1" t="n">
        <f aca="false">1+A129</f>
        <v>129</v>
      </c>
      <c r="B130" s="1" t="n">
        <v>6.55609</v>
      </c>
    </row>
    <row r="131" customFormat="false" ht="13.8" hidden="false" customHeight="false" outlineLevel="0" collapsed="false">
      <c r="A131" s="1" t="n">
        <f aca="false">1+A130</f>
        <v>130</v>
      </c>
      <c r="B131" s="1" t="n">
        <v>6.52643</v>
      </c>
    </row>
    <row r="132" customFormat="false" ht="13.8" hidden="false" customHeight="false" outlineLevel="0" collapsed="false">
      <c r="A132" s="1" t="n">
        <f aca="false">1+A131</f>
        <v>131</v>
      </c>
      <c r="B132" s="1" t="n">
        <v>6.50052</v>
      </c>
    </row>
    <row r="133" customFormat="false" ht="13.8" hidden="false" customHeight="false" outlineLevel="0" collapsed="false">
      <c r="A133" s="1" t="n">
        <f aca="false">1+A132</f>
        <v>132</v>
      </c>
      <c r="B133" s="1" t="n">
        <v>6.47011</v>
      </c>
    </row>
    <row r="134" customFormat="false" ht="13.8" hidden="false" customHeight="false" outlineLevel="0" collapsed="false">
      <c r="A134" s="1" t="n">
        <f aca="false">1+A133</f>
        <v>133</v>
      </c>
      <c r="B134" s="1" t="n">
        <v>6.442</v>
      </c>
    </row>
    <row r="135" customFormat="false" ht="13.8" hidden="false" customHeight="false" outlineLevel="0" collapsed="false">
      <c r="A135" s="1" t="n">
        <f aca="false">1+A134</f>
        <v>134</v>
      </c>
      <c r="B135" s="1" t="n">
        <v>6.41451</v>
      </c>
    </row>
    <row r="136" customFormat="false" ht="13.8" hidden="false" customHeight="false" outlineLevel="0" collapsed="false">
      <c r="A136" s="1" t="n">
        <f aca="false">1+A135</f>
        <v>135</v>
      </c>
      <c r="B136" s="1" t="n">
        <v>6.38831</v>
      </c>
    </row>
    <row r="137" customFormat="false" ht="13.8" hidden="false" customHeight="false" outlineLevel="0" collapsed="false">
      <c r="A137" s="1" t="n">
        <f aca="false">1+A136</f>
        <v>136</v>
      </c>
      <c r="B137" s="1" t="n">
        <v>6.3571</v>
      </c>
    </row>
    <row r="138" customFormat="false" ht="13.8" hidden="false" customHeight="false" outlineLevel="0" collapsed="false">
      <c r="A138" s="1" t="n">
        <f aca="false">1+A137</f>
        <v>137</v>
      </c>
      <c r="B138" s="1" t="n">
        <v>6.32832</v>
      </c>
    </row>
    <row r="139" customFormat="false" ht="13.8" hidden="false" customHeight="false" outlineLevel="0" collapsed="false">
      <c r="A139" s="1" t="n">
        <f aca="false">1+A138</f>
        <v>138</v>
      </c>
      <c r="B139" s="1" t="n">
        <v>6.29835</v>
      </c>
    </row>
    <row r="140" customFormat="false" ht="13.8" hidden="false" customHeight="false" outlineLevel="0" collapsed="false">
      <c r="A140" s="1" t="n">
        <f aca="false">1+A139</f>
        <v>139</v>
      </c>
      <c r="B140" s="1" t="n">
        <v>6.27077</v>
      </c>
    </row>
    <row r="141" customFormat="false" ht="13.8" hidden="false" customHeight="false" outlineLevel="0" collapsed="false">
      <c r="A141" s="1" t="n">
        <f aca="false">1+A140</f>
        <v>140</v>
      </c>
      <c r="B141" s="1" t="n">
        <v>6.24242</v>
      </c>
    </row>
    <row r="142" customFormat="false" ht="13.8" hidden="false" customHeight="false" outlineLevel="0" collapsed="false">
      <c r="A142" s="1" t="n">
        <f aca="false">1+A141</f>
        <v>141</v>
      </c>
      <c r="B142" s="1" t="n">
        <v>6.21676</v>
      </c>
    </row>
    <row r="143" customFormat="false" ht="13.8" hidden="false" customHeight="false" outlineLevel="0" collapsed="false">
      <c r="A143" s="1" t="n">
        <f aca="false">1+A142</f>
        <v>142</v>
      </c>
      <c r="B143" s="1" t="n">
        <v>6.1904</v>
      </c>
    </row>
    <row r="144" customFormat="false" ht="13.8" hidden="false" customHeight="false" outlineLevel="0" collapsed="false">
      <c r="A144" s="1" t="n">
        <f aca="false">1+A143</f>
        <v>143</v>
      </c>
      <c r="B144" s="1" t="n">
        <v>6.16727</v>
      </c>
    </row>
    <row r="145" customFormat="false" ht="13.8" hidden="false" customHeight="false" outlineLevel="0" collapsed="false">
      <c r="A145" s="1" t="n">
        <f aca="false">1+A144</f>
        <v>144</v>
      </c>
      <c r="B145" s="1" t="n">
        <v>6.14039</v>
      </c>
    </row>
    <row r="146" customFormat="false" ht="13.8" hidden="false" customHeight="false" outlineLevel="0" collapsed="false">
      <c r="A146" s="1" t="n">
        <f aca="false">1+A145</f>
        <v>145</v>
      </c>
      <c r="B146" s="1" t="n">
        <v>6.11511</v>
      </c>
    </row>
    <row r="147" customFormat="false" ht="13.8" hidden="false" customHeight="false" outlineLevel="0" collapsed="false">
      <c r="A147" s="1" t="n">
        <f aca="false">1+A146</f>
        <v>146</v>
      </c>
      <c r="B147" s="1" t="n">
        <v>6.08688</v>
      </c>
    </row>
    <row r="148" customFormat="false" ht="13.8" hidden="false" customHeight="false" outlineLevel="0" collapsed="false">
      <c r="A148" s="1" t="n">
        <f aca="false">1+A147</f>
        <v>147</v>
      </c>
      <c r="B148" s="1" t="n">
        <v>6.06482</v>
      </c>
    </row>
    <row r="149" customFormat="false" ht="13.8" hidden="false" customHeight="false" outlineLevel="0" collapsed="false">
      <c r="A149" s="1" t="n">
        <f aca="false">1+A148</f>
        <v>148</v>
      </c>
      <c r="B149" s="1" t="n">
        <v>6.03937</v>
      </c>
    </row>
    <row r="150" customFormat="false" ht="13.8" hidden="false" customHeight="false" outlineLevel="0" collapsed="false">
      <c r="A150" s="1" t="n">
        <f aca="false">1+A149</f>
        <v>149</v>
      </c>
      <c r="B150" s="1" t="n">
        <v>6.01043</v>
      </c>
    </row>
    <row r="151" customFormat="false" ht="13.8" hidden="false" customHeight="false" outlineLevel="0" collapsed="false">
      <c r="A151" s="1" t="n">
        <f aca="false">1+A150</f>
        <v>150</v>
      </c>
      <c r="B151" s="1" t="n">
        <v>5.98282</v>
      </c>
    </row>
    <row r="152" customFormat="false" ht="13.8" hidden="false" customHeight="false" outlineLevel="0" collapsed="false">
      <c r="A152" s="1" t="n">
        <f aca="false">1+A151</f>
        <v>151</v>
      </c>
      <c r="B152" s="1" t="n">
        <v>5.95139</v>
      </c>
    </row>
    <row r="153" customFormat="false" ht="13.8" hidden="false" customHeight="false" outlineLevel="0" collapsed="false">
      <c r="A153" s="1" t="n">
        <f aca="false">1+A152</f>
        <v>152</v>
      </c>
      <c r="B153" s="1" t="n">
        <v>5.92541</v>
      </c>
    </row>
    <row r="154" customFormat="false" ht="13.8" hidden="false" customHeight="false" outlineLevel="0" collapsed="false">
      <c r="A154" s="1" t="n">
        <f aca="false">1+A153</f>
        <v>153</v>
      </c>
      <c r="B154" s="1" t="n">
        <v>5.89911</v>
      </c>
    </row>
    <row r="155" customFormat="false" ht="13.8" hidden="false" customHeight="false" outlineLevel="0" collapsed="false">
      <c r="A155" s="1" t="n">
        <f aca="false">1+A154</f>
        <v>154</v>
      </c>
      <c r="B155" s="1" t="n">
        <v>5.8737</v>
      </c>
    </row>
    <row r="156" customFormat="false" ht="13.8" hidden="false" customHeight="false" outlineLevel="0" collapsed="false">
      <c r="A156" s="1" t="n">
        <f aca="false">1+A155</f>
        <v>155</v>
      </c>
      <c r="B156" s="1" t="n">
        <v>5.85059</v>
      </c>
    </row>
    <row r="157" customFormat="false" ht="13.8" hidden="false" customHeight="false" outlineLevel="0" collapsed="false">
      <c r="A157" s="1" t="n">
        <f aca="false">1+A156</f>
        <v>156</v>
      </c>
      <c r="B157" s="1" t="n">
        <v>5.82521</v>
      </c>
    </row>
    <row r="158" customFormat="false" ht="13.8" hidden="false" customHeight="false" outlineLevel="0" collapsed="false">
      <c r="A158" s="1" t="n">
        <f aca="false">1+A157</f>
        <v>157</v>
      </c>
      <c r="B158" s="1" t="n">
        <v>5.80033</v>
      </c>
    </row>
    <row r="159" customFormat="false" ht="13.8" hidden="false" customHeight="false" outlineLevel="0" collapsed="false">
      <c r="A159" s="1" t="n">
        <f aca="false">1+A158</f>
        <v>158</v>
      </c>
      <c r="B159" s="1" t="n">
        <v>5.77522</v>
      </c>
    </row>
    <row r="160" customFormat="false" ht="13.8" hidden="false" customHeight="false" outlineLevel="0" collapsed="false">
      <c r="A160" s="1" t="n">
        <f aca="false">1+A159</f>
        <v>159</v>
      </c>
      <c r="B160" s="1" t="n">
        <v>5.75068</v>
      </c>
    </row>
    <row r="161" customFormat="false" ht="13.8" hidden="false" customHeight="false" outlineLevel="0" collapsed="false">
      <c r="A161" s="1" t="n">
        <f aca="false">1+A160</f>
        <v>160</v>
      </c>
      <c r="B161" s="1" t="n">
        <v>5.72536</v>
      </c>
    </row>
    <row r="162" customFormat="false" ht="13.8" hidden="false" customHeight="false" outlineLevel="0" collapsed="false">
      <c r="A162" s="1" t="n">
        <f aca="false">1+A161</f>
        <v>161</v>
      </c>
      <c r="B162" s="1" t="n">
        <v>5.70041</v>
      </c>
    </row>
    <row r="163" customFormat="false" ht="13.8" hidden="false" customHeight="false" outlineLevel="0" collapsed="false">
      <c r="A163" s="1" t="n">
        <f aca="false">1+A162</f>
        <v>162</v>
      </c>
      <c r="B163" s="1" t="n">
        <v>5.67537</v>
      </c>
    </row>
    <row r="164" customFormat="false" ht="13.8" hidden="false" customHeight="false" outlineLevel="0" collapsed="false">
      <c r="A164" s="1" t="n">
        <f aca="false">1+A163</f>
        <v>163</v>
      </c>
      <c r="B164" s="1" t="n">
        <v>5.65179</v>
      </c>
    </row>
    <row r="165" customFormat="false" ht="13.8" hidden="false" customHeight="false" outlineLevel="0" collapsed="false">
      <c r="A165" s="1" t="n">
        <f aca="false">1+A164</f>
        <v>164</v>
      </c>
      <c r="B165" s="1" t="n">
        <v>5.62983</v>
      </c>
    </row>
    <row r="166" customFormat="false" ht="13.8" hidden="false" customHeight="false" outlineLevel="0" collapsed="false">
      <c r="A166" s="1" t="n">
        <f aca="false">1+A165</f>
        <v>165</v>
      </c>
      <c r="B166" s="1" t="n">
        <v>5.60709</v>
      </c>
    </row>
    <row r="167" customFormat="false" ht="13.8" hidden="false" customHeight="false" outlineLevel="0" collapsed="false">
      <c r="A167" s="1" t="n">
        <f aca="false">1+A166</f>
        <v>166</v>
      </c>
      <c r="B167" s="1" t="n">
        <v>5.58792</v>
      </c>
    </row>
    <row r="168" customFormat="false" ht="13.8" hidden="false" customHeight="false" outlineLevel="0" collapsed="false">
      <c r="A168" s="1" t="n">
        <f aca="false">1+A167</f>
        <v>167</v>
      </c>
      <c r="B168" s="1" t="n">
        <v>5.55962</v>
      </c>
    </row>
    <row r="169" customFormat="false" ht="13.8" hidden="false" customHeight="false" outlineLevel="0" collapsed="false">
      <c r="A169" s="1" t="n">
        <f aca="false">1+A168</f>
        <v>168</v>
      </c>
      <c r="B169" s="1" t="n">
        <v>5.54222</v>
      </c>
    </row>
    <row r="170" customFormat="false" ht="13.8" hidden="false" customHeight="false" outlineLevel="0" collapsed="false">
      <c r="A170" s="1" t="n">
        <f aca="false">1+A169</f>
        <v>169</v>
      </c>
      <c r="B170" s="1" t="n">
        <v>5.51948</v>
      </c>
    </row>
    <row r="171" customFormat="false" ht="13.8" hidden="false" customHeight="false" outlineLevel="0" collapsed="false">
      <c r="A171" s="1" t="n">
        <f aca="false">1+A170</f>
        <v>170</v>
      </c>
      <c r="B171" s="1" t="n">
        <v>5.4924</v>
      </c>
    </row>
    <row r="172" customFormat="false" ht="13.8" hidden="false" customHeight="false" outlineLevel="0" collapsed="false">
      <c r="A172" s="1" t="n">
        <f aca="false">1+A171</f>
        <v>171</v>
      </c>
      <c r="B172" s="1" t="n">
        <v>5.4707</v>
      </c>
    </row>
    <row r="173" customFormat="false" ht="13.8" hidden="false" customHeight="false" outlineLevel="0" collapsed="false">
      <c r="A173" s="1" t="n">
        <f aca="false">1+A172</f>
        <v>172</v>
      </c>
      <c r="B173" s="1" t="n">
        <v>5.44775</v>
      </c>
    </row>
    <row r="174" customFormat="false" ht="13.8" hidden="false" customHeight="false" outlineLevel="0" collapsed="false">
      <c r="A174" s="1" t="n">
        <f aca="false">1+A173</f>
        <v>173</v>
      </c>
      <c r="B174" s="1" t="n">
        <v>5.4251</v>
      </c>
    </row>
    <row r="175" customFormat="false" ht="13.8" hidden="false" customHeight="false" outlineLevel="0" collapsed="false">
      <c r="A175" s="1" t="n">
        <f aca="false">1+A174</f>
        <v>174</v>
      </c>
      <c r="B175" s="1" t="n">
        <v>5.40211</v>
      </c>
    </row>
    <row r="176" customFormat="false" ht="13.8" hidden="false" customHeight="false" outlineLevel="0" collapsed="false">
      <c r="A176" s="1" t="n">
        <f aca="false">1+A175</f>
        <v>175</v>
      </c>
      <c r="B176" s="1" t="n">
        <v>5.37638</v>
      </c>
    </row>
    <row r="177" customFormat="false" ht="13.8" hidden="false" customHeight="false" outlineLevel="0" collapsed="false">
      <c r="A177" s="1" t="n">
        <f aca="false">1+A176</f>
        <v>176</v>
      </c>
      <c r="B177" s="1" t="n">
        <v>5.35183</v>
      </c>
    </row>
    <row r="178" customFormat="false" ht="13.8" hidden="false" customHeight="false" outlineLevel="0" collapsed="false">
      <c r="A178" s="1" t="n">
        <f aca="false">1+A177</f>
        <v>177</v>
      </c>
      <c r="B178" s="1" t="n">
        <v>5.3322</v>
      </c>
    </row>
    <row r="179" customFormat="false" ht="13.8" hidden="false" customHeight="false" outlineLevel="0" collapsed="false">
      <c r="A179" s="1" t="n">
        <f aca="false">1+A178</f>
        <v>178</v>
      </c>
      <c r="B179" s="1" t="n">
        <v>5.30882</v>
      </c>
    </row>
    <row r="180" customFormat="false" ht="13.8" hidden="false" customHeight="false" outlineLevel="0" collapsed="false">
      <c r="A180" s="1" t="n">
        <f aca="false">1+A179</f>
        <v>179</v>
      </c>
      <c r="B180" s="1" t="n">
        <v>5.28694</v>
      </c>
    </row>
    <row r="181" customFormat="false" ht="13.8" hidden="false" customHeight="false" outlineLevel="0" collapsed="false">
      <c r="A181" s="1" t="n">
        <f aca="false">1+A180</f>
        <v>180</v>
      </c>
      <c r="B181" s="1" t="n">
        <v>5.26216</v>
      </c>
    </row>
    <row r="182" customFormat="false" ht="13.8" hidden="false" customHeight="false" outlineLevel="0" collapsed="false">
      <c r="A182" s="1" t="n">
        <f aca="false">1+A181</f>
        <v>181</v>
      </c>
      <c r="B182" s="1" t="n">
        <v>5.24219</v>
      </c>
    </row>
    <row r="183" customFormat="false" ht="13.8" hidden="false" customHeight="false" outlineLevel="0" collapsed="false">
      <c r="A183" s="1" t="n">
        <f aca="false">1+A182</f>
        <v>182</v>
      </c>
      <c r="B183" s="1" t="n">
        <v>5.21742</v>
      </c>
    </row>
    <row r="184" customFormat="false" ht="13.8" hidden="false" customHeight="false" outlineLevel="0" collapsed="false">
      <c r="A184" s="1" t="n">
        <f aca="false">1+A183</f>
        <v>183</v>
      </c>
      <c r="B184" s="1" t="n">
        <v>5.19298</v>
      </c>
    </row>
    <row r="185" customFormat="false" ht="13.8" hidden="false" customHeight="false" outlineLevel="0" collapsed="false">
      <c r="A185" s="1" t="n">
        <f aca="false">1+A184</f>
        <v>184</v>
      </c>
      <c r="B185" s="1" t="n">
        <v>5.16813</v>
      </c>
    </row>
    <row r="186" customFormat="false" ht="13.8" hidden="false" customHeight="false" outlineLevel="0" collapsed="false">
      <c r="A186" s="1" t="n">
        <f aca="false">1+A185</f>
        <v>185</v>
      </c>
      <c r="B186" s="1" t="n">
        <v>5.14739</v>
      </c>
    </row>
    <row r="187" customFormat="false" ht="13.8" hidden="false" customHeight="false" outlineLevel="0" collapsed="false">
      <c r="A187" s="1" t="n">
        <f aca="false">1+A186</f>
        <v>186</v>
      </c>
      <c r="B187" s="1" t="n">
        <v>5.12624</v>
      </c>
    </row>
    <row r="188" customFormat="false" ht="13.8" hidden="false" customHeight="false" outlineLevel="0" collapsed="false">
      <c r="A188" s="1" t="n">
        <f aca="false">1+A187</f>
        <v>187</v>
      </c>
      <c r="B188" s="1" t="n">
        <v>5.10736</v>
      </c>
    </row>
    <row r="189" customFormat="false" ht="13.8" hidden="false" customHeight="false" outlineLevel="0" collapsed="false">
      <c r="A189" s="1" t="n">
        <f aca="false">1+A188</f>
        <v>188</v>
      </c>
      <c r="B189" s="1" t="n">
        <v>5.08107</v>
      </c>
    </row>
    <row r="190" customFormat="false" ht="13.8" hidden="false" customHeight="false" outlineLevel="0" collapsed="false">
      <c r="A190" s="1" t="n">
        <f aca="false">1+A189</f>
        <v>189</v>
      </c>
      <c r="B190" s="1" t="n">
        <v>5.06156</v>
      </c>
    </row>
    <row r="191" customFormat="false" ht="13.8" hidden="false" customHeight="false" outlineLevel="0" collapsed="false">
      <c r="A191" s="1" t="n">
        <f aca="false">1+A190</f>
        <v>190</v>
      </c>
      <c r="B191" s="1" t="n">
        <v>5.04708</v>
      </c>
    </row>
    <row r="192" customFormat="false" ht="13.8" hidden="false" customHeight="false" outlineLevel="0" collapsed="false">
      <c r="A192" s="1" t="n">
        <f aca="false">1+A191</f>
        <v>191</v>
      </c>
      <c r="B192" s="1" t="n">
        <v>5.02214</v>
      </c>
    </row>
    <row r="193" customFormat="false" ht="13.8" hidden="false" customHeight="false" outlineLevel="0" collapsed="false">
      <c r="A193" s="1" t="n">
        <f aca="false">1+A192</f>
        <v>192</v>
      </c>
      <c r="B193" s="1" t="n">
        <v>5.00361</v>
      </c>
    </row>
    <row r="194" customFormat="false" ht="13.8" hidden="false" customHeight="false" outlineLevel="0" collapsed="false">
      <c r="A194" s="1" t="n">
        <f aca="false">1+A193</f>
        <v>193</v>
      </c>
      <c r="B194" s="1" t="n">
        <v>4.98195</v>
      </c>
    </row>
    <row r="195" customFormat="false" ht="13.8" hidden="false" customHeight="false" outlineLevel="0" collapsed="false">
      <c r="A195" s="1" t="n">
        <f aca="false">1+A194</f>
        <v>194</v>
      </c>
      <c r="B195" s="1" t="n">
        <v>4.96188</v>
      </c>
    </row>
    <row r="196" customFormat="false" ht="13.8" hidden="false" customHeight="false" outlineLevel="0" collapsed="false">
      <c r="A196" s="1" t="n">
        <f aca="false">1+A195</f>
        <v>195</v>
      </c>
      <c r="B196" s="1" t="n">
        <v>4.9487</v>
      </c>
    </row>
    <row r="197" customFormat="false" ht="13.8" hidden="false" customHeight="false" outlineLevel="0" collapsed="false">
      <c r="A197" s="1" t="n">
        <f aca="false">1+A196</f>
        <v>196</v>
      </c>
      <c r="B197" s="1" t="n">
        <v>4.9286</v>
      </c>
    </row>
    <row r="198" customFormat="false" ht="13.8" hidden="false" customHeight="false" outlineLevel="0" collapsed="false">
      <c r="A198" s="1" t="n">
        <f aca="false">1+A197</f>
        <v>197</v>
      </c>
      <c r="B198" s="1" t="n">
        <v>4.91193</v>
      </c>
    </row>
    <row r="199" customFormat="false" ht="13.8" hidden="false" customHeight="false" outlineLevel="0" collapsed="false">
      <c r="A199" s="1" t="n">
        <f aca="false">1+A198</f>
        <v>198</v>
      </c>
      <c r="B199" s="1" t="n">
        <v>4.88909</v>
      </c>
    </row>
    <row r="200" customFormat="false" ht="13.8" hidden="false" customHeight="false" outlineLevel="0" collapsed="false">
      <c r="A200" s="1" t="n">
        <f aca="false">1+A199</f>
        <v>199</v>
      </c>
      <c r="B200" s="1" t="n">
        <v>4.86574</v>
      </c>
    </row>
    <row r="201" customFormat="false" ht="13.8" hidden="false" customHeight="false" outlineLevel="0" collapsed="false">
      <c r="A201" s="1" t="n">
        <f aca="false">1+A200</f>
        <v>200</v>
      </c>
      <c r="B201" s="1" t="n">
        <v>4.84833</v>
      </c>
    </row>
    <row r="202" customFormat="false" ht="13.8" hidden="false" customHeight="false" outlineLevel="0" collapsed="false">
      <c r="A202" s="1" t="n">
        <f aca="false">1+A201</f>
        <v>201</v>
      </c>
      <c r="B202" s="1" t="n">
        <v>4.83286</v>
      </c>
    </row>
    <row r="203" customFormat="false" ht="13.8" hidden="false" customHeight="false" outlineLevel="0" collapsed="false">
      <c r="A203" s="1" t="n">
        <f aca="false">1+A202</f>
        <v>202</v>
      </c>
      <c r="B203" s="1" t="n">
        <v>4.81292</v>
      </c>
    </row>
    <row r="204" customFormat="false" ht="13.8" hidden="false" customHeight="false" outlineLevel="0" collapsed="false">
      <c r="A204" s="1" t="n">
        <f aca="false">1+A203</f>
        <v>203</v>
      </c>
      <c r="B204" s="1" t="n">
        <v>4.79762</v>
      </c>
    </row>
    <row r="205" customFormat="false" ht="13.8" hidden="false" customHeight="false" outlineLevel="0" collapsed="false">
      <c r="A205" s="1" t="n">
        <f aca="false">1+A204</f>
        <v>204</v>
      </c>
      <c r="B205" s="1" t="n">
        <v>4.77348</v>
      </c>
    </row>
    <row r="206" customFormat="false" ht="13.8" hidden="false" customHeight="false" outlineLevel="0" collapsed="false">
      <c r="A206" s="1" t="n">
        <f aca="false">1+A205</f>
        <v>205</v>
      </c>
      <c r="B206" s="1" t="n">
        <v>4.75297</v>
      </c>
    </row>
    <row r="207" customFormat="false" ht="13.8" hidden="false" customHeight="false" outlineLevel="0" collapsed="false">
      <c r="A207" s="1" t="n">
        <f aca="false">1+A206</f>
        <v>206</v>
      </c>
      <c r="B207" s="1" t="n">
        <v>4.73353</v>
      </c>
    </row>
    <row r="208" customFormat="false" ht="13.8" hidden="false" customHeight="false" outlineLevel="0" collapsed="false">
      <c r="A208" s="1" t="n">
        <f aca="false">1+A207</f>
        <v>207</v>
      </c>
      <c r="B208" s="1" t="n">
        <v>4.71807</v>
      </c>
    </row>
    <row r="209" customFormat="false" ht="13.8" hidden="false" customHeight="false" outlineLevel="0" collapsed="false">
      <c r="A209" s="1" t="n">
        <f aca="false">1+A208</f>
        <v>208</v>
      </c>
      <c r="B209" s="1" t="n">
        <v>4.69437</v>
      </c>
    </row>
    <row r="210" customFormat="false" ht="13.8" hidden="false" customHeight="false" outlineLevel="0" collapsed="false">
      <c r="A210" s="1" t="n">
        <f aca="false">1+A209</f>
        <v>209</v>
      </c>
      <c r="B210" s="1" t="n">
        <v>4.67553</v>
      </c>
    </row>
    <row r="211" customFormat="false" ht="13.8" hidden="false" customHeight="false" outlineLevel="0" collapsed="false">
      <c r="A211" s="1" t="n">
        <f aca="false">1+A210</f>
        <v>210</v>
      </c>
      <c r="B211" s="1" t="n">
        <v>4.65923</v>
      </c>
    </row>
    <row r="212" customFormat="false" ht="13.8" hidden="false" customHeight="false" outlineLevel="0" collapsed="false">
      <c r="A212" s="1" t="n">
        <f aca="false">1+A211</f>
        <v>211</v>
      </c>
      <c r="B212" s="1" t="n">
        <v>4.64254</v>
      </c>
    </row>
    <row r="213" customFormat="false" ht="13.8" hidden="false" customHeight="false" outlineLevel="0" collapsed="false">
      <c r="A213" s="1" t="n">
        <f aca="false">1+A212</f>
        <v>212</v>
      </c>
      <c r="B213" s="1" t="n">
        <v>4.62769</v>
      </c>
    </row>
    <row r="214" customFormat="false" ht="13.8" hidden="false" customHeight="false" outlineLevel="0" collapsed="false">
      <c r="A214" s="1" t="n">
        <f aca="false">1+A213</f>
        <v>213</v>
      </c>
      <c r="B214" s="1" t="n">
        <v>4.61356</v>
      </c>
    </row>
    <row r="215" customFormat="false" ht="13.8" hidden="false" customHeight="false" outlineLevel="0" collapsed="false">
      <c r="A215" s="1" t="n">
        <f aca="false">1+A214</f>
        <v>214</v>
      </c>
      <c r="B215" s="1" t="n">
        <v>4.59239</v>
      </c>
    </row>
    <row r="216" customFormat="false" ht="13.8" hidden="false" customHeight="false" outlineLevel="0" collapsed="false">
      <c r="A216" s="1" t="n">
        <f aca="false">1+A215</f>
        <v>215</v>
      </c>
      <c r="B216" s="1" t="n">
        <v>4.56993</v>
      </c>
    </row>
    <row r="217" customFormat="false" ht="13.8" hidden="false" customHeight="false" outlineLevel="0" collapsed="false">
      <c r="A217" s="1" t="n">
        <f aca="false">1+A216</f>
        <v>216</v>
      </c>
      <c r="B217" s="1" t="n">
        <v>4.5497</v>
      </c>
    </row>
    <row r="218" customFormat="false" ht="13.8" hidden="false" customHeight="false" outlineLevel="0" collapsed="false">
      <c r="A218" s="1" t="n">
        <f aca="false">1+A217</f>
        <v>217</v>
      </c>
      <c r="B218" s="1" t="n">
        <v>4.52994</v>
      </c>
    </row>
    <row r="219" customFormat="false" ht="13.8" hidden="false" customHeight="false" outlineLevel="0" collapsed="false">
      <c r="A219" s="1" t="n">
        <f aca="false">1+A218</f>
        <v>218</v>
      </c>
      <c r="B219" s="1" t="n">
        <v>4.51066</v>
      </c>
    </row>
    <row r="220" customFormat="false" ht="13.8" hidden="false" customHeight="false" outlineLevel="0" collapsed="false">
      <c r="A220" s="1" t="n">
        <f aca="false">1+A219</f>
        <v>219</v>
      </c>
      <c r="B220" s="1" t="n">
        <v>4.49375</v>
      </c>
    </row>
    <row r="221" customFormat="false" ht="13.8" hidden="false" customHeight="false" outlineLevel="0" collapsed="false">
      <c r="A221" s="1" t="n">
        <f aca="false">1+A220</f>
        <v>220</v>
      </c>
      <c r="B221" s="1" t="n">
        <v>4.47487</v>
      </c>
    </row>
    <row r="222" customFormat="false" ht="13.8" hidden="false" customHeight="false" outlineLevel="0" collapsed="false">
      <c r="A222" s="1" t="n">
        <f aca="false">1+A221</f>
        <v>221</v>
      </c>
      <c r="B222" s="1" t="n">
        <v>4.45858</v>
      </c>
    </row>
    <row r="223" customFormat="false" ht="13.8" hidden="false" customHeight="false" outlineLevel="0" collapsed="false">
      <c r="A223" s="1" t="n">
        <f aca="false">1+A222</f>
        <v>222</v>
      </c>
      <c r="B223" s="1" t="n">
        <v>4.43543</v>
      </c>
    </row>
    <row r="224" customFormat="false" ht="13.8" hidden="false" customHeight="false" outlineLevel="0" collapsed="false">
      <c r="A224" s="1" t="n">
        <f aca="false">1+A223</f>
        <v>223</v>
      </c>
      <c r="B224" s="1" t="n">
        <v>4.41361</v>
      </c>
    </row>
    <row r="225" customFormat="false" ht="13.8" hidden="false" customHeight="false" outlineLevel="0" collapsed="false">
      <c r="A225" s="1" t="n">
        <f aca="false">1+A224</f>
        <v>224</v>
      </c>
      <c r="B225" s="1" t="n">
        <v>4.39956</v>
      </c>
    </row>
    <row r="226" customFormat="false" ht="13.8" hidden="false" customHeight="false" outlineLevel="0" collapsed="false">
      <c r="A226" s="1" t="n">
        <f aca="false">1+A225</f>
        <v>225</v>
      </c>
      <c r="B226" s="1" t="n">
        <v>4.3847</v>
      </c>
    </row>
    <row r="227" customFormat="false" ht="13.8" hidden="false" customHeight="false" outlineLevel="0" collapsed="false">
      <c r="A227" s="1" t="n">
        <f aca="false">1+A226</f>
        <v>226</v>
      </c>
      <c r="B227" s="1" t="n">
        <v>4.36685</v>
      </c>
    </row>
    <row r="228" customFormat="false" ht="13.8" hidden="false" customHeight="false" outlineLevel="0" collapsed="false">
      <c r="A228" s="1" t="n">
        <f aca="false">1+A227</f>
        <v>227</v>
      </c>
      <c r="B228" s="1" t="n">
        <v>4.3488</v>
      </c>
    </row>
    <row r="229" customFormat="false" ht="13.8" hidden="false" customHeight="false" outlineLevel="0" collapsed="false">
      <c r="A229" s="1" t="n">
        <f aca="false">1+A228</f>
        <v>228</v>
      </c>
      <c r="B229" s="1" t="n">
        <v>4.33422</v>
      </c>
    </row>
    <row r="230" customFormat="false" ht="13.8" hidden="false" customHeight="false" outlineLevel="0" collapsed="false">
      <c r="A230" s="1" t="n">
        <f aca="false">1+A229</f>
        <v>229</v>
      </c>
      <c r="B230" s="1" t="n">
        <v>4.31713</v>
      </c>
    </row>
    <row r="231" customFormat="false" ht="13.8" hidden="false" customHeight="false" outlineLevel="0" collapsed="false">
      <c r="A231" s="1" t="n">
        <f aca="false">1+A230</f>
        <v>230</v>
      </c>
      <c r="B231" s="1" t="n">
        <v>4.30737</v>
      </c>
    </row>
    <row r="232" customFormat="false" ht="13.8" hidden="false" customHeight="false" outlineLevel="0" collapsed="false">
      <c r="A232" s="1" t="n">
        <f aca="false">1+A231</f>
        <v>231</v>
      </c>
      <c r="B232" s="1" t="n">
        <v>4.28828</v>
      </c>
    </row>
    <row r="233" customFormat="false" ht="13.8" hidden="false" customHeight="false" outlineLevel="0" collapsed="false">
      <c r="A233" s="1" t="n">
        <f aca="false">1+A232</f>
        <v>232</v>
      </c>
      <c r="B233" s="1" t="n">
        <v>4.26912</v>
      </c>
    </row>
    <row r="234" customFormat="false" ht="13.8" hidden="false" customHeight="false" outlineLevel="0" collapsed="false">
      <c r="A234" s="1" t="n">
        <f aca="false">1+A233</f>
        <v>233</v>
      </c>
      <c r="B234" s="1" t="n">
        <v>4.25845</v>
      </c>
    </row>
    <row r="235" customFormat="false" ht="13.8" hidden="false" customHeight="false" outlineLevel="0" collapsed="false">
      <c r="A235" s="1" t="n">
        <f aca="false">1+A234</f>
        <v>234</v>
      </c>
      <c r="B235" s="1" t="n">
        <v>4.23727</v>
      </c>
    </row>
    <row r="236" customFormat="false" ht="13.8" hidden="false" customHeight="false" outlineLevel="0" collapsed="false">
      <c r="A236" s="1" t="n">
        <f aca="false">1+A235</f>
        <v>235</v>
      </c>
      <c r="B236" s="1" t="n">
        <v>4.22183</v>
      </c>
    </row>
    <row r="237" customFormat="false" ht="13.8" hidden="false" customHeight="false" outlineLevel="0" collapsed="false">
      <c r="A237" s="1" t="n">
        <f aca="false">1+A236</f>
        <v>236</v>
      </c>
      <c r="B237" s="1" t="n">
        <v>4.20777</v>
      </c>
    </row>
    <row r="238" customFormat="false" ht="13.8" hidden="false" customHeight="false" outlineLevel="0" collapsed="false">
      <c r="A238" s="1" t="n">
        <f aca="false">1+A237</f>
        <v>237</v>
      </c>
      <c r="B238" s="1" t="n">
        <v>4.18972</v>
      </c>
    </row>
    <row r="239" customFormat="false" ht="13.8" hidden="false" customHeight="false" outlineLevel="0" collapsed="false">
      <c r="A239" s="1" t="n">
        <f aca="false">1+A238</f>
        <v>238</v>
      </c>
      <c r="B239" s="1" t="n">
        <v>4.17344</v>
      </c>
    </row>
    <row r="240" customFormat="false" ht="13.8" hidden="false" customHeight="false" outlineLevel="0" collapsed="false">
      <c r="A240" s="1" t="n">
        <f aca="false">1+A239</f>
        <v>239</v>
      </c>
      <c r="B240" s="1" t="n">
        <v>4.15183</v>
      </c>
    </row>
    <row r="241" customFormat="false" ht="13.8" hidden="false" customHeight="false" outlineLevel="0" collapsed="false">
      <c r="A241" s="1" t="n">
        <f aca="false">1+A240</f>
        <v>240</v>
      </c>
      <c r="B241" s="1" t="n">
        <v>4.13512</v>
      </c>
    </row>
    <row r="242" customFormat="false" ht="13.8" hidden="false" customHeight="false" outlineLevel="0" collapsed="false">
      <c r="A242" s="1" t="n">
        <f aca="false">1+A241</f>
        <v>241</v>
      </c>
      <c r="B242" s="1" t="n">
        <v>4.11612</v>
      </c>
    </row>
    <row r="243" customFormat="false" ht="13.8" hidden="false" customHeight="false" outlineLevel="0" collapsed="false">
      <c r="A243" s="1" t="n">
        <f aca="false">1+A242</f>
        <v>242</v>
      </c>
      <c r="B243" s="1" t="n">
        <v>4.09697</v>
      </c>
    </row>
    <row r="244" customFormat="false" ht="13.8" hidden="false" customHeight="false" outlineLevel="0" collapsed="false">
      <c r="A244" s="1" t="n">
        <f aca="false">1+A243</f>
        <v>243</v>
      </c>
      <c r="B244" s="1" t="n">
        <v>4.08049</v>
      </c>
    </row>
    <row r="245" customFormat="false" ht="13.8" hidden="false" customHeight="false" outlineLevel="0" collapsed="false">
      <c r="A245" s="1" t="n">
        <f aca="false">1+A244</f>
        <v>244</v>
      </c>
      <c r="B245" s="1" t="n">
        <v>4.06316</v>
      </c>
    </row>
    <row r="246" customFormat="false" ht="13.8" hidden="false" customHeight="false" outlineLevel="0" collapsed="false">
      <c r="A246" s="1" t="n">
        <f aca="false">1+A245</f>
        <v>245</v>
      </c>
      <c r="B246" s="1" t="n">
        <v>4.04647</v>
      </c>
    </row>
    <row r="247" customFormat="false" ht="13.8" hidden="false" customHeight="false" outlineLevel="0" collapsed="false">
      <c r="A247" s="1" t="n">
        <f aca="false">1+A246</f>
        <v>246</v>
      </c>
      <c r="B247" s="1" t="n">
        <v>4.02902</v>
      </c>
    </row>
    <row r="248" customFormat="false" ht="13.8" hidden="false" customHeight="false" outlineLevel="0" collapsed="false">
      <c r="A248" s="1" t="n">
        <f aca="false">1+A247</f>
        <v>247</v>
      </c>
      <c r="B248" s="1" t="n">
        <v>4.01422</v>
      </c>
    </row>
    <row r="249" customFormat="false" ht="13.8" hidden="false" customHeight="false" outlineLevel="0" collapsed="false">
      <c r="A249" s="1" t="n">
        <f aca="false">1+A248</f>
        <v>248</v>
      </c>
      <c r="B249" s="1" t="n">
        <v>4.00389</v>
      </c>
    </row>
    <row r="250" customFormat="false" ht="13.8" hidden="false" customHeight="false" outlineLevel="0" collapsed="false">
      <c r="A250" s="1" t="n">
        <f aca="false">1+A249</f>
        <v>249</v>
      </c>
      <c r="B250" s="1" t="n">
        <v>3.98835</v>
      </c>
    </row>
    <row r="251" customFormat="false" ht="13.8" hidden="false" customHeight="false" outlineLevel="0" collapsed="false">
      <c r="A251" s="1" t="n">
        <f aca="false">1+A250</f>
        <v>250</v>
      </c>
      <c r="B251" s="1" t="n">
        <v>3.97478</v>
      </c>
    </row>
    <row r="252" customFormat="false" ht="13.8" hidden="false" customHeight="false" outlineLevel="0" collapsed="false">
      <c r="A252" s="1" t="n">
        <f aca="false">1+A251</f>
        <v>251</v>
      </c>
      <c r="B252" s="1" t="n">
        <v>3.96178</v>
      </c>
    </row>
    <row r="253" customFormat="false" ht="13.8" hidden="false" customHeight="false" outlineLevel="0" collapsed="false">
      <c r="A253" s="1" t="n">
        <f aca="false">1+A252</f>
        <v>252</v>
      </c>
      <c r="B253" s="1" t="n">
        <v>3.94459</v>
      </c>
    </row>
    <row r="254" customFormat="false" ht="13.8" hidden="false" customHeight="false" outlineLevel="0" collapsed="false">
      <c r="A254" s="1" t="n">
        <f aca="false">1+A253</f>
        <v>253</v>
      </c>
      <c r="B254" s="1" t="n">
        <v>3.92654</v>
      </c>
    </row>
    <row r="255" customFormat="false" ht="13.8" hidden="false" customHeight="false" outlineLevel="0" collapsed="false">
      <c r="A255" s="1" t="n">
        <f aca="false">1+A254</f>
        <v>254</v>
      </c>
      <c r="B255" s="1" t="n">
        <v>3.9087</v>
      </c>
    </row>
    <row r="256" customFormat="false" ht="13.8" hidden="false" customHeight="false" outlineLevel="0" collapsed="false">
      <c r="A256" s="1" t="n">
        <f aca="false">1+A255</f>
        <v>255</v>
      </c>
      <c r="B256" s="1" t="n">
        <v>3.89492</v>
      </c>
    </row>
    <row r="257" customFormat="false" ht="13.8" hidden="false" customHeight="false" outlineLevel="0" collapsed="false">
      <c r="A257" s="1" t="n">
        <f aca="false">1+A256</f>
        <v>256</v>
      </c>
      <c r="B257" s="1" t="n">
        <v>3.88317</v>
      </c>
    </row>
    <row r="258" customFormat="false" ht="13.8" hidden="false" customHeight="false" outlineLevel="0" collapsed="false">
      <c r="A258" s="1" t="n">
        <f aca="false">1+A257</f>
        <v>257</v>
      </c>
      <c r="B258" s="1" t="n">
        <v>3.86568</v>
      </c>
    </row>
    <row r="259" customFormat="false" ht="13.8" hidden="false" customHeight="false" outlineLevel="0" collapsed="false">
      <c r="A259" s="1" t="n">
        <f aca="false">1+A258</f>
        <v>258</v>
      </c>
      <c r="B259" s="1" t="n">
        <v>3.85149</v>
      </c>
    </row>
    <row r="260" customFormat="false" ht="13.8" hidden="false" customHeight="false" outlineLevel="0" collapsed="false">
      <c r="A260" s="1" t="n">
        <f aca="false">1+A259</f>
        <v>259</v>
      </c>
      <c r="B260" s="1" t="n">
        <v>3.83747</v>
      </c>
    </row>
    <row r="261" customFormat="false" ht="13.8" hidden="false" customHeight="false" outlineLevel="0" collapsed="false">
      <c r="A261" s="1" t="n">
        <f aca="false">1+A260</f>
        <v>260</v>
      </c>
      <c r="B261" s="1" t="n">
        <v>3.82424</v>
      </c>
    </row>
    <row r="262" customFormat="false" ht="13.8" hidden="false" customHeight="false" outlineLevel="0" collapsed="false">
      <c r="A262" s="1" t="n">
        <f aca="false">1+A261</f>
        <v>261</v>
      </c>
      <c r="B262" s="1" t="n">
        <v>3.80569</v>
      </c>
    </row>
    <row r="263" customFormat="false" ht="13.8" hidden="false" customHeight="false" outlineLevel="0" collapsed="false">
      <c r="A263" s="1" t="n">
        <f aca="false">1+A262</f>
        <v>262</v>
      </c>
      <c r="B263" s="1" t="n">
        <v>3.78874</v>
      </c>
    </row>
    <row r="264" customFormat="false" ht="13.8" hidden="false" customHeight="false" outlineLevel="0" collapsed="false">
      <c r="A264" s="1" t="n">
        <f aca="false">1+A263</f>
        <v>263</v>
      </c>
      <c r="B264" s="1" t="n">
        <v>3.76927</v>
      </c>
    </row>
    <row r="265" customFormat="false" ht="13.8" hidden="false" customHeight="false" outlineLevel="0" collapsed="false">
      <c r="A265" s="1" t="n">
        <f aca="false">1+A264</f>
        <v>264</v>
      </c>
      <c r="B265" s="1" t="n">
        <v>3.75862</v>
      </c>
    </row>
    <row r="266" customFormat="false" ht="13.8" hidden="false" customHeight="false" outlineLevel="0" collapsed="false">
      <c r="A266" s="1" t="n">
        <f aca="false">1+A265</f>
        <v>265</v>
      </c>
      <c r="B266" s="1" t="n">
        <v>3.74445</v>
      </c>
    </row>
    <row r="267" customFormat="false" ht="13.8" hidden="false" customHeight="false" outlineLevel="0" collapsed="false">
      <c r="A267" s="1" t="n">
        <f aca="false">1+A266</f>
        <v>266</v>
      </c>
      <c r="B267" s="1" t="n">
        <v>3.73472</v>
      </c>
    </row>
    <row r="268" customFormat="false" ht="13.8" hidden="false" customHeight="false" outlineLevel="0" collapsed="false">
      <c r="A268" s="1" t="n">
        <f aca="false">1+A267</f>
        <v>267</v>
      </c>
      <c r="B268" s="1" t="n">
        <v>3.72079</v>
      </c>
    </row>
    <row r="269" customFormat="false" ht="13.8" hidden="false" customHeight="false" outlineLevel="0" collapsed="false">
      <c r="A269" s="1" t="n">
        <f aca="false">1+A268</f>
        <v>268</v>
      </c>
      <c r="B269" s="1" t="n">
        <v>3.704</v>
      </c>
    </row>
    <row r="270" customFormat="false" ht="13.8" hidden="false" customHeight="false" outlineLevel="0" collapsed="false">
      <c r="A270" s="1" t="n">
        <f aca="false">1+A269</f>
        <v>269</v>
      </c>
      <c r="B270" s="1" t="n">
        <v>3.69346</v>
      </c>
    </row>
    <row r="271" customFormat="false" ht="13.8" hidden="false" customHeight="false" outlineLevel="0" collapsed="false">
      <c r="A271" s="1" t="n">
        <f aca="false">1+A270</f>
        <v>270</v>
      </c>
      <c r="B271" s="1" t="n">
        <v>3.67877</v>
      </c>
    </row>
    <row r="272" customFormat="false" ht="13.8" hidden="false" customHeight="false" outlineLevel="0" collapsed="false">
      <c r="A272" s="1" t="n">
        <f aca="false">1+A271</f>
        <v>271</v>
      </c>
      <c r="B272" s="1" t="n">
        <v>3.66001</v>
      </c>
    </row>
    <row r="273" customFormat="false" ht="13.8" hidden="false" customHeight="false" outlineLevel="0" collapsed="false">
      <c r="A273" s="1" t="n">
        <f aca="false">1+A272</f>
        <v>272</v>
      </c>
      <c r="B273" s="1" t="n">
        <v>3.64466</v>
      </c>
    </row>
    <row r="274" customFormat="false" ht="13.8" hidden="false" customHeight="false" outlineLevel="0" collapsed="false">
      <c r="A274" s="1" t="n">
        <f aca="false">1+A273</f>
        <v>273</v>
      </c>
      <c r="B274" s="1" t="n">
        <v>3.63127</v>
      </c>
    </row>
    <row r="275" customFormat="false" ht="13.8" hidden="false" customHeight="false" outlineLevel="0" collapsed="false">
      <c r="A275" s="1" t="n">
        <f aca="false">1+A274</f>
        <v>274</v>
      </c>
      <c r="B275" s="1" t="n">
        <v>3.61691</v>
      </c>
    </row>
    <row r="276" customFormat="false" ht="13.8" hidden="false" customHeight="false" outlineLevel="0" collapsed="false">
      <c r="A276" s="1" t="n">
        <f aca="false">1+A275</f>
        <v>275</v>
      </c>
      <c r="B276" s="1" t="n">
        <v>3.60132</v>
      </c>
    </row>
    <row r="277" customFormat="false" ht="13.8" hidden="false" customHeight="false" outlineLevel="0" collapsed="false">
      <c r="A277" s="1" t="n">
        <f aca="false">1+A276</f>
        <v>276</v>
      </c>
      <c r="B277" s="1" t="n">
        <v>3.58653</v>
      </c>
    </row>
    <row r="278" customFormat="false" ht="13.8" hidden="false" customHeight="false" outlineLevel="0" collapsed="false">
      <c r="A278" s="1" t="n">
        <f aca="false">1+A277</f>
        <v>277</v>
      </c>
      <c r="B278" s="1" t="n">
        <v>3.57062</v>
      </c>
    </row>
    <row r="279" customFormat="false" ht="13.8" hidden="false" customHeight="false" outlineLevel="0" collapsed="false">
      <c r="A279" s="1" t="n">
        <f aca="false">1+A278</f>
        <v>278</v>
      </c>
      <c r="B279" s="1" t="n">
        <v>3.5518</v>
      </c>
    </row>
    <row r="280" customFormat="false" ht="13.8" hidden="false" customHeight="false" outlineLevel="0" collapsed="false">
      <c r="A280" s="1" t="n">
        <f aca="false">1+A279</f>
        <v>279</v>
      </c>
      <c r="B280" s="1" t="n">
        <v>3.53933</v>
      </c>
    </row>
    <row r="281" customFormat="false" ht="13.8" hidden="false" customHeight="false" outlineLevel="0" collapsed="false">
      <c r="A281" s="1" t="n">
        <f aca="false">1+A280</f>
        <v>280</v>
      </c>
      <c r="B281" s="1" t="n">
        <v>3.52625</v>
      </c>
    </row>
    <row r="282" customFormat="false" ht="13.8" hidden="false" customHeight="false" outlineLevel="0" collapsed="false">
      <c r="A282" s="1" t="n">
        <f aca="false">1+A281</f>
        <v>281</v>
      </c>
      <c r="B282" s="1" t="n">
        <v>3.50648</v>
      </c>
    </row>
    <row r="283" customFormat="false" ht="13.8" hidden="false" customHeight="false" outlineLevel="0" collapsed="false">
      <c r="A283" s="1" t="n">
        <f aca="false">1+A282</f>
        <v>282</v>
      </c>
      <c r="B283" s="1" t="n">
        <v>3.49578</v>
      </c>
    </row>
    <row r="284" customFormat="false" ht="13.8" hidden="false" customHeight="false" outlineLevel="0" collapsed="false">
      <c r="A284" s="1" t="n">
        <f aca="false">1+A283</f>
        <v>283</v>
      </c>
      <c r="B284" s="1" t="n">
        <v>3.47968</v>
      </c>
    </row>
    <row r="285" customFormat="false" ht="13.8" hidden="false" customHeight="false" outlineLevel="0" collapsed="false">
      <c r="A285" s="1" t="n">
        <f aca="false">1+A284</f>
        <v>284</v>
      </c>
      <c r="B285" s="1" t="n">
        <v>3.46655</v>
      </c>
    </row>
    <row r="286" customFormat="false" ht="13.8" hidden="false" customHeight="false" outlineLevel="0" collapsed="false">
      <c r="A286" s="1" t="n">
        <f aca="false">1+A285</f>
        <v>285</v>
      </c>
      <c r="B286" s="1" t="n">
        <v>3.45416</v>
      </c>
    </row>
    <row r="287" customFormat="false" ht="13.8" hidden="false" customHeight="false" outlineLevel="0" collapsed="false">
      <c r="A287" s="1" t="n">
        <f aca="false">1+A286</f>
        <v>286</v>
      </c>
      <c r="B287" s="1" t="n">
        <v>3.44285</v>
      </c>
    </row>
    <row r="288" customFormat="false" ht="13.8" hidden="false" customHeight="false" outlineLevel="0" collapsed="false">
      <c r="A288" s="1" t="n">
        <f aca="false">1+A287</f>
        <v>287</v>
      </c>
      <c r="B288" s="1" t="n">
        <v>3.43151</v>
      </c>
    </row>
    <row r="289" customFormat="false" ht="13.8" hidden="false" customHeight="false" outlineLevel="0" collapsed="false">
      <c r="A289" s="1" t="n">
        <f aca="false">1+A288</f>
        <v>288</v>
      </c>
      <c r="B289" s="1" t="n">
        <v>3.41944</v>
      </c>
    </row>
    <row r="290" customFormat="false" ht="13.8" hidden="false" customHeight="false" outlineLevel="0" collapsed="false">
      <c r="A290" s="1" t="n">
        <f aca="false">1+A289</f>
        <v>289</v>
      </c>
      <c r="B290" s="1" t="n">
        <v>3.40521</v>
      </c>
    </row>
    <row r="291" customFormat="false" ht="13.8" hidden="false" customHeight="false" outlineLevel="0" collapsed="false">
      <c r="A291" s="1" t="n">
        <f aca="false">1+A290</f>
        <v>290</v>
      </c>
      <c r="B291" s="1" t="n">
        <v>3.39575</v>
      </c>
    </row>
    <row r="292" customFormat="false" ht="13.8" hidden="false" customHeight="false" outlineLevel="0" collapsed="false">
      <c r="A292" s="1" t="n">
        <f aca="false">1+A291</f>
        <v>291</v>
      </c>
      <c r="B292" s="1" t="n">
        <v>3.37981</v>
      </c>
    </row>
    <row r="293" customFormat="false" ht="13.8" hidden="false" customHeight="false" outlineLevel="0" collapsed="false">
      <c r="A293" s="1" t="n">
        <f aca="false">1+A292</f>
        <v>292</v>
      </c>
      <c r="B293" s="1" t="n">
        <v>3.36019</v>
      </c>
    </row>
    <row r="294" customFormat="false" ht="13.8" hidden="false" customHeight="false" outlineLevel="0" collapsed="false">
      <c r="A294" s="1" t="n">
        <f aca="false">1+A293</f>
        <v>293</v>
      </c>
      <c r="B294" s="1" t="n">
        <v>3.34957</v>
      </c>
    </row>
    <row r="295" customFormat="false" ht="13.8" hidden="false" customHeight="false" outlineLevel="0" collapsed="false">
      <c r="A295" s="1" t="n">
        <f aca="false">1+A294</f>
        <v>294</v>
      </c>
      <c r="B295" s="1" t="n">
        <v>3.33787</v>
      </c>
    </row>
    <row r="296" customFormat="false" ht="13.8" hidden="false" customHeight="false" outlineLevel="0" collapsed="false">
      <c r="A296" s="1" t="n">
        <f aca="false">1+A295</f>
        <v>295</v>
      </c>
      <c r="B296" s="1" t="n">
        <v>3.32333</v>
      </c>
    </row>
    <row r="297" customFormat="false" ht="13.8" hidden="false" customHeight="false" outlineLevel="0" collapsed="false">
      <c r="A297" s="1" t="n">
        <f aca="false">1+A296</f>
        <v>296</v>
      </c>
      <c r="B297" s="1" t="n">
        <v>3.31229</v>
      </c>
    </row>
    <row r="298" customFormat="false" ht="13.8" hidden="false" customHeight="false" outlineLevel="0" collapsed="false">
      <c r="A298" s="1" t="n">
        <f aca="false">1+A297</f>
        <v>297</v>
      </c>
      <c r="B298" s="1" t="n">
        <v>3.30194</v>
      </c>
    </row>
    <row r="299" customFormat="false" ht="13.8" hidden="false" customHeight="false" outlineLevel="0" collapsed="false">
      <c r="A299" s="1" t="n">
        <f aca="false">1+A298</f>
        <v>298</v>
      </c>
      <c r="B299" s="1" t="n">
        <v>3.2848</v>
      </c>
    </row>
    <row r="300" customFormat="false" ht="13.8" hidden="false" customHeight="false" outlineLevel="0" collapsed="false">
      <c r="A300" s="1" t="n">
        <f aca="false">1+A299</f>
        <v>299</v>
      </c>
      <c r="B300" s="1" t="n">
        <v>3.27646</v>
      </c>
    </row>
    <row r="301" customFormat="false" ht="13.8" hidden="false" customHeight="false" outlineLevel="0" collapsed="false">
      <c r="A301" s="1" t="n">
        <f aca="false">1+A300</f>
        <v>300</v>
      </c>
      <c r="B301" s="1" t="n">
        <v>3.26415</v>
      </c>
    </row>
    <row r="302" customFormat="false" ht="13.8" hidden="false" customHeight="false" outlineLevel="0" collapsed="false">
      <c r="A302" s="1" t="n">
        <f aca="false">1+A301</f>
        <v>301</v>
      </c>
      <c r="B302" s="1" t="n">
        <v>3.25213</v>
      </c>
    </row>
    <row r="303" customFormat="false" ht="13.8" hidden="false" customHeight="false" outlineLevel="0" collapsed="false">
      <c r="A303" s="1" t="n">
        <f aca="false">1+A302</f>
        <v>302</v>
      </c>
      <c r="B303" s="1" t="n">
        <v>3.23406</v>
      </c>
    </row>
    <row r="304" customFormat="false" ht="13.8" hidden="false" customHeight="false" outlineLevel="0" collapsed="false">
      <c r="A304" s="1" t="n">
        <f aca="false">1+A303</f>
        <v>303</v>
      </c>
      <c r="B304" s="1" t="n">
        <v>3.21682</v>
      </c>
    </row>
    <row r="305" customFormat="false" ht="13.8" hidden="false" customHeight="false" outlineLevel="0" collapsed="false">
      <c r="A305" s="1" t="n">
        <f aca="false">1+A304</f>
        <v>304</v>
      </c>
      <c r="B305" s="1" t="n">
        <v>3.20849</v>
      </c>
    </row>
    <row r="306" customFormat="false" ht="13.8" hidden="false" customHeight="false" outlineLevel="0" collapsed="false">
      <c r="A306" s="1" t="n">
        <f aca="false">1+A305</f>
        <v>305</v>
      </c>
      <c r="B306" s="1" t="n">
        <v>3.18996</v>
      </c>
    </row>
    <row r="307" customFormat="false" ht="13.8" hidden="false" customHeight="false" outlineLevel="0" collapsed="false">
      <c r="A307" s="1" t="n">
        <f aca="false">1+A306</f>
        <v>306</v>
      </c>
      <c r="B307" s="1" t="n">
        <v>3.17349</v>
      </c>
    </row>
    <row r="308" customFormat="false" ht="13.8" hidden="false" customHeight="false" outlineLevel="0" collapsed="false">
      <c r="A308" s="1" t="n">
        <f aca="false">1+A307</f>
        <v>307</v>
      </c>
      <c r="B308" s="1" t="n">
        <v>3.16468</v>
      </c>
    </row>
    <row r="309" customFormat="false" ht="13.8" hidden="false" customHeight="false" outlineLevel="0" collapsed="false">
      <c r="A309" s="1" t="n">
        <f aca="false">1+A308</f>
        <v>308</v>
      </c>
      <c r="B309" s="1" t="n">
        <v>3.15559</v>
      </c>
    </row>
    <row r="310" customFormat="false" ht="13.8" hidden="false" customHeight="false" outlineLevel="0" collapsed="false">
      <c r="A310" s="1" t="n">
        <f aca="false">1+A309</f>
        <v>309</v>
      </c>
      <c r="B310" s="1" t="n">
        <v>3.13128</v>
      </c>
    </row>
    <row r="311" customFormat="false" ht="13.8" hidden="false" customHeight="false" outlineLevel="0" collapsed="false">
      <c r="A311" s="1" t="n">
        <f aca="false">1+A310</f>
        <v>310</v>
      </c>
      <c r="B311" s="1" t="n">
        <v>3.11522</v>
      </c>
    </row>
    <row r="312" customFormat="false" ht="13.8" hidden="false" customHeight="false" outlineLevel="0" collapsed="false">
      <c r="A312" s="1" t="n">
        <f aca="false">1+A311</f>
        <v>311</v>
      </c>
      <c r="B312" s="1" t="n">
        <v>3.09908</v>
      </c>
    </row>
    <row r="313" customFormat="false" ht="13.8" hidden="false" customHeight="false" outlineLevel="0" collapsed="false">
      <c r="A313" s="1" t="n">
        <f aca="false">1+A312</f>
        <v>312</v>
      </c>
      <c r="B313" s="1" t="n">
        <v>3.08592</v>
      </c>
    </row>
    <row r="314" customFormat="false" ht="13.8" hidden="false" customHeight="false" outlineLevel="0" collapsed="false">
      <c r="A314" s="1" t="n">
        <f aca="false">1+A313</f>
        <v>313</v>
      </c>
      <c r="B314" s="1" t="n">
        <v>3.06906</v>
      </c>
    </row>
    <row r="315" customFormat="false" ht="13.8" hidden="false" customHeight="false" outlineLevel="0" collapsed="false">
      <c r="A315" s="1" t="n">
        <f aca="false">1+A314</f>
        <v>314</v>
      </c>
      <c r="B315" s="1" t="n">
        <v>3.06232</v>
      </c>
    </row>
    <row r="316" customFormat="false" ht="13.8" hidden="false" customHeight="false" outlineLevel="0" collapsed="false">
      <c r="A316" s="1" t="n">
        <f aca="false">1+A315</f>
        <v>315</v>
      </c>
      <c r="B316" s="1" t="n">
        <v>3.04972</v>
      </c>
    </row>
    <row r="317" customFormat="false" ht="13.8" hidden="false" customHeight="false" outlineLevel="0" collapsed="false">
      <c r="A317" s="1" t="n">
        <f aca="false">1+A316</f>
        <v>316</v>
      </c>
      <c r="B317" s="1" t="n">
        <v>3.03265</v>
      </c>
    </row>
    <row r="318" customFormat="false" ht="13.8" hidden="false" customHeight="false" outlineLevel="0" collapsed="false">
      <c r="A318" s="1" t="n">
        <f aca="false">1+A317</f>
        <v>317</v>
      </c>
      <c r="B318" s="1" t="n">
        <v>3.02114</v>
      </c>
    </row>
    <row r="319" customFormat="false" ht="13.8" hidden="false" customHeight="false" outlineLevel="0" collapsed="false">
      <c r="A319" s="1" t="n">
        <f aca="false">1+A318</f>
        <v>318</v>
      </c>
      <c r="B319" s="1" t="n">
        <v>3.00461</v>
      </c>
    </row>
    <row r="320" customFormat="false" ht="13.8" hidden="false" customHeight="false" outlineLevel="0" collapsed="false">
      <c r="A320" s="1" t="n">
        <f aca="false">1+A319</f>
        <v>319</v>
      </c>
      <c r="B320" s="1" t="n">
        <v>2.99313</v>
      </c>
    </row>
    <row r="321" customFormat="false" ht="13.8" hidden="false" customHeight="false" outlineLevel="0" collapsed="false">
      <c r="A321" s="1" t="n">
        <f aca="false">1+A320</f>
        <v>320</v>
      </c>
      <c r="B321" s="1" t="n">
        <v>2.97341</v>
      </c>
    </row>
    <row r="322" customFormat="false" ht="13.8" hidden="false" customHeight="false" outlineLevel="0" collapsed="false">
      <c r="A322" s="1" t="n">
        <f aca="false">1+A321</f>
        <v>321</v>
      </c>
      <c r="B322" s="1" t="n">
        <v>2.96126</v>
      </c>
    </row>
    <row r="323" customFormat="false" ht="13.8" hidden="false" customHeight="false" outlineLevel="0" collapsed="false">
      <c r="A323" s="1" t="n">
        <f aca="false">1+A322</f>
        <v>322</v>
      </c>
      <c r="B323" s="1" t="n">
        <v>2.9496</v>
      </c>
    </row>
    <row r="324" customFormat="false" ht="13.8" hidden="false" customHeight="false" outlineLevel="0" collapsed="false">
      <c r="A324" s="1" t="n">
        <f aca="false">1+A323</f>
        <v>323</v>
      </c>
      <c r="B324" s="1" t="n">
        <v>2.94119</v>
      </c>
    </row>
    <row r="325" customFormat="false" ht="13.8" hidden="false" customHeight="false" outlineLevel="0" collapsed="false">
      <c r="A325" s="1" t="n">
        <f aca="false">1+A324</f>
        <v>324</v>
      </c>
      <c r="B325" s="1" t="n">
        <v>2.92999</v>
      </c>
    </row>
    <row r="326" customFormat="false" ht="13.8" hidden="false" customHeight="false" outlineLevel="0" collapsed="false">
      <c r="A326" s="1" t="n">
        <f aca="false">1+A325</f>
        <v>325</v>
      </c>
      <c r="B326" s="1" t="n">
        <v>2.91687</v>
      </c>
    </row>
    <row r="327" customFormat="false" ht="13.8" hidden="false" customHeight="false" outlineLevel="0" collapsed="false">
      <c r="A327" s="1" t="n">
        <f aca="false">1+A326</f>
        <v>326</v>
      </c>
      <c r="B327" s="1" t="n">
        <v>2.90509</v>
      </c>
    </row>
    <row r="328" customFormat="false" ht="13.8" hidden="false" customHeight="false" outlineLevel="0" collapsed="false">
      <c r="A328" s="1" t="n">
        <f aca="false">1+A327</f>
        <v>327</v>
      </c>
      <c r="B328" s="1" t="n">
        <v>2.89373</v>
      </c>
    </row>
    <row r="329" customFormat="false" ht="13.8" hidden="false" customHeight="false" outlineLevel="0" collapsed="false">
      <c r="A329" s="1" t="n">
        <f aca="false">1+A328</f>
        <v>328</v>
      </c>
      <c r="B329" s="1" t="n">
        <v>2.88252</v>
      </c>
    </row>
    <row r="330" customFormat="false" ht="13.8" hidden="false" customHeight="false" outlineLevel="0" collapsed="false">
      <c r="A330" s="1" t="n">
        <f aca="false">1+A329</f>
        <v>329</v>
      </c>
      <c r="B330" s="1" t="n">
        <v>2.87265</v>
      </c>
    </row>
    <row r="331" customFormat="false" ht="13.8" hidden="false" customHeight="false" outlineLevel="0" collapsed="false">
      <c r="A331" s="1" t="n">
        <f aca="false">1+A330</f>
        <v>330</v>
      </c>
      <c r="B331" s="1" t="n">
        <v>2.85904</v>
      </c>
    </row>
    <row r="332" customFormat="false" ht="13.8" hidden="false" customHeight="false" outlineLevel="0" collapsed="false">
      <c r="A332" s="1" t="n">
        <f aca="false">1+A331</f>
        <v>331</v>
      </c>
      <c r="B332" s="1" t="n">
        <v>2.84452</v>
      </c>
    </row>
    <row r="333" customFormat="false" ht="13.8" hidden="false" customHeight="false" outlineLevel="0" collapsed="false">
      <c r="A333" s="1" t="n">
        <f aca="false">1+A332</f>
        <v>332</v>
      </c>
      <c r="B333" s="1" t="n">
        <v>2.83394</v>
      </c>
    </row>
    <row r="334" customFormat="false" ht="13.8" hidden="false" customHeight="false" outlineLevel="0" collapsed="false">
      <c r="A334" s="1" t="n">
        <f aca="false">1+A333</f>
        <v>333</v>
      </c>
      <c r="B334" s="1" t="n">
        <v>2.82894</v>
      </c>
    </row>
    <row r="335" customFormat="false" ht="13.8" hidden="false" customHeight="false" outlineLevel="0" collapsed="false">
      <c r="A335" s="1" t="n">
        <f aca="false">1+A334</f>
        <v>334</v>
      </c>
      <c r="B335" s="1" t="n">
        <v>2.81969</v>
      </c>
    </row>
    <row r="336" customFormat="false" ht="13.8" hidden="false" customHeight="false" outlineLevel="0" collapsed="false">
      <c r="A336" s="1" t="n">
        <f aca="false">1+A335</f>
        <v>335</v>
      </c>
      <c r="B336" s="1" t="n">
        <v>2.81558</v>
      </c>
    </row>
    <row r="337" customFormat="false" ht="13.8" hidden="false" customHeight="false" outlineLevel="0" collapsed="false">
      <c r="A337" s="1" t="n">
        <f aca="false">1+A336</f>
        <v>336</v>
      </c>
      <c r="B337" s="1" t="n">
        <v>2.80231</v>
      </c>
    </row>
    <row r="338" customFormat="false" ht="13.8" hidden="false" customHeight="false" outlineLevel="0" collapsed="false">
      <c r="A338" s="1" t="n">
        <f aca="false">1+A337</f>
        <v>337</v>
      </c>
      <c r="B338" s="1" t="n">
        <v>2.78515</v>
      </c>
    </row>
    <row r="339" customFormat="false" ht="13.8" hidden="false" customHeight="false" outlineLevel="0" collapsed="false">
      <c r="A339" s="1" t="n">
        <f aca="false">1+A338</f>
        <v>338</v>
      </c>
      <c r="B339" s="1" t="n">
        <v>2.77109</v>
      </c>
    </row>
    <row r="340" customFormat="false" ht="13.8" hidden="false" customHeight="false" outlineLevel="0" collapsed="false">
      <c r="A340" s="1" t="n">
        <f aca="false">1+A339</f>
        <v>339</v>
      </c>
      <c r="B340" s="1" t="n">
        <v>2.76222</v>
      </c>
    </row>
    <row r="341" customFormat="false" ht="13.8" hidden="false" customHeight="false" outlineLevel="0" collapsed="false">
      <c r="A341" s="1" t="n">
        <f aca="false">1+A340</f>
        <v>340</v>
      </c>
      <c r="B341" s="1" t="n">
        <v>2.75562</v>
      </c>
    </row>
    <row r="342" customFormat="false" ht="13.8" hidden="false" customHeight="false" outlineLevel="0" collapsed="false">
      <c r="A342" s="1" t="n">
        <f aca="false">1+A341</f>
        <v>341</v>
      </c>
      <c r="B342" s="1" t="n">
        <v>2.7473</v>
      </c>
    </row>
    <row r="343" customFormat="false" ht="13.8" hidden="false" customHeight="false" outlineLevel="0" collapsed="false">
      <c r="A343" s="1" t="n">
        <f aca="false">1+A342</f>
        <v>342</v>
      </c>
      <c r="B343" s="1" t="n">
        <v>2.73624</v>
      </c>
    </row>
    <row r="344" customFormat="false" ht="13.8" hidden="false" customHeight="false" outlineLevel="0" collapsed="false">
      <c r="A344" s="1" t="n">
        <f aca="false">1+A343</f>
        <v>343</v>
      </c>
      <c r="B344" s="1" t="n">
        <v>2.72356</v>
      </c>
    </row>
    <row r="345" customFormat="false" ht="13.8" hidden="false" customHeight="false" outlineLevel="0" collapsed="false">
      <c r="A345" s="1" t="n">
        <f aca="false">1+A344</f>
        <v>344</v>
      </c>
      <c r="B345" s="1" t="n">
        <v>2.71813</v>
      </c>
    </row>
    <row r="346" customFormat="false" ht="13.8" hidden="false" customHeight="false" outlineLevel="0" collapsed="false">
      <c r="A346" s="1" t="n">
        <f aca="false">1+A345</f>
        <v>345</v>
      </c>
      <c r="B346" s="1" t="n">
        <v>2.71028</v>
      </c>
    </row>
    <row r="347" customFormat="false" ht="13.8" hidden="false" customHeight="false" outlineLevel="0" collapsed="false">
      <c r="A347" s="1" t="n">
        <f aca="false">1+A346</f>
        <v>346</v>
      </c>
      <c r="B347" s="1" t="n">
        <v>2.69883</v>
      </c>
    </row>
    <row r="348" customFormat="false" ht="13.8" hidden="false" customHeight="false" outlineLevel="0" collapsed="false">
      <c r="A348" s="1" t="n">
        <f aca="false">1+A347</f>
        <v>347</v>
      </c>
      <c r="B348" s="1" t="n">
        <v>2.68696</v>
      </c>
    </row>
    <row r="349" customFormat="false" ht="13.8" hidden="false" customHeight="false" outlineLevel="0" collapsed="false">
      <c r="A349" s="1" t="n">
        <f aca="false">1+A348</f>
        <v>348</v>
      </c>
      <c r="B349" s="1" t="n">
        <v>2.67942</v>
      </c>
    </row>
    <row r="350" customFormat="false" ht="13.8" hidden="false" customHeight="false" outlineLevel="0" collapsed="false">
      <c r="A350" s="1" t="n">
        <f aca="false">1+A349</f>
        <v>349</v>
      </c>
      <c r="B350" s="1" t="n">
        <v>2.6717</v>
      </c>
    </row>
    <row r="351" customFormat="false" ht="13.8" hidden="false" customHeight="false" outlineLevel="0" collapsed="false">
      <c r="A351" s="1" t="n">
        <f aca="false">1+A350</f>
        <v>350</v>
      </c>
      <c r="B351" s="1" t="n">
        <v>2.66103</v>
      </c>
    </row>
    <row r="352" customFormat="false" ht="13.8" hidden="false" customHeight="false" outlineLevel="0" collapsed="false">
      <c r="A352" s="1" t="n">
        <f aca="false">1+A351</f>
        <v>351</v>
      </c>
      <c r="B352" s="1" t="n">
        <v>2.64734</v>
      </c>
    </row>
    <row r="353" customFormat="false" ht="13.8" hidden="false" customHeight="false" outlineLevel="0" collapsed="false">
      <c r="A353" s="1" t="n">
        <f aca="false">1+A352</f>
        <v>352</v>
      </c>
      <c r="B353" s="1" t="n">
        <v>2.63601</v>
      </c>
    </row>
    <row r="354" customFormat="false" ht="13.8" hidden="false" customHeight="false" outlineLevel="0" collapsed="false">
      <c r="A354" s="1" t="n">
        <f aca="false">1+A353</f>
        <v>353</v>
      </c>
      <c r="B354" s="1" t="n">
        <v>2.62062</v>
      </c>
    </row>
    <row r="355" customFormat="false" ht="13.8" hidden="false" customHeight="false" outlineLevel="0" collapsed="false">
      <c r="A355" s="1" t="n">
        <f aca="false">1+A354</f>
        <v>354</v>
      </c>
      <c r="B355" s="1" t="n">
        <v>2.60649</v>
      </c>
    </row>
    <row r="356" customFormat="false" ht="13.8" hidden="false" customHeight="false" outlineLevel="0" collapsed="false">
      <c r="A356" s="1" t="n">
        <f aca="false">1+A355</f>
        <v>355</v>
      </c>
      <c r="B356" s="1" t="n">
        <v>2.60091</v>
      </c>
    </row>
    <row r="357" customFormat="false" ht="13.8" hidden="false" customHeight="false" outlineLevel="0" collapsed="false">
      <c r="A357" s="1" t="n">
        <f aca="false">1+A356</f>
        <v>356</v>
      </c>
      <c r="B357" s="1" t="n">
        <v>2.59195</v>
      </c>
    </row>
    <row r="358" customFormat="false" ht="13.8" hidden="false" customHeight="false" outlineLevel="0" collapsed="false">
      <c r="A358" s="1" t="n">
        <f aca="false">1+A357</f>
        <v>357</v>
      </c>
      <c r="B358" s="1" t="n">
        <v>2.58052</v>
      </c>
    </row>
    <row r="359" customFormat="false" ht="13.8" hidden="false" customHeight="false" outlineLevel="0" collapsed="false">
      <c r="A359" s="1" t="n">
        <f aca="false">1+A358</f>
        <v>358</v>
      </c>
      <c r="B359" s="1" t="n">
        <v>2.57425</v>
      </c>
    </row>
    <row r="360" customFormat="false" ht="13.8" hidden="false" customHeight="false" outlineLevel="0" collapsed="false">
      <c r="A360" s="1" t="n">
        <f aca="false">1+A359</f>
        <v>359</v>
      </c>
      <c r="B360" s="1" t="n">
        <v>2.57101</v>
      </c>
    </row>
    <row r="361" customFormat="false" ht="13.8" hidden="false" customHeight="false" outlineLevel="0" collapsed="false">
      <c r="A361" s="1" t="n">
        <f aca="false">1+A360</f>
        <v>360</v>
      </c>
      <c r="B361" s="1" t="n">
        <v>2.56013</v>
      </c>
    </row>
    <row r="362" customFormat="false" ht="13.8" hidden="false" customHeight="false" outlineLevel="0" collapsed="false">
      <c r="A362" s="1" t="n">
        <f aca="false">1+A361</f>
        <v>361</v>
      </c>
      <c r="B362" s="1" t="n">
        <v>2.55335</v>
      </c>
    </row>
    <row r="363" customFormat="false" ht="13.8" hidden="false" customHeight="false" outlineLevel="0" collapsed="false">
      <c r="A363" s="1" t="n">
        <f aca="false">1+A362</f>
        <v>362</v>
      </c>
      <c r="B363" s="1" t="n">
        <v>2.54644</v>
      </c>
    </row>
    <row r="364" customFormat="false" ht="13.8" hidden="false" customHeight="false" outlineLevel="0" collapsed="false">
      <c r="A364" s="1" t="n">
        <f aca="false">1+A363</f>
        <v>363</v>
      </c>
      <c r="B364" s="1" t="n">
        <v>2.53543</v>
      </c>
    </row>
    <row r="365" customFormat="false" ht="13.8" hidden="false" customHeight="false" outlineLevel="0" collapsed="false">
      <c r="A365" s="1" t="n">
        <f aca="false">1+A364</f>
        <v>364</v>
      </c>
      <c r="B365" s="1" t="n">
        <v>2.52634</v>
      </c>
    </row>
    <row r="366" customFormat="false" ht="13.8" hidden="false" customHeight="false" outlineLevel="0" collapsed="false">
      <c r="A366" s="1" t="n">
        <f aca="false">1+A365</f>
        <v>365</v>
      </c>
      <c r="B366" s="1" t="n">
        <v>2.51828</v>
      </c>
    </row>
    <row r="367" customFormat="false" ht="13.8" hidden="false" customHeight="false" outlineLevel="0" collapsed="false">
      <c r="A367" s="1" t="n">
        <f aca="false">1+A366</f>
        <v>366</v>
      </c>
      <c r="B367" s="1" t="n">
        <v>2.50418</v>
      </c>
    </row>
    <row r="368" customFormat="false" ht="13.8" hidden="false" customHeight="false" outlineLevel="0" collapsed="false">
      <c r="A368" s="1" t="n">
        <f aca="false">1+A367</f>
        <v>367</v>
      </c>
      <c r="B368" s="1" t="n">
        <v>2.49468</v>
      </c>
    </row>
    <row r="369" customFormat="false" ht="13.8" hidden="false" customHeight="false" outlineLevel="0" collapsed="false">
      <c r="A369" s="1" t="n">
        <f aca="false">1+A368</f>
        <v>368</v>
      </c>
      <c r="B369" s="1" t="n">
        <v>2.48152</v>
      </c>
    </row>
    <row r="370" customFormat="false" ht="13.8" hidden="false" customHeight="false" outlineLevel="0" collapsed="false">
      <c r="A370" s="1" t="n">
        <f aca="false">1+A369</f>
        <v>369</v>
      </c>
      <c r="B370" s="1" t="n">
        <v>2.46765</v>
      </c>
    </row>
    <row r="371" customFormat="false" ht="13.8" hidden="false" customHeight="false" outlineLevel="0" collapsed="false">
      <c r="A371" s="1" t="n">
        <f aca="false">1+A370</f>
        <v>370</v>
      </c>
      <c r="B371" s="1" t="n">
        <v>2.45855</v>
      </c>
    </row>
    <row r="372" customFormat="false" ht="13.8" hidden="false" customHeight="false" outlineLevel="0" collapsed="false">
      <c r="A372" s="1" t="n">
        <f aca="false">1+A371</f>
        <v>371</v>
      </c>
      <c r="B372" s="1" t="n">
        <v>2.45144</v>
      </c>
    </row>
    <row r="373" customFormat="false" ht="13.8" hidden="false" customHeight="false" outlineLevel="0" collapsed="false">
      <c r="A373" s="1" t="n">
        <f aca="false">1+A372</f>
        <v>372</v>
      </c>
      <c r="B373" s="1" t="n">
        <v>2.44508</v>
      </c>
    </row>
    <row r="374" customFormat="false" ht="13.8" hidden="false" customHeight="false" outlineLevel="0" collapsed="false">
      <c r="A374" s="1" t="n">
        <f aca="false">1+A373</f>
        <v>373</v>
      </c>
      <c r="B374" s="1" t="n">
        <v>2.43419</v>
      </c>
    </row>
    <row r="375" customFormat="false" ht="13.8" hidden="false" customHeight="false" outlineLevel="0" collapsed="false">
      <c r="A375" s="1" t="n">
        <f aca="false">1+A374</f>
        <v>374</v>
      </c>
      <c r="B375" s="1" t="n">
        <v>2.42722</v>
      </c>
    </row>
    <row r="376" customFormat="false" ht="13.8" hidden="false" customHeight="false" outlineLevel="0" collapsed="false">
      <c r="A376" s="1" t="n">
        <f aca="false">1+A375</f>
        <v>375</v>
      </c>
      <c r="B376" s="1" t="n">
        <v>2.41757</v>
      </c>
    </row>
    <row r="377" customFormat="false" ht="13.8" hidden="false" customHeight="false" outlineLevel="0" collapsed="false">
      <c r="A377" s="1" t="n">
        <f aca="false">1+A376</f>
        <v>376</v>
      </c>
      <c r="B377" s="1" t="n">
        <v>2.40832</v>
      </c>
    </row>
    <row r="378" customFormat="false" ht="13.8" hidden="false" customHeight="false" outlineLevel="0" collapsed="false">
      <c r="A378" s="1" t="n">
        <f aca="false">1+A377</f>
        <v>377</v>
      </c>
      <c r="B378" s="1" t="n">
        <v>2.39758</v>
      </c>
    </row>
    <row r="379" customFormat="false" ht="13.8" hidden="false" customHeight="false" outlineLevel="0" collapsed="false">
      <c r="A379" s="1" t="n">
        <f aca="false">1+A378</f>
        <v>378</v>
      </c>
      <c r="B379" s="1" t="n">
        <v>2.39125</v>
      </c>
    </row>
    <row r="380" customFormat="false" ht="13.8" hidden="false" customHeight="false" outlineLevel="0" collapsed="false">
      <c r="A380" s="1" t="n">
        <f aca="false">1+A379</f>
        <v>379</v>
      </c>
      <c r="B380" s="1" t="n">
        <v>2.38084</v>
      </c>
    </row>
    <row r="381" customFormat="false" ht="13.8" hidden="false" customHeight="false" outlineLevel="0" collapsed="false">
      <c r="A381" s="1" t="n">
        <f aca="false">1+A380</f>
        <v>380</v>
      </c>
      <c r="B381" s="1" t="n">
        <v>2.3705</v>
      </c>
    </row>
    <row r="382" customFormat="false" ht="13.8" hidden="false" customHeight="false" outlineLevel="0" collapsed="false">
      <c r="A382" s="1" t="n">
        <f aca="false">1+A381</f>
        <v>381</v>
      </c>
      <c r="B382" s="1" t="n">
        <v>2.36129</v>
      </c>
    </row>
    <row r="383" customFormat="false" ht="13.8" hidden="false" customHeight="false" outlineLevel="0" collapsed="false">
      <c r="A383" s="1" t="n">
        <f aca="false">1+A382</f>
        <v>382</v>
      </c>
      <c r="B383" s="1" t="n">
        <v>2.35452</v>
      </c>
    </row>
    <row r="384" customFormat="false" ht="13.8" hidden="false" customHeight="false" outlineLevel="0" collapsed="false">
      <c r="A384" s="1" t="n">
        <f aca="false">1+A383</f>
        <v>383</v>
      </c>
      <c r="B384" s="1" t="n">
        <v>2.34489</v>
      </c>
    </row>
    <row r="385" customFormat="false" ht="13.8" hidden="false" customHeight="false" outlineLevel="0" collapsed="false">
      <c r="A385" s="1" t="n">
        <f aca="false">1+A384</f>
        <v>384</v>
      </c>
      <c r="B385" s="1" t="n">
        <v>2.33407</v>
      </c>
    </row>
    <row r="386" customFormat="false" ht="13.8" hidden="false" customHeight="false" outlineLevel="0" collapsed="false">
      <c r="A386" s="1" t="n">
        <f aca="false">1+A385</f>
        <v>385</v>
      </c>
      <c r="B386" s="1" t="n">
        <v>2.32292</v>
      </c>
    </row>
    <row r="387" customFormat="false" ht="13.8" hidden="false" customHeight="false" outlineLevel="0" collapsed="false">
      <c r="A387" s="1" t="n">
        <f aca="false">1+A386</f>
        <v>386</v>
      </c>
      <c r="B387" s="1" t="n">
        <v>2.312</v>
      </c>
    </row>
    <row r="388" customFormat="false" ht="13.8" hidden="false" customHeight="false" outlineLevel="0" collapsed="false">
      <c r="A388" s="1" t="n">
        <f aca="false">1+A387</f>
        <v>387</v>
      </c>
      <c r="B388" s="1" t="n">
        <v>2.30844</v>
      </c>
    </row>
    <row r="389" customFormat="false" ht="13.8" hidden="false" customHeight="false" outlineLevel="0" collapsed="false">
      <c r="A389" s="1" t="n">
        <f aca="false">1+A388</f>
        <v>388</v>
      </c>
      <c r="B389" s="1" t="n">
        <v>2.29669</v>
      </c>
    </row>
    <row r="390" customFormat="false" ht="13.8" hidden="false" customHeight="false" outlineLevel="0" collapsed="false">
      <c r="A390" s="1" t="n">
        <f aca="false">1+A389</f>
        <v>389</v>
      </c>
      <c r="B390" s="1" t="n">
        <v>2.28638</v>
      </c>
    </row>
    <row r="391" customFormat="false" ht="13.8" hidden="false" customHeight="false" outlineLevel="0" collapsed="false">
      <c r="A391" s="1" t="n">
        <f aca="false">1+A390</f>
        <v>390</v>
      </c>
      <c r="B391" s="1" t="n">
        <v>2.27272</v>
      </c>
    </row>
    <row r="392" customFormat="false" ht="13.8" hidden="false" customHeight="false" outlineLevel="0" collapsed="false">
      <c r="A392" s="1" t="n">
        <f aca="false">1+A391</f>
        <v>391</v>
      </c>
      <c r="B392" s="1" t="n">
        <v>2.26406</v>
      </c>
    </row>
    <row r="393" customFormat="false" ht="13.8" hidden="false" customHeight="false" outlineLevel="0" collapsed="false">
      <c r="A393" s="1" t="n">
        <f aca="false">1+A392</f>
        <v>392</v>
      </c>
      <c r="B393" s="1" t="n">
        <v>2.25777</v>
      </c>
    </row>
    <row r="394" customFormat="false" ht="13.8" hidden="false" customHeight="false" outlineLevel="0" collapsed="false">
      <c r="A394" s="1" t="n">
        <f aca="false">1+A393</f>
        <v>393</v>
      </c>
      <c r="B394" s="1" t="n">
        <v>2.25083</v>
      </c>
    </row>
    <row r="395" customFormat="false" ht="13.8" hidden="false" customHeight="false" outlineLevel="0" collapsed="false">
      <c r="A395" s="1" t="n">
        <f aca="false">1+A394</f>
        <v>394</v>
      </c>
      <c r="B395" s="1" t="n">
        <v>2.23898</v>
      </c>
    </row>
    <row r="396" customFormat="false" ht="13.8" hidden="false" customHeight="false" outlineLevel="0" collapsed="false">
      <c r="A396" s="1" t="n">
        <f aca="false">1+A395</f>
        <v>395</v>
      </c>
      <c r="B396" s="1" t="n">
        <v>2.23116</v>
      </c>
    </row>
    <row r="397" customFormat="false" ht="13.8" hidden="false" customHeight="false" outlineLevel="0" collapsed="false">
      <c r="A397" s="1" t="n">
        <f aca="false">1+A396</f>
        <v>396</v>
      </c>
      <c r="B397" s="1" t="n">
        <v>2.21947</v>
      </c>
    </row>
    <row r="398" customFormat="false" ht="13.8" hidden="false" customHeight="false" outlineLevel="0" collapsed="false">
      <c r="A398" s="1" t="n">
        <f aca="false">1+A397</f>
        <v>397</v>
      </c>
      <c r="B398" s="1" t="n">
        <v>2.21238</v>
      </c>
    </row>
    <row r="399" customFormat="false" ht="13.8" hidden="false" customHeight="false" outlineLevel="0" collapsed="false">
      <c r="A399" s="1" t="n">
        <f aca="false">1+A398</f>
        <v>398</v>
      </c>
      <c r="B399" s="1" t="n">
        <v>2.202</v>
      </c>
    </row>
    <row r="400" customFormat="false" ht="13.8" hidden="false" customHeight="false" outlineLevel="0" collapsed="false">
      <c r="A400" s="1" t="n">
        <f aca="false">1+A399</f>
        <v>399</v>
      </c>
      <c r="B400" s="1" t="n">
        <v>2.18525</v>
      </c>
    </row>
    <row r="401" customFormat="false" ht="13.8" hidden="false" customHeight="false" outlineLevel="0" collapsed="false">
      <c r="A401" s="1" t="n">
        <f aca="false">1+A400</f>
        <v>400</v>
      </c>
      <c r="B401" s="1" t="n">
        <v>2.17126</v>
      </c>
    </row>
    <row r="402" customFormat="false" ht="13.8" hidden="false" customHeight="false" outlineLevel="0" collapsed="false">
      <c r="A402" s="1" t="n">
        <f aca="false">1+A401</f>
        <v>401</v>
      </c>
      <c r="B402" s="1" t="n">
        <v>2.16132</v>
      </c>
    </row>
    <row r="403" customFormat="false" ht="13.8" hidden="false" customHeight="false" outlineLevel="0" collapsed="false">
      <c r="A403" s="1" t="n">
        <f aca="false">1+A402</f>
        <v>402</v>
      </c>
      <c r="B403" s="1" t="n">
        <v>2.15505</v>
      </c>
    </row>
    <row r="404" customFormat="false" ht="13.8" hidden="false" customHeight="false" outlineLevel="0" collapsed="false">
      <c r="A404" s="1" t="n">
        <f aca="false">1+A403</f>
        <v>403</v>
      </c>
      <c r="B404" s="1" t="n">
        <v>2.14898</v>
      </c>
    </row>
    <row r="405" customFormat="false" ht="13.8" hidden="false" customHeight="false" outlineLevel="0" collapsed="false">
      <c r="A405" s="1" t="n">
        <f aca="false">1+A404</f>
        <v>404</v>
      </c>
      <c r="B405" s="1" t="n">
        <v>2.13759</v>
      </c>
    </row>
    <row r="406" customFormat="false" ht="13.8" hidden="false" customHeight="false" outlineLevel="0" collapsed="false">
      <c r="A406" s="1" t="n">
        <f aca="false">1+A405</f>
        <v>405</v>
      </c>
      <c r="B406" s="1" t="n">
        <v>2.13065</v>
      </c>
    </row>
    <row r="407" customFormat="false" ht="13.8" hidden="false" customHeight="false" outlineLevel="0" collapsed="false">
      <c r="A407" s="1" t="n">
        <f aca="false">1+A406</f>
        <v>406</v>
      </c>
      <c r="B407" s="1" t="n">
        <v>2.11634</v>
      </c>
    </row>
    <row r="408" customFormat="false" ht="13.8" hidden="false" customHeight="false" outlineLevel="0" collapsed="false">
      <c r="A408" s="1" t="n">
        <f aca="false">1+A407</f>
        <v>407</v>
      </c>
      <c r="B408" s="1" t="n">
        <v>2.11244</v>
      </c>
    </row>
    <row r="409" customFormat="false" ht="13.8" hidden="false" customHeight="false" outlineLevel="0" collapsed="false">
      <c r="A409" s="1" t="n">
        <f aca="false">1+A408</f>
        <v>408</v>
      </c>
      <c r="B409" s="1" t="n">
        <v>2.09874</v>
      </c>
    </row>
    <row r="410" customFormat="false" ht="13.8" hidden="false" customHeight="false" outlineLevel="0" collapsed="false">
      <c r="A410" s="1" t="n">
        <f aca="false">1+A409</f>
        <v>409</v>
      </c>
      <c r="B410" s="1" t="n">
        <v>2.08877</v>
      </c>
    </row>
    <row r="411" customFormat="false" ht="13.8" hidden="false" customHeight="false" outlineLevel="0" collapsed="false">
      <c r="A411" s="1" t="n">
        <f aca="false">1+A410</f>
        <v>410</v>
      </c>
      <c r="B411" s="1" t="n">
        <v>2.07328</v>
      </c>
    </row>
    <row r="412" customFormat="false" ht="13.8" hidden="false" customHeight="false" outlineLevel="0" collapsed="false">
      <c r="A412" s="1" t="n">
        <f aca="false">1+A411</f>
        <v>411</v>
      </c>
      <c r="B412" s="1" t="n">
        <v>2.0624</v>
      </c>
    </row>
    <row r="413" customFormat="false" ht="13.8" hidden="false" customHeight="false" outlineLevel="0" collapsed="false">
      <c r="A413" s="1" t="n">
        <f aca="false">1+A412</f>
        <v>412</v>
      </c>
      <c r="B413" s="1" t="n">
        <v>2.05563</v>
      </c>
    </row>
    <row r="414" customFormat="false" ht="13.8" hidden="false" customHeight="false" outlineLevel="0" collapsed="false">
      <c r="A414" s="1" t="n">
        <f aca="false">1+A413</f>
        <v>413</v>
      </c>
      <c r="B414" s="1" t="n">
        <v>2.04256</v>
      </c>
    </row>
    <row r="415" customFormat="false" ht="13.8" hidden="false" customHeight="false" outlineLevel="0" collapsed="false">
      <c r="A415" s="1" t="n">
        <f aca="false">1+A414</f>
        <v>414</v>
      </c>
      <c r="B415" s="1" t="n">
        <v>2.04099</v>
      </c>
    </row>
    <row r="416" customFormat="false" ht="13.8" hidden="false" customHeight="false" outlineLevel="0" collapsed="false">
      <c r="A416" s="1" t="n">
        <f aca="false">1+A415</f>
        <v>415</v>
      </c>
      <c r="B416" s="1" t="n">
        <v>2.03411</v>
      </c>
    </row>
    <row r="417" customFormat="false" ht="13.8" hidden="false" customHeight="false" outlineLevel="0" collapsed="false">
      <c r="A417" s="1" t="n">
        <f aca="false">1+A416</f>
        <v>416</v>
      </c>
      <c r="B417" s="1" t="n">
        <v>2.02559</v>
      </c>
    </row>
    <row r="418" customFormat="false" ht="13.8" hidden="false" customHeight="false" outlineLevel="0" collapsed="false">
      <c r="A418" s="1" t="n">
        <f aca="false">1+A417</f>
        <v>417</v>
      </c>
      <c r="B418" s="1" t="n">
        <v>2.0282</v>
      </c>
    </row>
    <row r="419" customFormat="false" ht="13.8" hidden="false" customHeight="false" outlineLevel="0" collapsed="false">
      <c r="A419" s="1" t="n">
        <f aca="false">1+A418</f>
        <v>418</v>
      </c>
      <c r="B419" s="1" t="n">
        <v>2.01928</v>
      </c>
    </row>
    <row r="420" customFormat="false" ht="13.8" hidden="false" customHeight="false" outlineLevel="0" collapsed="false">
      <c r="A420" s="1" t="n">
        <f aca="false">1+A419</f>
        <v>419</v>
      </c>
      <c r="B420" s="1" t="n">
        <v>2.01212</v>
      </c>
    </row>
    <row r="421" customFormat="false" ht="13.8" hidden="false" customHeight="false" outlineLevel="0" collapsed="false">
      <c r="A421" s="1" t="n">
        <f aca="false">1+A420</f>
        <v>420</v>
      </c>
      <c r="B421" s="1" t="n">
        <v>2.00573</v>
      </c>
    </row>
    <row r="422" customFormat="false" ht="13.8" hidden="false" customHeight="false" outlineLevel="0" collapsed="false">
      <c r="A422" s="1" t="n">
        <f aca="false">1+A421</f>
        <v>421</v>
      </c>
      <c r="B422" s="1" t="n">
        <v>1.99561</v>
      </c>
    </row>
    <row r="423" customFormat="false" ht="13.8" hidden="false" customHeight="false" outlineLevel="0" collapsed="false">
      <c r="A423" s="1" t="n">
        <f aca="false">1+A422</f>
        <v>422</v>
      </c>
      <c r="B423" s="1" t="n">
        <v>1.99087</v>
      </c>
    </row>
    <row r="424" customFormat="false" ht="13.8" hidden="false" customHeight="false" outlineLevel="0" collapsed="false">
      <c r="A424" s="1" t="n">
        <f aca="false">1+A423</f>
        <v>423</v>
      </c>
      <c r="B424" s="1" t="n">
        <v>1.98212</v>
      </c>
    </row>
    <row r="425" customFormat="false" ht="13.8" hidden="false" customHeight="false" outlineLevel="0" collapsed="false">
      <c r="A425" s="1" t="n">
        <f aca="false">1+A424</f>
        <v>424</v>
      </c>
      <c r="B425" s="1" t="n">
        <v>1.97531</v>
      </c>
    </row>
    <row r="426" customFormat="false" ht="13.8" hidden="false" customHeight="false" outlineLevel="0" collapsed="false">
      <c r="A426" s="1" t="n">
        <f aca="false">1+A425</f>
        <v>425</v>
      </c>
      <c r="B426" s="1" t="n">
        <v>1.97166</v>
      </c>
    </row>
    <row r="427" customFormat="false" ht="13.8" hidden="false" customHeight="false" outlineLevel="0" collapsed="false">
      <c r="A427" s="1" t="n">
        <f aca="false">1+A426</f>
        <v>426</v>
      </c>
      <c r="B427" s="1" t="n">
        <v>1.96536</v>
      </c>
    </row>
    <row r="428" customFormat="false" ht="13.8" hidden="false" customHeight="false" outlineLevel="0" collapsed="false">
      <c r="A428" s="1" t="n">
        <f aca="false">1+A427</f>
        <v>427</v>
      </c>
      <c r="B428" s="1" t="n">
        <v>1.95895</v>
      </c>
    </row>
    <row r="429" customFormat="false" ht="13.8" hidden="false" customHeight="false" outlineLevel="0" collapsed="false">
      <c r="A429" s="1" t="n">
        <f aca="false">1+A428</f>
        <v>428</v>
      </c>
      <c r="B429" s="1" t="n">
        <v>1.95092</v>
      </c>
    </row>
    <row r="430" customFormat="false" ht="13.8" hidden="false" customHeight="false" outlineLevel="0" collapsed="false">
      <c r="A430" s="1" t="n">
        <f aca="false">1+A429</f>
        <v>429</v>
      </c>
      <c r="B430" s="1" t="n">
        <v>1.94069</v>
      </c>
    </row>
    <row r="431" customFormat="false" ht="13.8" hidden="false" customHeight="false" outlineLevel="0" collapsed="false">
      <c r="A431" s="1" t="n">
        <f aca="false">1+A430</f>
        <v>430</v>
      </c>
      <c r="B431" s="1" t="n">
        <v>1.93452</v>
      </c>
    </row>
    <row r="432" customFormat="false" ht="13.8" hidden="false" customHeight="false" outlineLevel="0" collapsed="false">
      <c r="A432" s="1" t="n">
        <f aca="false">1+A431</f>
        <v>431</v>
      </c>
      <c r="B432" s="1" t="n">
        <v>1.93614</v>
      </c>
    </row>
    <row r="433" customFormat="false" ht="13.8" hidden="false" customHeight="false" outlineLevel="0" collapsed="false">
      <c r="A433" s="1" t="n">
        <f aca="false">1+A432</f>
        <v>432</v>
      </c>
      <c r="B433" s="1" t="n">
        <v>1.93017</v>
      </c>
    </row>
    <row r="434" customFormat="false" ht="13.8" hidden="false" customHeight="false" outlineLevel="0" collapsed="false">
      <c r="A434" s="1" t="n">
        <f aca="false">1+A433</f>
        <v>433</v>
      </c>
      <c r="B434" s="1" t="n">
        <v>1.9261</v>
      </c>
    </row>
    <row r="435" customFormat="false" ht="13.8" hidden="false" customHeight="false" outlineLevel="0" collapsed="false">
      <c r="A435" s="1" t="n">
        <f aca="false">1+A434</f>
        <v>434</v>
      </c>
      <c r="B435" s="1" t="n">
        <v>1.91732</v>
      </c>
    </row>
    <row r="436" customFormat="false" ht="13.8" hidden="false" customHeight="false" outlineLevel="0" collapsed="false">
      <c r="A436" s="1" t="n">
        <f aca="false">1+A435</f>
        <v>435</v>
      </c>
      <c r="B436" s="1" t="n">
        <v>1.91916</v>
      </c>
    </row>
    <row r="437" customFormat="false" ht="13.8" hidden="false" customHeight="false" outlineLevel="0" collapsed="false">
      <c r="A437" s="1" t="n">
        <f aca="false">1+A436</f>
        <v>436</v>
      </c>
      <c r="B437" s="1" t="n">
        <v>1.91744</v>
      </c>
    </row>
    <row r="438" customFormat="false" ht="13.8" hidden="false" customHeight="false" outlineLevel="0" collapsed="false">
      <c r="A438" s="1" t="n">
        <f aca="false">1+A437</f>
        <v>437</v>
      </c>
      <c r="B438" s="1" t="n">
        <v>1.90723</v>
      </c>
    </row>
    <row r="439" customFormat="false" ht="13.8" hidden="false" customHeight="false" outlineLevel="0" collapsed="false">
      <c r="A439" s="1" t="n">
        <f aca="false">1+A438</f>
        <v>438</v>
      </c>
      <c r="B439" s="1" t="n">
        <v>1.90405</v>
      </c>
    </row>
    <row r="440" customFormat="false" ht="13.8" hidden="false" customHeight="false" outlineLevel="0" collapsed="false">
      <c r="A440" s="1" t="n">
        <f aca="false">1+A439</f>
        <v>439</v>
      </c>
      <c r="B440" s="1" t="n">
        <v>1.89011</v>
      </c>
    </row>
    <row r="441" customFormat="false" ht="13.8" hidden="false" customHeight="false" outlineLevel="0" collapsed="false">
      <c r="A441" s="1" t="n">
        <f aca="false">1+A440</f>
        <v>440</v>
      </c>
      <c r="B441" s="1" t="n">
        <v>1.88181</v>
      </c>
    </row>
    <row r="442" customFormat="false" ht="13.8" hidden="false" customHeight="false" outlineLevel="0" collapsed="false">
      <c r="A442" s="1" t="n">
        <f aca="false">1+A441</f>
        <v>441</v>
      </c>
      <c r="B442" s="1" t="n">
        <v>1.87754</v>
      </c>
    </row>
    <row r="443" customFormat="false" ht="13.8" hidden="false" customHeight="false" outlineLevel="0" collapsed="false">
      <c r="A443" s="1" t="n">
        <f aca="false">1+A442</f>
        <v>442</v>
      </c>
      <c r="B443" s="1" t="n">
        <v>1.86609</v>
      </c>
    </row>
    <row r="444" customFormat="false" ht="13.8" hidden="false" customHeight="false" outlineLevel="0" collapsed="false">
      <c r="A444" s="1" t="n">
        <f aca="false">1+A443</f>
        <v>443</v>
      </c>
      <c r="B444" s="1" t="n">
        <v>1.86345</v>
      </c>
    </row>
    <row r="445" customFormat="false" ht="13.8" hidden="false" customHeight="false" outlineLevel="0" collapsed="false">
      <c r="A445" s="1" t="n">
        <f aca="false">1+A444</f>
        <v>444</v>
      </c>
      <c r="B445" s="1" t="n">
        <v>1.86107</v>
      </c>
    </row>
    <row r="446" customFormat="false" ht="13.8" hidden="false" customHeight="false" outlineLevel="0" collapsed="false">
      <c r="A446" s="1" t="n">
        <f aca="false">1+A445</f>
        <v>445</v>
      </c>
      <c r="B446" s="1" t="n">
        <v>1.85655</v>
      </c>
    </row>
    <row r="447" customFormat="false" ht="13.8" hidden="false" customHeight="false" outlineLevel="0" collapsed="false">
      <c r="A447" s="1" t="n">
        <f aca="false">1+A446</f>
        <v>446</v>
      </c>
      <c r="B447" s="1" t="n">
        <v>1.85185</v>
      </c>
    </row>
    <row r="448" customFormat="false" ht="13.8" hidden="false" customHeight="false" outlineLevel="0" collapsed="false">
      <c r="A448" s="1" t="n">
        <f aca="false">1+A447</f>
        <v>447</v>
      </c>
      <c r="B448" s="1" t="n">
        <v>1.84963</v>
      </c>
    </row>
    <row r="449" customFormat="false" ht="13.8" hidden="false" customHeight="false" outlineLevel="0" collapsed="false">
      <c r="A449" s="1" t="n">
        <f aca="false">1+A448</f>
        <v>448</v>
      </c>
      <c r="B449" s="1" t="n">
        <v>1.84243</v>
      </c>
    </row>
    <row r="450" customFormat="false" ht="13.8" hidden="false" customHeight="false" outlineLevel="0" collapsed="false">
      <c r="A450" s="1" t="n">
        <f aca="false">1+A449</f>
        <v>449</v>
      </c>
      <c r="B450" s="1" t="n">
        <v>1.83473</v>
      </c>
    </row>
    <row r="451" customFormat="false" ht="13.8" hidden="false" customHeight="false" outlineLevel="0" collapsed="false">
      <c r="A451" s="1" t="n">
        <f aca="false">1+A450</f>
        <v>450</v>
      </c>
      <c r="B451" s="1" t="n">
        <v>1.82742</v>
      </c>
    </row>
    <row r="452" customFormat="false" ht="13.8" hidden="false" customHeight="false" outlineLevel="0" collapsed="false">
      <c r="A452" s="1" t="n">
        <f aca="false">1+A451</f>
        <v>451</v>
      </c>
      <c r="B452" s="1" t="n">
        <v>1.8194</v>
      </c>
    </row>
    <row r="453" customFormat="false" ht="13.8" hidden="false" customHeight="false" outlineLevel="0" collapsed="false">
      <c r="A453" s="1" t="n">
        <f aca="false">1+A452</f>
        <v>452</v>
      </c>
      <c r="B453" s="1" t="n">
        <v>1.80912</v>
      </c>
    </row>
    <row r="454" customFormat="false" ht="13.8" hidden="false" customHeight="false" outlineLevel="0" collapsed="false">
      <c r="A454" s="1" t="n">
        <f aca="false">1+A453</f>
        <v>453</v>
      </c>
      <c r="B454" s="1" t="n">
        <v>1.79978</v>
      </c>
    </row>
    <row r="455" customFormat="false" ht="13.8" hidden="false" customHeight="false" outlineLevel="0" collapsed="false">
      <c r="A455" s="1" t="n">
        <f aca="false">1+A454</f>
        <v>454</v>
      </c>
      <c r="B455" s="1" t="n">
        <v>1.79165</v>
      </c>
    </row>
    <row r="456" customFormat="false" ht="13.8" hidden="false" customHeight="false" outlineLevel="0" collapsed="false">
      <c r="A456" s="1" t="n">
        <f aca="false">1+A455</f>
        <v>455</v>
      </c>
      <c r="B456" s="1" t="n">
        <v>1.77865</v>
      </c>
    </row>
    <row r="457" customFormat="false" ht="13.8" hidden="false" customHeight="false" outlineLevel="0" collapsed="false">
      <c r="A457" s="1" t="n">
        <f aca="false">1+A456</f>
        <v>456</v>
      </c>
      <c r="B457" s="1" t="n">
        <v>1.76763</v>
      </c>
    </row>
    <row r="458" customFormat="false" ht="13.8" hidden="false" customHeight="false" outlineLevel="0" collapsed="false">
      <c r="A458" s="1" t="n">
        <f aca="false">1+A457</f>
        <v>457</v>
      </c>
      <c r="B458" s="1" t="n">
        <v>1.7607</v>
      </c>
    </row>
    <row r="459" customFormat="false" ht="13.8" hidden="false" customHeight="false" outlineLevel="0" collapsed="false">
      <c r="A459" s="1" t="n">
        <f aca="false">1+A458</f>
        <v>458</v>
      </c>
      <c r="B459" s="1" t="n">
        <v>1.75377</v>
      </c>
    </row>
    <row r="460" customFormat="false" ht="13.8" hidden="false" customHeight="false" outlineLevel="0" collapsed="false">
      <c r="A460" s="1" t="n">
        <f aca="false">1+A459</f>
        <v>459</v>
      </c>
      <c r="B460" s="1" t="n">
        <v>1.74307</v>
      </c>
    </row>
    <row r="461" customFormat="false" ht="13.8" hidden="false" customHeight="false" outlineLevel="0" collapsed="false">
      <c r="A461" s="1" t="n">
        <f aca="false">1+A460</f>
        <v>460</v>
      </c>
      <c r="B461" s="1" t="n">
        <v>1.74149</v>
      </c>
    </row>
    <row r="462" customFormat="false" ht="13.8" hidden="false" customHeight="false" outlineLevel="0" collapsed="false">
      <c r="A462" s="1" t="n">
        <f aca="false">1+A461</f>
        <v>461</v>
      </c>
      <c r="B462" s="1" t="n">
        <v>1.73445</v>
      </c>
    </row>
    <row r="463" customFormat="false" ht="13.8" hidden="false" customHeight="false" outlineLevel="0" collapsed="false">
      <c r="A463" s="1" t="n">
        <f aca="false">1+A462</f>
        <v>462</v>
      </c>
      <c r="B463" s="1" t="n">
        <v>1.73075</v>
      </c>
    </row>
    <row r="464" customFormat="false" ht="13.8" hidden="false" customHeight="false" outlineLevel="0" collapsed="false">
      <c r="A464" s="1" t="n">
        <f aca="false">1+A463</f>
        <v>463</v>
      </c>
      <c r="B464" s="1" t="n">
        <v>1.71809</v>
      </c>
    </row>
    <row r="465" customFormat="false" ht="13.8" hidden="false" customHeight="false" outlineLevel="0" collapsed="false">
      <c r="A465" s="1" t="n">
        <f aca="false">1+A464</f>
        <v>464</v>
      </c>
      <c r="B465" s="1" t="n">
        <v>1.71416</v>
      </c>
    </row>
    <row r="466" customFormat="false" ht="13.8" hidden="false" customHeight="false" outlineLevel="0" collapsed="false">
      <c r="A466" s="1" t="n">
        <f aca="false">1+A465</f>
        <v>465</v>
      </c>
      <c r="B466" s="1" t="n">
        <v>1.70688</v>
      </c>
    </row>
    <row r="467" customFormat="false" ht="13.8" hidden="false" customHeight="false" outlineLevel="0" collapsed="false">
      <c r="A467" s="1" t="n">
        <f aca="false">1+A466</f>
        <v>466</v>
      </c>
      <c r="B467" s="1" t="n">
        <v>1.70786</v>
      </c>
    </row>
    <row r="468" customFormat="false" ht="13.8" hidden="false" customHeight="false" outlineLevel="0" collapsed="false">
      <c r="A468" s="1" t="n">
        <f aca="false">1+A467</f>
        <v>467</v>
      </c>
      <c r="B468" s="1" t="n">
        <v>1.70047</v>
      </c>
    </row>
    <row r="469" customFormat="false" ht="13.8" hidden="false" customHeight="false" outlineLevel="0" collapsed="false">
      <c r="A469" s="1" t="n">
        <f aca="false">1+A468</f>
        <v>468</v>
      </c>
      <c r="B469" s="1" t="n">
        <v>1.69076</v>
      </c>
    </row>
    <row r="470" customFormat="false" ht="13.8" hidden="false" customHeight="false" outlineLevel="0" collapsed="false">
      <c r="A470" s="1" t="n">
        <f aca="false">1+A469</f>
        <v>469</v>
      </c>
      <c r="B470" s="1" t="n">
        <v>1.68366</v>
      </c>
    </row>
    <row r="471" customFormat="false" ht="13.8" hidden="false" customHeight="false" outlineLevel="0" collapsed="false">
      <c r="A471" s="1" t="n">
        <f aca="false">1+A470</f>
        <v>470</v>
      </c>
      <c r="B471" s="1" t="n">
        <v>1.67442</v>
      </c>
    </row>
    <row r="472" customFormat="false" ht="13.8" hidden="false" customHeight="false" outlineLevel="0" collapsed="false">
      <c r="A472" s="1" t="n">
        <f aca="false">1+A471</f>
        <v>471</v>
      </c>
      <c r="B472" s="1" t="n">
        <v>1.66798</v>
      </c>
    </row>
    <row r="473" customFormat="false" ht="13.8" hidden="false" customHeight="false" outlineLevel="0" collapsed="false">
      <c r="A473" s="1" t="n">
        <f aca="false">1+A472</f>
        <v>472</v>
      </c>
      <c r="B473" s="1" t="n">
        <v>1.66772</v>
      </c>
    </row>
    <row r="474" customFormat="false" ht="13.8" hidden="false" customHeight="false" outlineLevel="0" collapsed="false">
      <c r="A474" s="1" t="n">
        <f aca="false">1+A473</f>
        <v>473</v>
      </c>
      <c r="B474" s="1" t="n">
        <v>1.65772</v>
      </c>
    </row>
    <row r="475" customFormat="false" ht="13.8" hidden="false" customHeight="false" outlineLevel="0" collapsed="false">
      <c r="A475" s="1" t="n">
        <f aca="false">1+A474</f>
        <v>474</v>
      </c>
      <c r="B475" s="1" t="n">
        <v>1.64661</v>
      </c>
    </row>
    <row r="476" customFormat="false" ht="13.8" hidden="false" customHeight="false" outlineLevel="0" collapsed="false">
      <c r="A476" s="1" t="n">
        <f aca="false">1+A475</f>
        <v>475</v>
      </c>
      <c r="B476" s="1" t="n">
        <v>1.64278</v>
      </c>
    </row>
    <row r="477" customFormat="false" ht="13.8" hidden="false" customHeight="false" outlineLevel="0" collapsed="false">
      <c r="A477" s="1" t="n">
        <f aca="false">1+A476</f>
        <v>476</v>
      </c>
      <c r="B477" s="1" t="n">
        <v>1.64559</v>
      </c>
    </row>
    <row r="478" customFormat="false" ht="13.8" hidden="false" customHeight="false" outlineLevel="0" collapsed="false">
      <c r="A478" s="1" t="n">
        <f aca="false">1+A477</f>
        <v>477</v>
      </c>
      <c r="B478" s="1" t="n">
        <v>1.64449</v>
      </c>
    </row>
    <row r="479" customFormat="false" ht="13.8" hidden="false" customHeight="false" outlineLevel="0" collapsed="false">
      <c r="A479" s="1" t="n">
        <f aca="false">1+A478</f>
        <v>478</v>
      </c>
      <c r="B479" s="1" t="n">
        <v>1.64032</v>
      </c>
    </row>
    <row r="480" customFormat="false" ht="13.8" hidden="false" customHeight="false" outlineLevel="0" collapsed="false">
      <c r="A480" s="1" t="n">
        <f aca="false">1+A479</f>
        <v>479</v>
      </c>
      <c r="B480" s="1" t="n">
        <v>1.62877</v>
      </c>
    </row>
    <row r="481" customFormat="false" ht="13.8" hidden="false" customHeight="false" outlineLevel="0" collapsed="false">
      <c r="A481" s="1" t="n">
        <f aca="false">1+A480</f>
        <v>480</v>
      </c>
      <c r="B481" s="1" t="n">
        <v>1.62129</v>
      </c>
    </row>
    <row r="482" customFormat="false" ht="13.8" hidden="false" customHeight="false" outlineLevel="0" collapsed="false">
      <c r="A482" s="1" t="n">
        <f aca="false">1+A481</f>
        <v>481</v>
      </c>
      <c r="B482" s="1" t="n">
        <v>1.61617</v>
      </c>
    </row>
    <row r="483" customFormat="false" ht="13.8" hidden="false" customHeight="false" outlineLevel="0" collapsed="false">
      <c r="A483" s="1" t="n">
        <f aca="false">1+A482</f>
        <v>482</v>
      </c>
      <c r="B483" s="1" t="n">
        <v>1.6081</v>
      </c>
    </row>
    <row r="484" customFormat="false" ht="13.8" hidden="false" customHeight="false" outlineLevel="0" collapsed="false">
      <c r="A484" s="1" t="n">
        <f aca="false">1+A483</f>
        <v>483</v>
      </c>
      <c r="B484" s="1" t="n">
        <v>1.60023</v>
      </c>
    </row>
    <row r="485" customFormat="false" ht="13.8" hidden="false" customHeight="false" outlineLevel="0" collapsed="false">
      <c r="A485" s="1" t="n">
        <f aca="false">1+A484</f>
        <v>484</v>
      </c>
      <c r="B485" s="1" t="n">
        <v>1.59006</v>
      </c>
    </row>
    <row r="486" customFormat="false" ht="13.8" hidden="false" customHeight="false" outlineLevel="0" collapsed="false">
      <c r="A486" s="1" t="n">
        <f aca="false">1+A485</f>
        <v>485</v>
      </c>
      <c r="B486" s="1" t="n">
        <v>1.57613</v>
      </c>
    </row>
    <row r="487" customFormat="false" ht="13.8" hidden="false" customHeight="false" outlineLevel="0" collapsed="false">
      <c r="A487" s="1" t="n">
        <f aca="false">1+A486</f>
        <v>486</v>
      </c>
      <c r="B487" s="1" t="n">
        <v>1.56576</v>
      </c>
    </row>
    <row r="488" customFormat="false" ht="13.8" hidden="false" customHeight="false" outlineLevel="0" collapsed="false">
      <c r="A488" s="1" t="n">
        <f aca="false">1+A487</f>
        <v>487</v>
      </c>
      <c r="B488" s="1" t="n">
        <v>1.5692</v>
      </c>
    </row>
    <row r="489" customFormat="false" ht="13.8" hidden="false" customHeight="false" outlineLevel="0" collapsed="false">
      <c r="A489" s="1" t="n">
        <f aca="false">1+A488</f>
        <v>488</v>
      </c>
      <c r="B489" s="1" t="n">
        <v>1.56574</v>
      </c>
    </row>
    <row r="490" customFormat="false" ht="13.8" hidden="false" customHeight="false" outlineLevel="0" collapsed="false">
      <c r="A490" s="1" t="n">
        <f aca="false">1+A489</f>
        <v>489</v>
      </c>
      <c r="B490" s="1" t="n">
        <v>1.55796</v>
      </c>
    </row>
    <row r="491" customFormat="false" ht="13.8" hidden="false" customHeight="false" outlineLevel="0" collapsed="false">
      <c r="A491" s="1" t="n">
        <f aca="false">1+A490</f>
        <v>490</v>
      </c>
      <c r="B491" s="1" t="n">
        <v>1.55414</v>
      </c>
    </row>
    <row r="492" customFormat="false" ht="13.8" hidden="false" customHeight="false" outlineLevel="0" collapsed="false">
      <c r="A492" s="1" t="n">
        <f aca="false">1+A491</f>
        <v>491</v>
      </c>
      <c r="B492" s="1" t="n">
        <v>1.55352</v>
      </c>
    </row>
    <row r="493" customFormat="false" ht="13.8" hidden="false" customHeight="false" outlineLevel="0" collapsed="false">
      <c r="A493" s="1" t="n">
        <f aca="false">1+A492</f>
        <v>492</v>
      </c>
      <c r="B493" s="1" t="n">
        <v>1.54731</v>
      </c>
    </row>
    <row r="494" customFormat="false" ht="13.8" hidden="false" customHeight="false" outlineLevel="0" collapsed="false">
      <c r="A494" s="1" t="n">
        <f aca="false">1+A493</f>
        <v>493</v>
      </c>
      <c r="B494" s="1" t="n">
        <v>1.53788</v>
      </c>
    </row>
    <row r="495" customFormat="false" ht="13.8" hidden="false" customHeight="false" outlineLevel="0" collapsed="false">
      <c r="A495" s="1" t="n">
        <f aca="false">1+A494</f>
        <v>494</v>
      </c>
      <c r="B495" s="1" t="n">
        <v>1.52787</v>
      </c>
    </row>
    <row r="496" customFormat="false" ht="13.8" hidden="false" customHeight="false" outlineLevel="0" collapsed="false">
      <c r="A496" s="1" t="n">
        <f aca="false">1+A495</f>
        <v>495</v>
      </c>
      <c r="B496" s="1" t="n">
        <v>1.5247</v>
      </c>
    </row>
    <row r="497" customFormat="false" ht="13.8" hidden="false" customHeight="false" outlineLevel="0" collapsed="false">
      <c r="A497" s="1" t="n">
        <f aca="false">1+A496</f>
        <v>496</v>
      </c>
      <c r="B497" s="1" t="n">
        <v>1.51503</v>
      </c>
    </row>
    <row r="498" customFormat="false" ht="13.8" hidden="false" customHeight="false" outlineLevel="0" collapsed="false">
      <c r="A498" s="1" t="n">
        <f aca="false">1+A497</f>
        <v>497</v>
      </c>
      <c r="B498" s="1" t="n">
        <v>1.50386</v>
      </c>
    </row>
    <row r="499" customFormat="false" ht="13.8" hidden="false" customHeight="false" outlineLevel="0" collapsed="false">
      <c r="A499" s="1" t="n">
        <f aca="false">1+A498</f>
        <v>498</v>
      </c>
      <c r="B499" s="1" t="n">
        <v>1.49836</v>
      </c>
    </row>
    <row r="500" customFormat="false" ht="13.8" hidden="false" customHeight="false" outlineLevel="0" collapsed="false">
      <c r="A500" s="1" t="n">
        <f aca="false">1+A499</f>
        <v>499</v>
      </c>
      <c r="B500" s="1" t="n">
        <v>1.48872</v>
      </c>
    </row>
    <row r="501" customFormat="false" ht="13.8" hidden="false" customHeight="false" outlineLevel="0" collapsed="false">
      <c r="A501" s="1" t="n">
        <f aca="false">1+A500</f>
        <v>500</v>
      </c>
      <c r="B501" s="1" t="n">
        <v>1.48992</v>
      </c>
    </row>
    <row r="502" customFormat="false" ht="13.8" hidden="false" customHeight="false" outlineLevel="0" collapsed="false">
      <c r="A502" s="1" t="n">
        <f aca="false">1+A501</f>
        <v>501</v>
      </c>
      <c r="B502" s="1" t="n">
        <v>1.48968</v>
      </c>
    </row>
    <row r="503" customFormat="false" ht="13.8" hidden="false" customHeight="false" outlineLevel="0" collapsed="false">
      <c r="A503" s="1" t="n">
        <f aca="false">1+A502</f>
        <v>502</v>
      </c>
      <c r="B503" s="1" t="n">
        <v>1.48561</v>
      </c>
    </row>
    <row r="504" customFormat="false" ht="13.8" hidden="false" customHeight="false" outlineLevel="0" collapsed="false">
      <c r="A504" s="1" t="n">
        <f aca="false">1+A503</f>
        <v>503</v>
      </c>
      <c r="B504" s="1" t="n">
        <v>1.47833</v>
      </c>
    </row>
    <row r="505" customFormat="false" ht="13.8" hidden="false" customHeight="false" outlineLevel="0" collapsed="false">
      <c r="A505" s="1" t="n">
        <f aca="false">1+A504</f>
        <v>504</v>
      </c>
      <c r="B505" s="1" t="n">
        <v>1.46578</v>
      </c>
    </row>
    <row r="506" customFormat="false" ht="13.8" hidden="false" customHeight="false" outlineLevel="0" collapsed="false">
      <c r="A506" s="1" t="n">
        <f aca="false">1+A505</f>
        <v>505</v>
      </c>
      <c r="B506" s="1" t="n">
        <v>1.46856</v>
      </c>
    </row>
    <row r="507" customFormat="false" ht="13.8" hidden="false" customHeight="false" outlineLevel="0" collapsed="false">
      <c r="A507" s="1" t="n">
        <f aca="false">1+A506</f>
        <v>506</v>
      </c>
      <c r="B507" s="1" t="n">
        <v>1.45739</v>
      </c>
    </row>
    <row r="508" customFormat="false" ht="13.8" hidden="false" customHeight="false" outlineLevel="0" collapsed="false">
      <c r="A508" s="1" t="n">
        <f aca="false">1+A507</f>
        <v>507</v>
      </c>
      <c r="B508" s="1" t="n">
        <v>1.45868</v>
      </c>
    </row>
    <row r="509" customFormat="false" ht="13.8" hidden="false" customHeight="false" outlineLevel="0" collapsed="false">
      <c r="A509" s="1" t="n">
        <f aca="false">1+A508</f>
        <v>508</v>
      </c>
      <c r="B509" s="1" t="n">
        <v>1.45664</v>
      </c>
    </row>
    <row r="510" customFormat="false" ht="13.8" hidden="false" customHeight="false" outlineLevel="0" collapsed="false">
      <c r="A510" s="1" t="n">
        <f aca="false">1+A509</f>
        <v>509</v>
      </c>
      <c r="B510" s="1" t="n">
        <v>1.45955</v>
      </c>
    </row>
    <row r="511" customFormat="false" ht="13.8" hidden="false" customHeight="false" outlineLevel="0" collapsed="false">
      <c r="A511" s="1" t="n">
        <f aca="false">1+A510</f>
        <v>510</v>
      </c>
      <c r="B511" s="1" t="n">
        <v>1.45427</v>
      </c>
    </row>
    <row r="512" customFormat="false" ht="13.8" hidden="false" customHeight="false" outlineLevel="0" collapsed="false">
      <c r="A512" s="1" t="n">
        <f aca="false">1+A511</f>
        <v>511</v>
      </c>
      <c r="B512" s="1" t="n">
        <v>1.4502</v>
      </c>
    </row>
    <row r="513" customFormat="false" ht="13.8" hidden="false" customHeight="false" outlineLevel="0" collapsed="false">
      <c r="A513" s="1" t="n">
        <f aca="false">1+A512</f>
        <v>512</v>
      </c>
      <c r="B513" s="1" t="n">
        <v>1.44746</v>
      </c>
    </row>
    <row r="514" customFormat="false" ht="13.8" hidden="false" customHeight="false" outlineLevel="0" collapsed="false">
      <c r="A514" s="1" t="n">
        <f aca="false">1+A513</f>
        <v>513</v>
      </c>
      <c r="B514" s="1" t="n">
        <v>1.44337</v>
      </c>
    </row>
    <row r="515" customFormat="false" ht="13.8" hidden="false" customHeight="false" outlineLevel="0" collapsed="false">
      <c r="A515" s="1" t="n">
        <f aca="false">1+A514</f>
        <v>514</v>
      </c>
      <c r="B515" s="1" t="n">
        <v>1.44195</v>
      </c>
    </row>
    <row r="516" customFormat="false" ht="13.8" hidden="false" customHeight="false" outlineLevel="0" collapsed="false">
      <c r="A516" s="1" t="n">
        <f aca="false">1+A515</f>
        <v>515</v>
      </c>
      <c r="B516" s="1" t="n">
        <v>1.43664</v>
      </c>
    </row>
    <row r="517" customFormat="false" ht="13.8" hidden="false" customHeight="false" outlineLevel="0" collapsed="false">
      <c r="A517" s="1" t="n">
        <f aca="false">1+A516</f>
        <v>516</v>
      </c>
      <c r="B517" s="1" t="n">
        <v>1.43232</v>
      </c>
    </row>
    <row r="518" customFormat="false" ht="13.8" hidden="false" customHeight="false" outlineLevel="0" collapsed="false">
      <c r="A518" s="1" t="n">
        <f aca="false">1+A517</f>
        <v>517</v>
      </c>
      <c r="B518" s="1" t="n">
        <v>1.43212</v>
      </c>
    </row>
    <row r="519" customFormat="false" ht="13.8" hidden="false" customHeight="false" outlineLevel="0" collapsed="false">
      <c r="A519" s="1" t="n">
        <f aca="false">1+A518</f>
        <v>518</v>
      </c>
      <c r="B519" s="1" t="n">
        <v>1.43192</v>
      </c>
    </row>
    <row r="520" customFormat="false" ht="13.8" hidden="false" customHeight="false" outlineLevel="0" collapsed="false">
      <c r="A520" s="1" t="n">
        <f aca="false">1+A519</f>
        <v>519</v>
      </c>
      <c r="B520" s="1" t="n">
        <v>1.42588</v>
      </c>
    </row>
    <row r="521" customFormat="false" ht="13.8" hidden="false" customHeight="false" outlineLevel="0" collapsed="false">
      <c r="A521" s="1" t="n">
        <f aca="false">1+A520</f>
        <v>520</v>
      </c>
      <c r="B521" s="1" t="n">
        <v>1.42591</v>
      </c>
    </row>
    <row r="522" customFormat="false" ht="13.8" hidden="false" customHeight="false" outlineLevel="0" collapsed="false">
      <c r="A522" s="1" t="n">
        <f aca="false">1+A521</f>
        <v>521</v>
      </c>
      <c r="B522" s="1" t="n">
        <v>1.42317</v>
      </c>
    </row>
    <row r="523" customFormat="false" ht="13.8" hidden="false" customHeight="false" outlineLevel="0" collapsed="false">
      <c r="A523" s="1" t="n">
        <f aca="false">1+A522</f>
        <v>522</v>
      </c>
      <c r="B523" s="1" t="n">
        <v>1.40897</v>
      </c>
    </row>
    <row r="524" customFormat="false" ht="13.8" hidden="false" customHeight="false" outlineLevel="0" collapsed="false">
      <c r="A524" s="1" t="n">
        <f aca="false">1+A523</f>
        <v>523</v>
      </c>
      <c r="B524" s="1" t="n">
        <v>1.39856</v>
      </c>
    </row>
    <row r="525" customFormat="false" ht="13.8" hidden="false" customHeight="false" outlineLevel="0" collapsed="false">
      <c r="A525" s="1" t="n">
        <f aca="false">1+A524</f>
        <v>524</v>
      </c>
      <c r="B525" s="1" t="n">
        <v>1.39081</v>
      </c>
    </row>
    <row r="526" customFormat="false" ht="13.8" hidden="false" customHeight="false" outlineLevel="0" collapsed="false">
      <c r="A526" s="1" t="n">
        <f aca="false">1+A525</f>
        <v>525</v>
      </c>
      <c r="B526" s="1" t="n">
        <v>1.38741</v>
      </c>
    </row>
    <row r="527" customFormat="false" ht="13.8" hidden="false" customHeight="false" outlineLevel="0" collapsed="false">
      <c r="A527" s="1" t="n">
        <f aca="false">1+A526</f>
        <v>526</v>
      </c>
      <c r="B527" s="1" t="n">
        <v>1.37589</v>
      </c>
    </row>
    <row r="528" customFormat="false" ht="13.8" hidden="false" customHeight="false" outlineLevel="0" collapsed="false">
      <c r="A528" s="1" t="n">
        <f aca="false">1+A527</f>
        <v>527</v>
      </c>
      <c r="B528" s="1" t="n">
        <v>1.36957</v>
      </c>
    </row>
    <row r="529" customFormat="false" ht="13.8" hidden="false" customHeight="false" outlineLevel="0" collapsed="false">
      <c r="A529" s="1" t="n">
        <f aca="false">1+A528</f>
        <v>528</v>
      </c>
      <c r="B529" s="1" t="n">
        <v>1.36611</v>
      </c>
    </row>
    <row r="530" customFormat="false" ht="13.8" hidden="false" customHeight="false" outlineLevel="0" collapsed="false">
      <c r="A530" s="1" t="n">
        <f aca="false">1+A529</f>
        <v>529</v>
      </c>
      <c r="B530" s="1" t="n">
        <v>1.36619</v>
      </c>
    </row>
    <row r="531" customFormat="false" ht="13.8" hidden="false" customHeight="false" outlineLevel="0" collapsed="false">
      <c r="A531" s="1" t="n">
        <f aca="false">1+A530</f>
        <v>530</v>
      </c>
      <c r="B531" s="1" t="n">
        <v>1.36197</v>
      </c>
    </row>
    <row r="532" customFormat="false" ht="13.8" hidden="false" customHeight="false" outlineLevel="0" collapsed="false">
      <c r="A532" s="1" t="n">
        <f aca="false">1+A531</f>
        <v>531</v>
      </c>
      <c r="B532" s="1" t="n">
        <v>1.3532</v>
      </c>
    </row>
    <row r="533" customFormat="false" ht="13.8" hidden="false" customHeight="false" outlineLevel="0" collapsed="false">
      <c r="A533" s="1" t="n">
        <f aca="false">1+A532</f>
        <v>532</v>
      </c>
      <c r="B533" s="1" t="n">
        <v>1.34352</v>
      </c>
    </row>
    <row r="534" customFormat="false" ht="13.8" hidden="false" customHeight="false" outlineLevel="0" collapsed="false">
      <c r="A534" s="1" t="n">
        <f aca="false">1+A533</f>
        <v>533</v>
      </c>
      <c r="B534" s="1" t="n">
        <v>1.33848</v>
      </c>
    </row>
    <row r="535" customFormat="false" ht="13.8" hidden="false" customHeight="false" outlineLevel="0" collapsed="false">
      <c r="A535" s="1" t="n">
        <f aca="false">1+A534</f>
        <v>534</v>
      </c>
      <c r="B535" s="1" t="n">
        <v>1.33562</v>
      </c>
    </row>
    <row r="536" customFormat="false" ht="13.8" hidden="false" customHeight="false" outlineLevel="0" collapsed="false">
      <c r="A536" s="1" t="n">
        <f aca="false">1+A535</f>
        <v>535</v>
      </c>
      <c r="B536" s="1" t="n">
        <v>1.32753</v>
      </c>
    </row>
    <row r="537" customFormat="false" ht="13.8" hidden="false" customHeight="false" outlineLevel="0" collapsed="false">
      <c r="A537" s="1" t="n">
        <f aca="false">1+A536</f>
        <v>536</v>
      </c>
      <c r="B537" s="1" t="n">
        <v>1.3251</v>
      </c>
    </row>
    <row r="538" customFormat="false" ht="13.8" hidden="false" customHeight="false" outlineLevel="0" collapsed="false">
      <c r="A538" s="1" t="n">
        <f aca="false">1+A537</f>
        <v>537</v>
      </c>
      <c r="B538" s="1" t="n">
        <v>1.317</v>
      </c>
    </row>
    <row r="539" customFormat="false" ht="13.8" hidden="false" customHeight="false" outlineLevel="0" collapsed="false">
      <c r="A539" s="1" t="n">
        <f aca="false">1+A538</f>
        <v>538</v>
      </c>
      <c r="B539" s="1" t="n">
        <v>1.31838</v>
      </c>
    </row>
    <row r="540" customFormat="false" ht="13.8" hidden="false" customHeight="false" outlineLevel="0" collapsed="false">
      <c r="A540" s="1" t="n">
        <f aca="false">1+A539</f>
        <v>539</v>
      </c>
      <c r="B540" s="1" t="n">
        <v>1.32305</v>
      </c>
    </row>
    <row r="541" customFormat="false" ht="13.8" hidden="false" customHeight="false" outlineLevel="0" collapsed="false">
      <c r="A541" s="1" t="n">
        <f aca="false">1+A540</f>
        <v>540</v>
      </c>
      <c r="B541" s="1" t="n">
        <v>1.31158</v>
      </c>
    </row>
    <row r="542" customFormat="false" ht="13.8" hidden="false" customHeight="false" outlineLevel="0" collapsed="false">
      <c r="A542" s="1" t="n">
        <f aca="false">1+A541</f>
        <v>541</v>
      </c>
      <c r="B542" s="1" t="n">
        <v>1.30921</v>
      </c>
    </row>
    <row r="543" customFormat="false" ht="13.8" hidden="false" customHeight="false" outlineLevel="0" collapsed="false">
      <c r="A543" s="1" t="n">
        <f aca="false">1+A542</f>
        <v>542</v>
      </c>
      <c r="B543" s="1" t="n">
        <v>1.30895</v>
      </c>
    </row>
    <row r="544" customFormat="false" ht="13.8" hidden="false" customHeight="false" outlineLevel="0" collapsed="false">
      <c r="A544" s="1" t="n">
        <f aca="false">1+A543</f>
        <v>543</v>
      </c>
      <c r="B544" s="1" t="n">
        <v>1.30653</v>
      </c>
    </row>
    <row r="545" customFormat="false" ht="13.8" hidden="false" customHeight="false" outlineLevel="0" collapsed="false">
      <c r="A545" s="1" t="n">
        <f aca="false">1+A544</f>
        <v>544</v>
      </c>
      <c r="B545" s="1" t="n">
        <v>1.30038</v>
      </c>
    </row>
    <row r="546" customFormat="false" ht="13.8" hidden="false" customHeight="false" outlineLevel="0" collapsed="false">
      <c r="A546" s="1" t="n">
        <f aca="false">1+A545</f>
        <v>545</v>
      </c>
      <c r="B546" s="1" t="n">
        <v>1.29785</v>
      </c>
    </row>
    <row r="547" customFormat="false" ht="13.8" hidden="false" customHeight="false" outlineLevel="0" collapsed="false">
      <c r="A547" s="1" t="n">
        <f aca="false">1+A546</f>
        <v>546</v>
      </c>
      <c r="B547" s="1" t="n">
        <v>1.29418</v>
      </c>
    </row>
    <row r="548" customFormat="false" ht="13.8" hidden="false" customHeight="false" outlineLevel="0" collapsed="false">
      <c r="A548" s="1" t="n">
        <f aca="false">1+A547</f>
        <v>547</v>
      </c>
      <c r="B548" s="1" t="n">
        <v>1.29277</v>
      </c>
    </row>
    <row r="549" customFormat="false" ht="13.8" hidden="false" customHeight="false" outlineLevel="0" collapsed="false">
      <c r="A549" s="1" t="n">
        <f aca="false">1+A548</f>
        <v>548</v>
      </c>
      <c r="B549" s="1" t="n">
        <v>1.29288</v>
      </c>
    </row>
    <row r="550" customFormat="false" ht="13.8" hidden="false" customHeight="false" outlineLevel="0" collapsed="false">
      <c r="A550" s="1" t="n">
        <f aca="false">1+A549</f>
        <v>549</v>
      </c>
      <c r="B550" s="1" t="n">
        <v>1.28599</v>
      </c>
    </row>
    <row r="551" customFormat="false" ht="13.8" hidden="false" customHeight="false" outlineLevel="0" collapsed="false">
      <c r="A551" s="1" t="n">
        <f aca="false">1+A550</f>
        <v>550</v>
      </c>
      <c r="B551" s="1" t="n">
        <v>1.28003</v>
      </c>
    </row>
    <row r="552" customFormat="false" ht="13.8" hidden="false" customHeight="false" outlineLevel="0" collapsed="false">
      <c r="A552" s="1" t="n">
        <f aca="false">1+A551</f>
        <v>551</v>
      </c>
      <c r="B552" s="1" t="n">
        <v>1.27777</v>
      </c>
    </row>
    <row r="553" customFormat="false" ht="13.8" hidden="false" customHeight="false" outlineLevel="0" collapsed="false">
      <c r="A553" s="1" t="n">
        <f aca="false">1+A552</f>
        <v>552</v>
      </c>
      <c r="B553" s="1" t="n">
        <v>1.26893</v>
      </c>
    </row>
    <row r="554" customFormat="false" ht="13.8" hidden="false" customHeight="false" outlineLevel="0" collapsed="false">
      <c r="A554" s="1" t="n">
        <f aca="false">1+A553</f>
        <v>553</v>
      </c>
      <c r="B554" s="1" t="n">
        <v>1.27487</v>
      </c>
    </row>
    <row r="555" customFormat="false" ht="13.8" hidden="false" customHeight="false" outlineLevel="0" collapsed="false">
      <c r="A555" s="1" t="n">
        <f aca="false">1+A554</f>
        <v>554</v>
      </c>
      <c r="B555" s="1" t="n">
        <v>1.26572</v>
      </c>
    </row>
    <row r="556" customFormat="false" ht="13.8" hidden="false" customHeight="false" outlineLevel="0" collapsed="false">
      <c r="A556" s="1" t="n">
        <f aca="false">1+A555</f>
        <v>555</v>
      </c>
      <c r="B556" s="1" t="n">
        <v>1.25428</v>
      </c>
    </row>
    <row r="557" customFormat="false" ht="13.8" hidden="false" customHeight="false" outlineLevel="0" collapsed="false">
      <c r="A557" s="1" t="n">
        <f aca="false">1+A556</f>
        <v>556</v>
      </c>
      <c r="B557" s="1" t="n">
        <v>1.25079</v>
      </c>
    </row>
    <row r="558" customFormat="false" ht="13.8" hidden="false" customHeight="false" outlineLevel="0" collapsed="false">
      <c r="A558" s="1" t="n">
        <f aca="false">1+A557</f>
        <v>557</v>
      </c>
      <c r="B558" s="1" t="n">
        <v>1.24712</v>
      </c>
    </row>
    <row r="559" customFormat="false" ht="13.8" hidden="false" customHeight="false" outlineLevel="0" collapsed="false">
      <c r="A559" s="1" t="n">
        <f aca="false">1+A558</f>
        <v>558</v>
      </c>
      <c r="B559" s="1" t="n">
        <v>1.2399</v>
      </c>
    </row>
    <row r="560" customFormat="false" ht="13.8" hidden="false" customHeight="false" outlineLevel="0" collapsed="false">
      <c r="A560" s="1" t="n">
        <f aca="false">1+A559</f>
        <v>559</v>
      </c>
      <c r="B560" s="1" t="n">
        <v>1.23015</v>
      </c>
    </row>
    <row r="561" customFormat="false" ht="13.8" hidden="false" customHeight="false" outlineLevel="0" collapsed="false">
      <c r="A561" s="1" t="n">
        <f aca="false">1+A560</f>
        <v>560</v>
      </c>
      <c r="B561" s="1" t="n">
        <v>1.21541</v>
      </c>
    </row>
    <row r="562" customFormat="false" ht="13.8" hidden="false" customHeight="false" outlineLevel="0" collapsed="false">
      <c r="A562" s="1" t="n">
        <f aca="false">1+A561</f>
        <v>561</v>
      </c>
      <c r="B562" s="1" t="n">
        <v>1.21586</v>
      </c>
    </row>
    <row r="563" customFormat="false" ht="13.8" hidden="false" customHeight="false" outlineLevel="0" collapsed="false">
      <c r="A563" s="1" t="n">
        <f aca="false">1+A562</f>
        <v>562</v>
      </c>
      <c r="B563" s="1" t="n">
        <v>1.21442</v>
      </c>
    </row>
    <row r="564" customFormat="false" ht="13.8" hidden="false" customHeight="false" outlineLevel="0" collapsed="false">
      <c r="A564" s="1" t="n">
        <f aca="false">1+A563</f>
        <v>563</v>
      </c>
      <c r="B564" s="1" t="n">
        <v>1.21027</v>
      </c>
    </row>
    <row r="565" customFormat="false" ht="13.8" hidden="false" customHeight="false" outlineLevel="0" collapsed="false">
      <c r="A565" s="1" t="n">
        <f aca="false">1+A564</f>
        <v>564</v>
      </c>
      <c r="B565" s="1" t="n">
        <v>1.20872</v>
      </c>
    </row>
    <row r="566" customFormat="false" ht="13.8" hidden="false" customHeight="false" outlineLevel="0" collapsed="false">
      <c r="A566" s="1" t="n">
        <f aca="false">1+A565</f>
        <v>565</v>
      </c>
      <c r="B566" s="1" t="n">
        <v>1.20534</v>
      </c>
    </row>
    <row r="567" customFormat="false" ht="13.8" hidden="false" customHeight="false" outlineLevel="0" collapsed="false">
      <c r="A567" s="1" t="n">
        <f aca="false">1+A566</f>
        <v>566</v>
      </c>
      <c r="B567" s="1" t="n">
        <v>1.19998</v>
      </c>
    </row>
    <row r="568" customFormat="false" ht="13.8" hidden="false" customHeight="false" outlineLevel="0" collapsed="false">
      <c r="A568" s="1" t="n">
        <f aca="false">1+A567</f>
        <v>567</v>
      </c>
      <c r="B568" s="1" t="n">
        <v>1.19522</v>
      </c>
    </row>
    <row r="569" customFormat="false" ht="13.8" hidden="false" customHeight="false" outlineLevel="0" collapsed="false">
      <c r="A569" s="1" t="n">
        <f aca="false">1+A568</f>
        <v>568</v>
      </c>
      <c r="B569" s="1" t="n">
        <v>1.19313</v>
      </c>
    </row>
    <row r="570" customFormat="false" ht="13.8" hidden="false" customHeight="false" outlineLevel="0" collapsed="false">
      <c r="A570" s="1" t="n">
        <f aca="false">1+A569</f>
        <v>569</v>
      </c>
      <c r="B570" s="1" t="n">
        <v>1.18337</v>
      </c>
    </row>
    <row r="571" customFormat="false" ht="13.8" hidden="false" customHeight="false" outlineLevel="0" collapsed="false">
      <c r="A571" s="1" t="n">
        <f aca="false">1+A570</f>
        <v>570</v>
      </c>
      <c r="B571" s="1" t="n">
        <v>1.18287</v>
      </c>
    </row>
    <row r="572" customFormat="false" ht="13.8" hidden="false" customHeight="false" outlineLevel="0" collapsed="false">
      <c r="A572" s="1" t="n">
        <f aca="false">1+A571</f>
        <v>571</v>
      </c>
      <c r="B572" s="1" t="n">
        <v>1.17867</v>
      </c>
    </row>
    <row r="573" customFormat="false" ht="13.8" hidden="false" customHeight="false" outlineLevel="0" collapsed="false">
      <c r="A573" s="1" t="n">
        <f aca="false">1+A572</f>
        <v>572</v>
      </c>
      <c r="B573" s="1" t="n">
        <v>1.16646</v>
      </c>
    </row>
    <row r="574" customFormat="false" ht="13.8" hidden="false" customHeight="false" outlineLevel="0" collapsed="false">
      <c r="A574" s="1" t="n">
        <f aca="false">1+A573</f>
        <v>573</v>
      </c>
      <c r="B574" s="1" t="n">
        <v>1.1589</v>
      </c>
    </row>
    <row r="575" customFormat="false" ht="13.8" hidden="false" customHeight="false" outlineLevel="0" collapsed="false">
      <c r="A575" s="1" t="n">
        <f aca="false">1+A574</f>
        <v>574</v>
      </c>
      <c r="B575" s="1" t="n">
        <v>1.15857</v>
      </c>
    </row>
    <row r="576" customFormat="false" ht="13.8" hidden="false" customHeight="false" outlineLevel="0" collapsed="false">
      <c r="A576" s="1" t="n">
        <f aca="false">1+A575</f>
        <v>575</v>
      </c>
      <c r="B576" s="1" t="n">
        <v>1.15447</v>
      </c>
    </row>
    <row r="577" customFormat="false" ht="13.8" hidden="false" customHeight="false" outlineLevel="0" collapsed="false">
      <c r="A577" s="1" t="n">
        <f aca="false">1+A576</f>
        <v>576</v>
      </c>
      <c r="B577" s="1" t="n">
        <v>1.15916</v>
      </c>
    </row>
    <row r="578" customFormat="false" ht="13.8" hidden="false" customHeight="false" outlineLevel="0" collapsed="false">
      <c r="A578" s="1" t="n">
        <f aca="false">1+A577</f>
        <v>577</v>
      </c>
      <c r="B578" s="1" t="n">
        <v>1.16099</v>
      </c>
    </row>
    <row r="579" customFormat="false" ht="13.8" hidden="false" customHeight="false" outlineLevel="0" collapsed="false">
      <c r="A579" s="1" t="n">
        <f aca="false">1+A578</f>
        <v>578</v>
      </c>
      <c r="B579" s="1" t="n">
        <v>1.15659</v>
      </c>
    </row>
    <row r="580" customFormat="false" ht="13.8" hidden="false" customHeight="false" outlineLevel="0" collapsed="false">
      <c r="A580" s="1" t="n">
        <f aca="false">1+A579</f>
        <v>579</v>
      </c>
      <c r="B580" s="1" t="n">
        <v>1.15499</v>
      </c>
    </row>
    <row r="581" customFormat="false" ht="13.8" hidden="false" customHeight="false" outlineLevel="0" collapsed="false">
      <c r="A581" s="1" t="n">
        <f aca="false">1+A580</f>
        <v>580</v>
      </c>
      <c r="B581" s="1" t="n">
        <v>1.15496</v>
      </c>
    </row>
    <row r="582" customFormat="false" ht="13.8" hidden="false" customHeight="false" outlineLevel="0" collapsed="false">
      <c r="A582" s="1" t="n">
        <f aca="false">1+A581</f>
        <v>581</v>
      </c>
      <c r="B582" s="1" t="n">
        <v>1.14866</v>
      </c>
    </row>
    <row r="583" customFormat="false" ht="13.8" hidden="false" customHeight="false" outlineLevel="0" collapsed="false">
      <c r="A583" s="1" t="n">
        <f aca="false">1+A582</f>
        <v>582</v>
      </c>
      <c r="B583" s="1" t="n">
        <v>1.14442</v>
      </c>
    </row>
    <row r="584" customFormat="false" ht="13.8" hidden="false" customHeight="false" outlineLevel="0" collapsed="false">
      <c r="A584" s="1" t="n">
        <f aca="false">1+A583</f>
        <v>583</v>
      </c>
      <c r="B584" s="1" t="n">
        <v>1.13959</v>
      </c>
    </row>
    <row r="585" customFormat="false" ht="13.8" hidden="false" customHeight="false" outlineLevel="0" collapsed="false">
      <c r="A585" s="1" t="n">
        <f aca="false">1+A584</f>
        <v>584</v>
      </c>
      <c r="B585" s="1" t="n">
        <v>1.14141</v>
      </c>
    </row>
    <row r="586" customFormat="false" ht="13.8" hidden="false" customHeight="false" outlineLevel="0" collapsed="false">
      <c r="A586" s="1" t="n">
        <f aca="false">1+A585</f>
        <v>585</v>
      </c>
      <c r="B586" s="1" t="n">
        <v>1.13772</v>
      </c>
    </row>
    <row r="587" customFormat="false" ht="13.8" hidden="false" customHeight="false" outlineLevel="0" collapsed="false">
      <c r="A587" s="1" t="n">
        <f aca="false">1+A586</f>
        <v>586</v>
      </c>
      <c r="B587" s="1" t="n">
        <v>1.13913</v>
      </c>
    </row>
    <row r="588" customFormat="false" ht="13.8" hidden="false" customHeight="false" outlineLevel="0" collapsed="false">
      <c r="A588" s="1" t="n">
        <f aca="false">1+A587</f>
        <v>587</v>
      </c>
      <c r="B588" s="1" t="n">
        <v>1.14047</v>
      </c>
    </row>
    <row r="589" customFormat="false" ht="13.8" hidden="false" customHeight="false" outlineLevel="0" collapsed="false">
      <c r="A589" s="1" t="n">
        <f aca="false">1+A588</f>
        <v>588</v>
      </c>
      <c r="B589" s="1" t="n">
        <v>1.14314</v>
      </c>
    </row>
    <row r="590" customFormat="false" ht="13.8" hidden="false" customHeight="false" outlineLevel="0" collapsed="false">
      <c r="A590" s="1" t="n">
        <f aca="false">1+A589</f>
        <v>589</v>
      </c>
      <c r="B590" s="1" t="n">
        <v>1.14501</v>
      </c>
    </row>
    <row r="591" customFormat="false" ht="13.8" hidden="false" customHeight="false" outlineLevel="0" collapsed="false">
      <c r="A591" s="1" t="n">
        <f aca="false">1+A590</f>
        <v>590</v>
      </c>
      <c r="B591" s="1" t="n">
        <v>1.13632</v>
      </c>
    </row>
    <row r="592" customFormat="false" ht="13.8" hidden="false" customHeight="false" outlineLevel="0" collapsed="false">
      <c r="A592" s="1" t="n">
        <f aca="false">1+A591</f>
        <v>591</v>
      </c>
      <c r="B592" s="1" t="n">
        <v>1.13267</v>
      </c>
    </row>
    <row r="593" customFormat="false" ht="13.8" hidden="false" customHeight="false" outlineLevel="0" collapsed="false">
      <c r="A593" s="1" t="n">
        <f aca="false">1+A592</f>
        <v>592</v>
      </c>
      <c r="B593" s="1" t="n">
        <v>1.12575</v>
      </c>
    </row>
    <row r="594" customFormat="false" ht="13.8" hidden="false" customHeight="false" outlineLevel="0" collapsed="false">
      <c r="A594" s="1" t="n">
        <f aca="false">1+A593</f>
        <v>593</v>
      </c>
      <c r="B594" s="1" t="n">
        <v>1.11986</v>
      </c>
    </row>
    <row r="595" customFormat="false" ht="13.8" hidden="false" customHeight="false" outlineLevel="0" collapsed="false">
      <c r="A595" s="1" t="n">
        <f aca="false">1+A594</f>
        <v>594</v>
      </c>
      <c r="B595" s="1" t="n">
        <v>1.11305</v>
      </c>
    </row>
    <row r="596" customFormat="false" ht="13.8" hidden="false" customHeight="false" outlineLevel="0" collapsed="false">
      <c r="A596" s="1" t="n">
        <f aca="false">1+A595</f>
        <v>595</v>
      </c>
      <c r="B596" s="1" t="n">
        <v>1.11584</v>
      </c>
    </row>
    <row r="597" customFormat="false" ht="13.8" hidden="false" customHeight="false" outlineLevel="0" collapsed="false">
      <c r="A597" s="1" t="n">
        <f aca="false">1+A596</f>
        <v>596</v>
      </c>
      <c r="B597" s="1" t="n">
        <v>1.11233</v>
      </c>
    </row>
    <row r="598" customFormat="false" ht="13.8" hidden="false" customHeight="false" outlineLevel="0" collapsed="false">
      <c r="A598" s="1" t="n">
        <f aca="false">1+A597</f>
        <v>597</v>
      </c>
      <c r="B598" s="1" t="n">
        <v>1.10526</v>
      </c>
    </row>
    <row r="599" customFormat="false" ht="13.8" hidden="false" customHeight="false" outlineLevel="0" collapsed="false">
      <c r="A599" s="1" t="n">
        <f aca="false">1+A598</f>
        <v>598</v>
      </c>
      <c r="B599" s="1" t="n">
        <v>1.09975</v>
      </c>
    </row>
    <row r="600" customFormat="false" ht="13.8" hidden="false" customHeight="false" outlineLevel="0" collapsed="false">
      <c r="A600" s="1" t="n">
        <f aca="false">1+A599</f>
        <v>599</v>
      </c>
      <c r="B600" s="1" t="n">
        <v>1.09142</v>
      </c>
    </row>
    <row r="601" customFormat="false" ht="13.8" hidden="false" customHeight="false" outlineLevel="0" collapsed="false">
      <c r="A601" s="1" t="n">
        <f aca="false">1+A600</f>
        <v>600</v>
      </c>
      <c r="B601" s="1" t="n">
        <v>1.09787</v>
      </c>
    </row>
    <row r="602" customFormat="false" ht="13.8" hidden="false" customHeight="false" outlineLevel="0" collapsed="false">
      <c r="A602" s="1" t="n">
        <f aca="false">1+A601</f>
        <v>601</v>
      </c>
      <c r="B602" s="1" t="n">
        <v>1.09638</v>
      </c>
    </row>
    <row r="603" customFormat="false" ht="13.8" hidden="false" customHeight="false" outlineLevel="0" collapsed="false">
      <c r="A603" s="1" t="n">
        <f aca="false">1+A602</f>
        <v>602</v>
      </c>
      <c r="B603" s="1" t="n">
        <v>1.09198</v>
      </c>
    </row>
    <row r="604" customFormat="false" ht="13.8" hidden="false" customHeight="false" outlineLevel="0" collapsed="false">
      <c r="A604" s="1" t="n">
        <f aca="false">1+A603</f>
        <v>603</v>
      </c>
      <c r="B604" s="1" t="n">
        <v>1.09303</v>
      </c>
    </row>
    <row r="605" customFormat="false" ht="13.8" hidden="false" customHeight="false" outlineLevel="0" collapsed="false">
      <c r="A605" s="1" t="n">
        <f aca="false">1+A604</f>
        <v>604</v>
      </c>
      <c r="B605" s="1" t="n">
        <v>1.09566</v>
      </c>
    </row>
    <row r="606" customFormat="false" ht="13.8" hidden="false" customHeight="false" outlineLevel="0" collapsed="false">
      <c r="A606" s="1" t="n">
        <f aca="false">1+A605</f>
        <v>605</v>
      </c>
      <c r="B606" s="1" t="n">
        <v>1.08987</v>
      </c>
    </row>
    <row r="607" customFormat="false" ht="13.8" hidden="false" customHeight="false" outlineLevel="0" collapsed="false">
      <c r="A607" s="1" t="n">
        <f aca="false">1+A606</f>
        <v>606</v>
      </c>
      <c r="B607" s="1" t="n">
        <v>1.08889</v>
      </c>
    </row>
    <row r="608" customFormat="false" ht="13.8" hidden="false" customHeight="false" outlineLevel="0" collapsed="false">
      <c r="A608" s="1" t="n">
        <f aca="false">1+A607</f>
        <v>607</v>
      </c>
      <c r="B608" s="1" t="n">
        <v>1.08163</v>
      </c>
    </row>
    <row r="609" customFormat="false" ht="13.8" hidden="false" customHeight="false" outlineLevel="0" collapsed="false">
      <c r="A609" s="1" t="n">
        <f aca="false">1+A608</f>
        <v>608</v>
      </c>
      <c r="B609" s="1" t="n">
        <v>1.08059</v>
      </c>
    </row>
    <row r="610" customFormat="false" ht="13.8" hidden="false" customHeight="false" outlineLevel="0" collapsed="false">
      <c r="A610" s="1" t="n">
        <f aca="false">1+A609</f>
        <v>609</v>
      </c>
      <c r="B610" s="1" t="n">
        <v>1.07545</v>
      </c>
    </row>
    <row r="611" customFormat="false" ht="13.8" hidden="false" customHeight="false" outlineLevel="0" collapsed="false">
      <c r="A611" s="1" t="n">
        <f aca="false">1+A610</f>
        <v>610</v>
      </c>
      <c r="B611" s="1" t="n">
        <v>1.07034</v>
      </c>
    </row>
    <row r="612" customFormat="false" ht="13.8" hidden="false" customHeight="false" outlineLevel="0" collapsed="false">
      <c r="A612" s="1" t="n">
        <f aca="false">1+A611</f>
        <v>611</v>
      </c>
      <c r="B612" s="1" t="n">
        <v>1.06931</v>
      </c>
    </row>
    <row r="613" customFormat="false" ht="13.8" hidden="false" customHeight="false" outlineLevel="0" collapsed="false">
      <c r="A613" s="1" t="n">
        <f aca="false">1+A612</f>
        <v>612</v>
      </c>
      <c r="B613" s="1" t="n">
        <v>1.07291</v>
      </c>
    </row>
    <row r="614" customFormat="false" ht="13.8" hidden="false" customHeight="false" outlineLevel="0" collapsed="false">
      <c r="A614" s="1" t="n">
        <f aca="false">1+A613</f>
        <v>613</v>
      </c>
      <c r="B614" s="1" t="n">
        <v>1.05754</v>
      </c>
    </row>
    <row r="615" customFormat="false" ht="13.8" hidden="false" customHeight="false" outlineLevel="0" collapsed="false">
      <c r="A615" s="1" t="n">
        <f aca="false">1+A614</f>
        <v>614</v>
      </c>
      <c r="B615" s="1" t="n">
        <v>1.05744</v>
      </c>
    </row>
    <row r="616" customFormat="false" ht="13.8" hidden="false" customHeight="false" outlineLevel="0" collapsed="false">
      <c r="A616" s="1" t="n">
        <f aca="false">1+A615</f>
        <v>615</v>
      </c>
      <c r="B616" s="1" t="n">
        <v>1.05955</v>
      </c>
    </row>
    <row r="617" customFormat="false" ht="13.8" hidden="false" customHeight="false" outlineLevel="0" collapsed="false">
      <c r="A617" s="1" t="n">
        <f aca="false">1+A616</f>
        <v>616</v>
      </c>
      <c r="B617" s="1" t="n">
        <v>1.06126</v>
      </c>
    </row>
    <row r="618" customFormat="false" ht="13.8" hidden="false" customHeight="false" outlineLevel="0" collapsed="false">
      <c r="A618" s="1" t="n">
        <f aca="false">1+A617</f>
        <v>617</v>
      </c>
      <c r="B618" s="1" t="n">
        <v>1.05689</v>
      </c>
    </row>
    <row r="619" customFormat="false" ht="13.8" hidden="false" customHeight="false" outlineLevel="0" collapsed="false">
      <c r="A619" s="1" t="n">
        <f aca="false">1+A618</f>
        <v>618</v>
      </c>
      <c r="B619" s="1" t="n">
        <v>1.05715</v>
      </c>
    </row>
    <row r="620" customFormat="false" ht="13.8" hidden="false" customHeight="false" outlineLevel="0" collapsed="false">
      <c r="A620" s="1" t="n">
        <f aca="false">1+A619</f>
        <v>619</v>
      </c>
      <c r="B620" s="1" t="n">
        <v>1.06132</v>
      </c>
    </row>
    <row r="621" customFormat="false" ht="13.8" hidden="false" customHeight="false" outlineLevel="0" collapsed="false">
      <c r="A621" s="1" t="n">
        <f aca="false">1+A620</f>
        <v>620</v>
      </c>
      <c r="B621" s="1" t="n">
        <v>1.06295</v>
      </c>
    </row>
    <row r="622" customFormat="false" ht="13.8" hidden="false" customHeight="false" outlineLevel="0" collapsed="false">
      <c r="A622" s="1" t="n">
        <f aca="false">1+A621</f>
        <v>621</v>
      </c>
      <c r="B622" s="1" t="n">
        <v>1.04954</v>
      </c>
    </row>
    <row r="623" customFormat="false" ht="13.8" hidden="false" customHeight="false" outlineLevel="0" collapsed="false">
      <c r="A623" s="1" t="n">
        <f aca="false">1+A622</f>
        <v>622</v>
      </c>
      <c r="B623" s="1" t="n">
        <v>1.04526</v>
      </c>
    </row>
    <row r="624" customFormat="false" ht="13.8" hidden="false" customHeight="false" outlineLevel="0" collapsed="false">
      <c r="A624" s="1" t="n">
        <f aca="false">1+A623</f>
        <v>623</v>
      </c>
      <c r="B624" s="1" t="n">
        <v>1.04287</v>
      </c>
    </row>
    <row r="625" customFormat="false" ht="13.8" hidden="false" customHeight="false" outlineLevel="0" collapsed="false">
      <c r="A625" s="1" t="n">
        <f aca="false">1+A624</f>
        <v>624</v>
      </c>
      <c r="B625" s="1" t="n">
        <v>1.04037</v>
      </c>
    </row>
    <row r="626" customFormat="false" ht="13.8" hidden="false" customHeight="false" outlineLevel="0" collapsed="false">
      <c r="A626" s="1" t="n">
        <f aca="false">1+A625</f>
        <v>625</v>
      </c>
      <c r="B626" s="1" t="n">
        <v>1.03756</v>
      </c>
    </row>
    <row r="627" customFormat="false" ht="13.8" hidden="false" customHeight="false" outlineLevel="0" collapsed="false">
      <c r="A627" s="1" t="n">
        <f aca="false">1+A626</f>
        <v>626</v>
      </c>
      <c r="B627" s="1" t="n">
        <v>1.03602</v>
      </c>
    </row>
    <row r="628" customFormat="false" ht="13.8" hidden="false" customHeight="false" outlineLevel="0" collapsed="false">
      <c r="A628" s="1" t="n">
        <f aca="false">1+A627</f>
        <v>627</v>
      </c>
      <c r="B628" s="1" t="n">
        <v>1.0311</v>
      </c>
    </row>
    <row r="629" customFormat="false" ht="13.8" hidden="false" customHeight="false" outlineLevel="0" collapsed="false">
      <c r="A629" s="1" t="n">
        <f aca="false">1+A628</f>
        <v>628</v>
      </c>
      <c r="B629" s="1" t="n">
        <v>1.02429</v>
      </c>
    </row>
    <row r="630" customFormat="false" ht="13.8" hidden="false" customHeight="false" outlineLevel="0" collapsed="false">
      <c r="A630" s="1" t="n">
        <f aca="false">1+A629</f>
        <v>629</v>
      </c>
      <c r="B630" s="1" t="n">
        <v>1.02176</v>
      </c>
    </row>
    <row r="631" customFormat="false" ht="13.8" hidden="false" customHeight="false" outlineLevel="0" collapsed="false">
      <c r="A631" s="1" t="n">
        <f aca="false">1+A630</f>
        <v>630</v>
      </c>
      <c r="B631" s="1" t="n">
        <v>1.02247</v>
      </c>
    </row>
    <row r="632" customFormat="false" ht="13.8" hidden="false" customHeight="false" outlineLevel="0" collapsed="false">
      <c r="A632" s="1" t="n">
        <f aca="false">1+A631</f>
        <v>631</v>
      </c>
      <c r="B632" s="1" t="n">
        <v>1.02144</v>
      </c>
    </row>
    <row r="633" customFormat="false" ht="13.8" hidden="false" customHeight="false" outlineLevel="0" collapsed="false">
      <c r="A633" s="1" t="n">
        <f aca="false">1+A632</f>
        <v>632</v>
      </c>
      <c r="B633" s="1" t="n">
        <v>1.01412</v>
      </c>
    </row>
    <row r="634" customFormat="false" ht="13.8" hidden="false" customHeight="false" outlineLevel="0" collapsed="false">
      <c r="A634" s="1" t="n">
        <f aca="false">1+A633</f>
        <v>633</v>
      </c>
      <c r="B634" s="1" t="n">
        <v>1.01332</v>
      </c>
    </row>
    <row r="635" customFormat="false" ht="13.8" hidden="false" customHeight="false" outlineLevel="0" collapsed="false">
      <c r="A635" s="1" t="n">
        <f aca="false">1+A634</f>
        <v>634</v>
      </c>
      <c r="B635" s="1" t="n">
        <v>1.01006</v>
      </c>
    </row>
    <row r="636" customFormat="false" ht="13.8" hidden="false" customHeight="false" outlineLevel="0" collapsed="false">
      <c r="A636" s="1" t="n">
        <f aca="false">1+A635</f>
        <v>635</v>
      </c>
      <c r="B636" s="1" t="n">
        <v>1.01084</v>
      </c>
    </row>
    <row r="637" customFormat="false" ht="13.8" hidden="false" customHeight="false" outlineLevel="0" collapsed="false">
      <c r="A637" s="1" t="n">
        <f aca="false">1+A636</f>
        <v>636</v>
      </c>
      <c r="B637" s="1" t="n">
        <v>1.00346</v>
      </c>
    </row>
    <row r="638" customFormat="false" ht="13.8" hidden="false" customHeight="false" outlineLevel="0" collapsed="false">
      <c r="A638" s="1" t="n">
        <f aca="false">1+A637</f>
        <v>637</v>
      </c>
      <c r="B638" s="1" t="n">
        <v>1.00232</v>
      </c>
    </row>
    <row r="639" customFormat="false" ht="13.8" hidden="false" customHeight="false" outlineLevel="0" collapsed="false">
      <c r="A639" s="1" t="n">
        <f aca="false">1+A638</f>
        <v>638</v>
      </c>
      <c r="B639" s="1" t="n">
        <v>0.997439</v>
      </c>
    </row>
    <row r="640" customFormat="false" ht="13.8" hidden="false" customHeight="false" outlineLevel="0" collapsed="false">
      <c r="A640" s="1" t="n">
        <f aca="false">1+A639</f>
        <v>639</v>
      </c>
      <c r="B640" s="1" t="n">
        <v>0.998802</v>
      </c>
    </row>
    <row r="641" customFormat="false" ht="13.8" hidden="false" customHeight="false" outlineLevel="0" collapsed="false">
      <c r="A641" s="1" t="n">
        <f aca="false">1+A640</f>
        <v>640</v>
      </c>
      <c r="B641" s="1" t="n">
        <v>1.00459</v>
      </c>
    </row>
    <row r="642" customFormat="false" ht="13.8" hidden="false" customHeight="false" outlineLevel="0" collapsed="false">
      <c r="A642" s="1" t="n">
        <f aca="false">1+A641</f>
        <v>641</v>
      </c>
      <c r="B642" s="1" t="n">
        <v>1.00999</v>
      </c>
    </row>
    <row r="643" customFormat="false" ht="13.8" hidden="false" customHeight="false" outlineLevel="0" collapsed="false">
      <c r="A643" s="1" t="n">
        <f aca="false">1+A642</f>
        <v>642</v>
      </c>
      <c r="B643" s="1" t="n">
        <v>0.997403</v>
      </c>
    </row>
    <row r="644" customFormat="false" ht="13.8" hidden="false" customHeight="false" outlineLevel="0" collapsed="false">
      <c r="A644" s="1" t="n">
        <f aca="false">1+A643</f>
        <v>643</v>
      </c>
      <c r="B644" s="1" t="n">
        <v>1.00106</v>
      </c>
    </row>
    <row r="645" customFormat="false" ht="13.8" hidden="false" customHeight="false" outlineLevel="0" collapsed="false">
      <c r="A645" s="1" t="n">
        <f aca="false">1+A644</f>
        <v>644</v>
      </c>
      <c r="B645" s="1" t="n">
        <v>1.00467</v>
      </c>
    </row>
    <row r="646" customFormat="false" ht="13.8" hidden="false" customHeight="false" outlineLevel="0" collapsed="false">
      <c r="A646" s="1" t="n">
        <f aca="false">1+A645</f>
        <v>645</v>
      </c>
      <c r="B646" s="1" t="n">
        <v>0.989914</v>
      </c>
    </row>
    <row r="647" customFormat="false" ht="13.8" hidden="false" customHeight="false" outlineLevel="0" collapsed="false">
      <c r="A647" s="1" t="n">
        <f aca="false">1+A646</f>
        <v>646</v>
      </c>
      <c r="B647" s="1" t="n">
        <v>0.986927</v>
      </c>
    </row>
    <row r="648" customFormat="false" ht="13.8" hidden="false" customHeight="false" outlineLevel="0" collapsed="false">
      <c r="A648" s="1" t="n">
        <f aca="false">1+A647</f>
        <v>647</v>
      </c>
      <c r="B648" s="1" t="n">
        <v>0.982923</v>
      </c>
    </row>
    <row r="649" customFormat="false" ht="13.8" hidden="false" customHeight="false" outlineLevel="0" collapsed="false">
      <c r="A649" s="1" t="n">
        <f aca="false">1+A648</f>
        <v>648</v>
      </c>
      <c r="B649" s="1" t="n">
        <v>0.988778</v>
      </c>
    </row>
    <row r="650" customFormat="false" ht="13.8" hidden="false" customHeight="false" outlineLevel="0" collapsed="false">
      <c r="A650" s="1" t="n">
        <f aca="false">1+A649</f>
        <v>649</v>
      </c>
      <c r="B650" s="1" t="n">
        <v>0.977316</v>
      </c>
    </row>
    <row r="651" customFormat="false" ht="13.8" hidden="false" customHeight="false" outlineLevel="0" collapsed="false">
      <c r="A651" s="1" t="n">
        <f aca="false">1+A650</f>
        <v>650</v>
      </c>
      <c r="B651" s="1" t="n">
        <v>0.978502</v>
      </c>
    </row>
    <row r="652" customFormat="false" ht="13.8" hidden="false" customHeight="false" outlineLevel="0" collapsed="false">
      <c r="A652" s="1" t="n">
        <f aca="false">1+A651</f>
        <v>651</v>
      </c>
      <c r="B652" s="1" t="n">
        <v>0.975207</v>
      </c>
    </row>
    <row r="653" customFormat="false" ht="13.8" hidden="false" customHeight="false" outlineLevel="0" collapsed="false">
      <c r="A653" s="1" t="n">
        <f aca="false">1+A652</f>
        <v>652</v>
      </c>
      <c r="B653" s="1" t="n">
        <v>0.971229</v>
      </c>
    </row>
    <row r="654" customFormat="false" ht="13.8" hidden="false" customHeight="false" outlineLevel="0" collapsed="false">
      <c r="A654" s="1" t="n">
        <f aca="false">1+A653</f>
        <v>653</v>
      </c>
      <c r="B654" s="1" t="n">
        <v>0.965412</v>
      </c>
    </row>
    <row r="655" customFormat="false" ht="13.8" hidden="false" customHeight="false" outlineLevel="0" collapsed="false">
      <c r="A655" s="1" t="n">
        <f aca="false">1+A654</f>
        <v>654</v>
      </c>
      <c r="B655" s="1" t="n">
        <v>0.960873</v>
      </c>
    </row>
    <row r="656" customFormat="false" ht="13.8" hidden="false" customHeight="false" outlineLevel="0" collapsed="false">
      <c r="A656" s="1" t="n">
        <f aca="false">1+A655</f>
        <v>655</v>
      </c>
      <c r="B656" s="1" t="n">
        <v>0.956736</v>
      </c>
    </row>
    <row r="657" customFormat="false" ht="13.8" hidden="false" customHeight="false" outlineLevel="0" collapsed="false">
      <c r="A657" s="1" t="n">
        <f aca="false">1+A656</f>
        <v>656</v>
      </c>
      <c r="B657" s="1" t="n">
        <v>0.954714</v>
      </c>
    </row>
    <row r="658" customFormat="false" ht="13.8" hidden="false" customHeight="false" outlineLevel="0" collapsed="false">
      <c r="A658" s="1" t="n">
        <f aca="false">1+A657</f>
        <v>657</v>
      </c>
      <c r="B658" s="1" t="n">
        <v>0.952572</v>
      </c>
    </row>
    <row r="659" customFormat="false" ht="13.8" hidden="false" customHeight="false" outlineLevel="0" collapsed="false">
      <c r="A659" s="1" t="n">
        <f aca="false">1+A658</f>
        <v>658</v>
      </c>
      <c r="B659" s="1" t="n">
        <v>0.950167</v>
      </c>
    </row>
    <row r="660" customFormat="false" ht="13.8" hidden="false" customHeight="false" outlineLevel="0" collapsed="false">
      <c r="A660" s="1" t="n">
        <f aca="false">1+A659</f>
        <v>659</v>
      </c>
      <c r="B660" s="1" t="n">
        <v>0.945074</v>
      </c>
    </row>
    <row r="661" customFormat="false" ht="13.8" hidden="false" customHeight="false" outlineLevel="0" collapsed="false">
      <c r="A661" s="1" t="n">
        <f aca="false">1+A660</f>
        <v>660</v>
      </c>
      <c r="B661" s="1" t="n">
        <v>0.945083</v>
      </c>
    </row>
    <row r="662" customFormat="false" ht="13.8" hidden="false" customHeight="false" outlineLevel="0" collapsed="false">
      <c r="A662" s="1" t="n">
        <f aca="false">1+A661</f>
        <v>661</v>
      </c>
      <c r="B662" s="1" t="n">
        <v>0.940149</v>
      </c>
    </row>
    <row r="663" customFormat="false" ht="13.8" hidden="false" customHeight="false" outlineLevel="0" collapsed="false">
      <c r="A663" s="1" t="n">
        <f aca="false">1+A662</f>
        <v>662</v>
      </c>
      <c r="B663" s="1" t="n">
        <v>0.932648</v>
      </c>
    </row>
    <row r="664" customFormat="false" ht="13.8" hidden="false" customHeight="false" outlineLevel="0" collapsed="false">
      <c r="A664" s="1" t="n">
        <f aca="false">1+A663</f>
        <v>663</v>
      </c>
      <c r="B664" s="1" t="n">
        <v>0.930281</v>
      </c>
    </row>
    <row r="665" customFormat="false" ht="13.8" hidden="false" customHeight="false" outlineLevel="0" collapsed="false">
      <c r="A665" s="1" t="n">
        <f aca="false">1+A664</f>
        <v>664</v>
      </c>
      <c r="B665" s="1" t="n">
        <v>0.919516</v>
      </c>
    </row>
    <row r="666" customFormat="false" ht="13.8" hidden="false" customHeight="false" outlineLevel="0" collapsed="false">
      <c r="A666" s="1" t="n">
        <f aca="false">1+A665</f>
        <v>665</v>
      </c>
      <c r="B666" s="1" t="n">
        <v>0.918997</v>
      </c>
    </row>
    <row r="667" customFormat="false" ht="13.8" hidden="false" customHeight="false" outlineLevel="0" collapsed="false">
      <c r="A667" s="1" t="n">
        <f aca="false">1+A666</f>
        <v>666</v>
      </c>
      <c r="B667" s="1" t="n">
        <v>0.918933</v>
      </c>
    </row>
    <row r="668" customFormat="false" ht="13.8" hidden="false" customHeight="false" outlineLevel="0" collapsed="false">
      <c r="A668" s="1" t="n">
        <f aca="false">1+A667</f>
        <v>667</v>
      </c>
      <c r="B668" s="1" t="n">
        <v>0.918673</v>
      </c>
    </row>
    <row r="669" customFormat="false" ht="13.8" hidden="false" customHeight="false" outlineLevel="0" collapsed="false">
      <c r="A669" s="1" t="n">
        <f aca="false">1+A668</f>
        <v>668</v>
      </c>
      <c r="B669" s="1" t="n">
        <v>0.916867</v>
      </c>
    </row>
    <row r="670" customFormat="false" ht="13.8" hidden="false" customHeight="false" outlineLevel="0" collapsed="false">
      <c r="A670" s="1" t="n">
        <f aca="false">1+A669</f>
        <v>669</v>
      </c>
      <c r="B670" s="1" t="n">
        <v>0.917604</v>
      </c>
    </row>
    <row r="671" customFormat="false" ht="13.8" hidden="false" customHeight="false" outlineLevel="0" collapsed="false">
      <c r="A671" s="1" t="n">
        <f aca="false">1+A670</f>
        <v>670</v>
      </c>
      <c r="B671" s="1" t="n">
        <v>0.911895</v>
      </c>
    </row>
    <row r="672" customFormat="false" ht="13.8" hidden="false" customHeight="false" outlineLevel="0" collapsed="false">
      <c r="A672" s="1" t="n">
        <f aca="false">1+A671</f>
        <v>671</v>
      </c>
      <c r="B672" s="1" t="n">
        <v>0.900582</v>
      </c>
    </row>
    <row r="673" customFormat="false" ht="13.8" hidden="false" customHeight="false" outlineLevel="0" collapsed="false">
      <c r="A673" s="1" t="n">
        <f aca="false">1+A672</f>
        <v>672</v>
      </c>
      <c r="B673" s="1" t="n">
        <v>0.903145</v>
      </c>
    </row>
    <row r="674" customFormat="false" ht="13.8" hidden="false" customHeight="false" outlineLevel="0" collapsed="false">
      <c r="A674" s="1" t="n">
        <f aca="false">1+A673</f>
        <v>673</v>
      </c>
      <c r="B674" s="1" t="n">
        <v>0.8978</v>
      </c>
    </row>
    <row r="675" customFormat="false" ht="13.8" hidden="false" customHeight="false" outlineLevel="0" collapsed="false">
      <c r="A675" s="1" t="n">
        <f aca="false">1+A674</f>
        <v>674</v>
      </c>
      <c r="B675" s="1" t="n">
        <v>0.894687</v>
      </c>
    </row>
    <row r="676" customFormat="false" ht="13.8" hidden="false" customHeight="false" outlineLevel="0" collapsed="false">
      <c r="A676" s="1" t="n">
        <f aca="false">1+A675</f>
        <v>675</v>
      </c>
      <c r="B676" s="1" t="n">
        <v>0.889</v>
      </c>
    </row>
    <row r="677" customFormat="false" ht="13.8" hidden="false" customHeight="false" outlineLevel="0" collapsed="false">
      <c r="A677" s="1" t="n">
        <f aca="false">1+A676</f>
        <v>676</v>
      </c>
      <c r="B677" s="1" t="n">
        <v>0.890856</v>
      </c>
    </row>
    <row r="678" customFormat="false" ht="13.8" hidden="false" customHeight="false" outlineLevel="0" collapsed="false">
      <c r="A678" s="1" t="n">
        <f aca="false">1+A677</f>
        <v>677</v>
      </c>
      <c r="B678" s="1" t="n">
        <v>0.887374</v>
      </c>
    </row>
    <row r="679" customFormat="false" ht="13.8" hidden="false" customHeight="false" outlineLevel="0" collapsed="false">
      <c r="A679" s="1" t="n">
        <f aca="false">1+A678</f>
        <v>678</v>
      </c>
      <c r="B679" s="1" t="n">
        <v>0.889216</v>
      </c>
    </row>
    <row r="680" customFormat="false" ht="13.8" hidden="false" customHeight="false" outlineLevel="0" collapsed="false">
      <c r="A680" s="1" t="n">
        <f aca="false">1+A679</f>
        <v>679</v>
      </c>
      <c r="B680" s="1" t="n">
        <v>0.888813</v>
      </c>
    </row>
    <row r="681" customFormat="false" ht="13.8" hidden="false" customHeight="false" outlineLevel="0" collapsed="false">
      <c r="A681" s="1" t="n">
        <f aca="false">1+A680</f>
        <v>680</v>
      </c>
      <c r="B681" s="1" t="n">
        <v>0.885463</v>
      </c>
    </row>
    <row r="682" customFormat="false" ht="13.8" hidden="false" customHeight="false" outlineLevel="0" collapsed="false">
      <c r="A682" s="1" t="n">
        <f aca="false">1+A681</f>
        <v>681</v>
      </c>
      <c r="B682" s="1" t="n">
        <v>0.886816</v>
      </c>
    </row>
    <row r="683" customFormat="false" ht="13.8" hidden="false" customHeight="false" outlineLevel="0" collapsed="false">
      <c r="A683" s="1" t="n">
        <f aca="false">1+A682</f>
        <v>682</v>
      </c>
      <c r="B683" s="1" t="n">
        <v>0.888542</v>
      </c>
    </row>
    <row r="684" customFormat="false" ht="13.8" hidden="false" customHeight="false" outlineLevel="0" collapsed="false">
      <c r="A684" s="1" t="n">
        <f aca="false">1+A683</f>
        <v>683</v>
      </c>
      <c r="B684" s="1" t="n">
        <v>0.884235</v>
      </c>
    </row>
    <row r="685" customFormat="false" ht="13.8" hidden="false" customHeight="false" outlineLevel="0" collapsed="false">
      <c r="A685" s="1" t="n">
        <f aca="false">1+A684</f>
        <v>684</v>
      </c>
      <c r="B685" s="1" t="n">
        <v>0.88317</v>
      </c>
    </row>
    <row r="686" customFormat="false" ht="13.8" hidden="false" customHeight="false" outlineLevel="0" collapsed="false">
      <c r="A686" s="1" t="n">
        <f aca="false">1+A685</f>
        <v>685</v>
      </c>
      <c r="B686" s="1" t="n">
        <v>0.882509</v>
      </c>
    </row>
    <row r="687" customFormat="false" ht="13.8" hidden="false" customHeight="false" outlineLevel="0" collapsed="false">
      <c r="A687" s="1" t="n">
        <f aca="false">1+A686</f>
        <v>686</v>
      </c>
      <c r="B687" s="1" t="n">
        <v>0.884956</v>
      </c>
    </row>
    <row r="688" customFormat="false" ht="13.8" hidden="false" customHeight="false" outlineLevel="0" collapsed="false">
      <c r="A688" s="1" t="n">
        <f aca="false">1+A687</f>
        <v>687</v>
      </c>
      <c r="B688" s="1" t="n">
        <v>0.875521</v>
      </c>
    </row>
    <row r="689" customFormat="false" ht="13.8" hidden="false" customHeight="false" outlineLevel="0" collapsed="false">
      <c r="A689" s="1" t="n">
        <f aca="false">1+A688</f>
        <v>688</v>
      </c>
      <c r="B689" s="1" t="n">
        <v>0.875011</v>
      </c>
    </row>
    <row r="690" customFormat="false" ht="13.8" hidden="false" customHeight="false" outlineLevel="0" collapsed="false">
      <c r="A690" s="1" t="n">
        <f aca="false">1+A689</f>
        <v>689</v>
      </c>
      <c r="B690" s="1" t="n">
        <v>0.87648</v>
      </c>
    </row>
    <row r="691" customFormat="false" ht="13.8" hidden="false" customHeight="false" outlineLevel="0" collapsed="false">
      <c r="A691" s="1" t="n">
        <f aca="false">1+A690</f>
        <v>690</v>
      </c>
      <c r="B691" s="1" t="n">
        <v>0.874883</v>
      </c>
    </row>
    <row r="692" customFormat="false" ht="13.8" hidden="false" customHeight="false" outlineLevel="0" collapsed="false">
      <c r="A692" s="1" t="n">
        <f aca="false">1+A691</f>
        <v>691</v>
      </c>
      <c r="B692" s="1" t="n">
        <v>0.877166</v>
      </c>
    </row>
    <row r="693" customFormat="false" ht="13.8" hidden="false" customHeight="false" outlineLevel="0" collapsed="false">
      <c r="A693" s="1" t="n">
        <f aca="false">1+A692</f>
        <v>692</v>
      </c>
      <c r="B693" s="1" t="n">
        <v>0.882218</v>
      </c>
    </row>
    <row r="694" customFormat="false" ht="13.8" hidden="false" customHeight="false" outlineLevel="0" collapsed="false">
      <c r="A694" s="1" t="n">
        <f aca="false">1+A693</f>
        <v>693</v>
      </c>
      <c r="B694" s="1" t="n">
        <v>0.878166</v>
      </c>
    </row>
    <row r="695" customFormat="false" ht="13.8" hidden="false" customHeight="false" outlineLevel="0" collapsed="false">
      <c r="A695" s="1" t="n">
        <f aca="false">1+A694</f>
        <v>694</v>
      </c>
      <c r="B695" s="1" t="n">
        <v>0.877465</v>
      </c>
    </row>
    <row r="696" customFormat="false" ht="13.8" hidden="false" customHeight="false" outlineLevel="0" collapsed="false">
      <c r="A696" s="1" t="n">
        <f aca="false">1+A695</f>
        <v>695</v>
      </c>
      <c r="B696" s="1" t="n">
        <v>0.879546</v>
      </c>
    </row>
    <row r="697" customFormat="false" ht="13.8" hidden="false" customHeight="false" outlineLevel="0" collapsed="false">
      <c r="A697" s="1" t="n">
        <f aca="false">1+A696</f>
        <v>696</v>
      </c>
      <c r="B697" s="1" t="n">
        <v>0.881513</v>
      </c>
    </row>
    <row r="698" customFormat="false" ht="13.8" hidden="false" customHeight="false" outlineLevel="0" collapsed="false">
      <c r="A698" s="1" t="n">
        <f aca="false">1+A697</f>
        <v>697</v>
      </c>
      <c r="B698" s="1" t="n">
        <v>0.886463</v>
      </c>
    </row>
    <row r="699" customFormat="false" ht="13.8" hidden="false" customHeight="false" outlineLevel="0" collapsed="false">
      <c r="A699" s="1" t="n">
        <f aca="false">1+A698</f>
        <v>698</v>
      </c>
      <c r="B699" s="1" t="n">
        <v>0.891158</v>
      </c>
    </row>
    <row r="700" customFormat="false" ht="13.8" hidden="false" customHeight="false" outlineLevel="0" collapsed="false">
      <c r="A700" s="1" t="n">
        <f aca="false">1+A699</f>
        <v>699</v>
      </c>
      <c r="B700" s="1" t="n">
        <v>0.889867</v>
      </c>
    </row>
    <row r="701" customFormat="false" ht="13.8" hidden="false" customHeight="false" outlineLevel="0" collapsed="false">
      <c r="A701" s="1" t="n">
        <f aca="false">1+A700</f>
        <v>700</v>
      </c>
      <c r="B701" s="1" t="n">
        <v>0.872326</v>
      </c>
    </row>
    <row r="702" customFormat="false" ht="13.8" hidden="false" customHeight="false" outlineLevel="0" collapsed="false">
      <c r="A702" s="1" t="n">
        <f aca="false">1+A701</f>
        <v>701</v>
      </c>
      <c r="B702" s="1" t="n">
        <v>0.858203</v>
      </c>
    </row>
    <row r="703" customFormat="false" ht="13.8" hidden="false" customHeight="false" outlineLevel="0" collapsed="false">
      <c r="A703" s="1" t="n">
        <f aca="false">1+A702</f>
        <v>702</v>
      </c>
      <c r="B703" s="1" t="n">
        <v>0.859943</v>
      </c>
    </row>
    <row r="704" customFormat="false" ht="13.8" hidden="false" customHeight="false" outlineLevel="0" collapsed="false">
      <c r="A704" s="1" t="n">
        <f aca="false">1+A703</f>
        <v>703</v>
      </c>
      <c r="B704" s="1" t="n">
        <v>0.857851</v>
      </c>
    </row>
    <row r="705" customFormat="false" ht="13.8" hidden="false" customHeight="false" outlineLevel="0" collapsed="false">
      <c r="A705" s="1" t="n">
        <f aca="false">1+A704</f>
        <v>704</v>
      </c>
      <c r="B705" s="1" t="n">
        <v>0.86255</v>
      </c>
    </row>
    <row r="706" customFormat="false" ht="13.8" hidden="false" customHeight="false" outlineLevel="0" collapsed="false">
      <c r="A706" s="1" t="n">
        <f aca="false">1+A705</f>
        <v>705</v>
      </c>
      <c r="B706" s="1" t="n">
        <v>0.857831</v>
      </c>
    </row>
    <row r="707" customFormat="false" ht="13.8" hidden="false" customHeight="false" outlineLevel="0" collapsed="false">
      <c r="A707" s="1" t="n">
        <f aca="false">1+A706</f>
        <v>706</v>
      </c>
      <c r="B707" s="1" t="n">
        <v>0.863328</v>
      </c>
    </row>
    <row r="708" customFormat="false" ht="13.8" hidden="false" customHeight="false" outlineLevel="0" collapsed="false">
      <c r="A708" s="1" t="n">
        <f aca="false">1+A707</f>
        <v>707</v>
      </c>
      <c r="B708" s="1" t="n">
        <v>0.855415</v>
      </c>
    </row>
    <row r="709" customFormat="false" ht="13.8" hidden="false" customHeight="false" outlineLevel="0" collapsed="false">
      <c r="A709" s="1" t="n">
        <f aca="false">1+A708</f>
        <v>708</v>
      </c>
      <c r="B709" s="1" t="n">
        <v>0.859522</v>
      </c>
    </row>
    <row r="710" customFormat="false" ht="13.8" hidden="false" customHeight="false" outlineLevel="0" collapsed="false">
      <c r="A710" s="1" t="n">
        <f aca="false">1+A709</f>
        <v>709</v>
      </c>
      <c r="B710" s="1" t="n">
        <v>0.863873</v>
      </c>
    </row>
    <row r="711" customFormat="false" ht="13.8" hidden="false" customHeight="false" outlineLevel="0" collapsed="false">
      <c r="A711" s="1" t="n">
        <f aca="false">1+A710</f>
        <v>710</v>
      </c>
      <c r="B711" s="1" t="n">
        <v>0.858325</v>
      </c>
    </row>
    <row r="712" customFormat="false" ht="13.8" hidden="false" customHeight="false" outlineLevel="0" collapsed="false">
      <c r="A712" s="1" t="n">
        <f aca="false">1+A711</f>
        <v>711</v>
      </c>
      <c r="B712" s="1" t="n">
        <v>0.852806</v>
      </c>
    </row>
    <row r="713" customFormat="false" ht="13.8" hidden="false" customHeight="false" outlineLevel="0" collapsed="false">
      <c r="A713" s="1" t="n">
        <f aca="false">1+A712</f>
        <v>712</v>
      </c>
      <c r="B713" s="1" t="n">
        <v>0.847341</v>
      </c>
    </row>
    <row r="714" customFormat="false" ht="13.8" hidden="false" customHeight="false" outlineLevel="0" collapsed="false">
      <c r="A714" s="1" t="n">
        <f aca="false">1+A713</f>
        <v>713</v>
      </c>
      <c r="B714" s="1" t="n">
        <v>0.845265</v>
      </c>
    </row>
    <row r="715" customFormat="false" ht="13.8" hidden="false" customHeight="false" outlineLevel="0" collapsed="false">
      <c r="A715" s="1" t="n">
        <f aca="false">1+A714</f>
        <v>714</v>
      </c>
      <c r="B715" s="1" t="n">
        <v>0.84296</v>
      </c>
    </row>
    <row r="716" customFormat="false" ht="13.8" hidden="false" customHeight="false" outlineLevel="0" collapsed="false">
      <c r="A716" s="1" t="n">
        <f aca="false">1+A715</f>
        <v>715</v>
      </c>
      <c r="B716" s="1" t="n">
        <v>0.832811</v>
      </c>
    </row>
    <row r="717" customFormat="false" ht="13.8" hidden="false" customHeight="false" outlineLevel="0" collapsed="false">
      <c r="A717" s="1" t="n">
        <f aca="false">1+A716</f>
        <v>716</v>
      </c>
      <c r="B717" s="1" t="n">
        <v>0.823839</v>
      </c>
    </row>
    <row r="718" customFormat="false" ht="13.8" hidden="false" customHeight="false" outlineLevel="0" collapsed="false">
      <c r="A718" s="1" t="n">
        <f aca="false">1+A717</f>
        <v>717</v>
      </c>
      <c r="B718" s="1" t="n">
        <v>0.824728</v>
      </c>
    </row>
    <row r="719" customFormat="false" ht="13.8" hidden="false" customHeight="false" outlineLevel="0" collapsed="false">
      <c r="A719" s="1" t="n">
        <f aca="false">1+A718</f>
        <v>718</v>
      </c>
      <c r="B719" s="1" t="n">
        <v>0.826622</v>
      </c>
    </row>
    <row r="720" customFormat="false" ht="13.8" hidden="false" customHeight="false" outlineLevel="0" collapsed="false">
      <c r="A720" s="1" t="n">
        <f aca="false">1+A719</f>
        <v>719</v>
      </c>
      <c r="B720" s="1" t="n">
        <v>0.824735</v>
      </c>
    </row>
    <row r="721" customFormat="false" ht="13.8" hidden="false" customHeight="false" outlineLevel="0" collapsed="false">
      <c r="A721" s="1" t="n">
        <f aca="false">1+A720</f>
        <v>720</v>
      </c>
      <c r="B721" s="1" t="n">
        <v>0.825793</v>
      </c>
    </row>
    <row r="722" customFormat="false" ht="13.8" hidden="false" customHeight="false" outlineLevel="0" collapsed="false">
      <c r="A722" s="1" t="n">
        <f aca="false">1+A721</f>
        <v>721</v>
      </c>
      <c r="B722" s="1" t="n">
        <v>0.823432</v>
      </c>
    </row>
    <row r="723" customFormat="false" ht="13.8" hidden="false" customHeight="false" outlineLevel="0" collapsed="false">
      <c r="A723" s="1" t="n">
        <f aca="false">1+A722</f>
        <v>722</v>
      </c>
      <c r="B723" s="1" t="n">
        <v>0.820416</v>
      </c>
    </row>
    <row r="724" customFormat="false" ht="13.8" hidden="false" customHeight="false" outlineLevel="0" collapsed="false">
      <c r="A724" s="1" t="n">
        <f aca="false">1+A723</f>
        <v>723</v>
      </c>
      <c r="B724" s="1" t="n">
        <v>0.821648</v>
      </c>
    </row>
    <row r="725" customFormat="false" ht="13.8" hidden="false" customHeight="false" outlineLevel="0" collapsed="false">
      <c r="A725" s="1" t="n">
        <f aca="false">1+A724</f>
        <v>724</v>
      </c>
      <c r="B725" s="1" t="n">
        <v>0.82229</v>
      </c>
    </row>
    <row r="726" customFormat="false" ht="13.8" hidden="false" customHeight="false" outlineLevel="0" collapsed="false">
      <c r="A726" s="1" t="n">
        <f aca="false">1+A725</f>
        <v>725</v>
      </c>
      <c r="B726" s="1" t="n">
        <v>0.808715</v>
      </c>
    </row>
    <row r="727" customFormat="false" ht="13.8" hidden="false" customHeight="false" outlineLevel="0" collapsed="false">
      <c r="A727" s="1" t="n">
        <f aca="false">1+A726</f>
        <v>726</v>
      </c>
      <c r="B727" s="1" t="n">
        <v>0.809356</v>
      </c>
    </row>
    <row r="728" customFormat="false" ht="13.8" hidden="false" customHeight="false" outlineLevel="0" collapsed="false">
      <c r="A728" s="1" t="n">
        <f aca="false">1+A727</f>
        <v>727</v>
      </c>
      <c r="B728" s="1" t="n">
        <v>0.806482</v>
      </c>
    </row>
    <row r="729" customFormat="false" ht="13.8" hidden="false" customHeight="false" outlineLevel="0" collapsed="false">
      <c r="A729" s="1" t="n">
        <f aca="false">1+A728</f>
        <v>728</v>
      </c>
      <c r="B729" s="1" t="n">
        <v>0.807057</v>
      </c>
    </row>
    <row r="730" customFormat="false" ht="13.8" hidden="false" customHeight="false" outlineLevel="0" collapsed="false">
      <c r="A730" s="1" t="n">
        <f aca="false">1+A729</f>
        <v>729</v>
      </c>
      <c r="B730" s="1" t="n">
        <v>0.811198</v>
      </c>
    </row>
    <row r="731" customFormat="false" ht="13.8" hidden="false" customHeight="false" outlineLevel="0" collapsed="false">
      <c r="A731" s="1" t="n">
        <f aca="false">1+A730</f>
        <v>730</v>
      </c>
      <c r="B731" s="1" t="n">
        <v>0.804646</v>
      </c>
    </row>
    <row r="732" customFormat="false" ht="13.8" hidden="false" customHeight="false" outlineLevel="0" collapsed="false">
      <c r="A732" s="1" t="n">
        <f aca="false">1+A731</f>
        <v>731</v>
      </c>
      <c r="B732" s="1" t="n">
        <v>0.805836</v>
      </c>
    </row>
    <row r="733" customFormat="false" ht="13.8" hidden="false" customHeight="false" outlineLevel="0" collapsed="false">
      <c r="A733" s="1" t="n">
        <f aca="false">1+A732</f>
        <v>732</v>
      </c>
      <c r="B733" s="1" t="n">
        <v>0.806761</v>
      </c>
    </row>
    <row r="734" customFormat="false" ht="13.8" hidden="false" customHeight="false" outlineLevel="0" collapsed="false">
      <c r="A734" s="1" t="n">
        <f aca="false">1+A733</f>
        <v>733</v>
      </c>
      <c r="B734" s="1" t="n">
        <v>0.807355</v>
      </c>
    </row>
    <row r="735" customFormat="false" ht="13.8" hidden="false" customHeight="false" outlineLevel="0" collapsed="false">
      <c r="A735" s="1" t="n">
        <f aca="false">1+A734</f>
        <v>734</v>
      </c>
      <c r="B735" s="1" t="n">
        <v>0.807453</v>
      </c>
    </row>
    <row r="736" customFormat="false" ht="13.8" hidden="false" customHeight="false" outlineLevel="0" collapsed="false">
      <c r="A736" s="1" t="n">
        <f aca="false">1+A735</f>
        <v>735</v>
      </c>
      <c r="B736" s="1" t="n">
        <v>0.811739</v>
      </c>
    </row>
    <row r="737" customFormat="false" ht="13.8" hidden="false" customHeight="false" outlineLevel="0" collapsed="false">
      <c r="A737" s="1" t="n">
        <f aca="false">1+A736</f>
        <v>736</v>
      </c>
      <c r="B737" s="1" t="n">
        <v>0.812338</v>
      </c>
    </row>
    <row r="738" customFormat="false" ht="13.8" hidden="false" customHeight="false" outlineLevel="0" collapsed="false">
      <c r="A738" s="1" t="n">
        <f aca="false">1+A737</f>
        <v>737</v>
      </c>
      <c r="B738" s="1" t="n">
        <v>0.816923</v>
      </c>
    </row>
    <row r="739" customFormat="false" ht="13.8" hidden="false" customHeight="false" outlineLevel="0" collapsed="false">
      <c r="A739" s="1" t="n">
        <f aca="false">1+A738</f>
        <v>738</v>
      </c>
      <c r="B739" s="1" t="n">
        <v>0.809717</v>
      </c>
    </row>
    <row r="740" customFormat="false" ht="13.8" hidden="false" customHeight="false" outlineLevel="0" collapsed="false">
      <c r="A740" s="1" t="n">
        <f aca="false">1+A739</f>
        <v>739</v>
      </c>
      <c r="B740" s="1" t="n">
        <v>0.813722</v>
      </c>
    </row>
    <row r="741" customFormat="false" ht="13.8" hidden="false" customHeight="false" outlineLevel="0" collapsed="false">
      <c r="A741" s="1" t="n">
        <f aca="false">1+A740</f>
        <v>740</v>
      </c>
      <c r="B741" s="1" t="n">
        <v>0.798459</v>
      </c>
    </row>
    <row r="742" customFormat="false" ht="13.8" hidden="false" customHeight="false" outlineLevel="0" collapsed="false">
      <c r="A742" s="1" t="n">
        <f aca="false">1+A741</f>
        <v>741</v>
      </c>
      <c r="B742" s="1" t="n">
        <v>0.790641</v>
      </c>
    </row>
    <row r="743" customFormat="false" ht="13.8" hidden="false" customHeight="false" outlineLevel="0" collapsed="false">
      <c r="A743" s="1" t="n">
        <f aca="false">1+A742</f>
        <v>742</v>
      </c>
      <c r="B743" s="1" t="n">
        <v>0.790498</v>
      </c>
    </row>
    <row r="744" customFormat="false" ht="13.8" hidden="false" customHeight="false" outlineLevel="0" collapsed="false">
      <c r="A744" s="1" t="n">
        <f aca="false">1+A743</f>
        <v>743</v>
      </c>
      <c r="B744" s="1" t="n">
        <v>0.794751</v>
      </c>
    </row>
    <row r="745" customFormat="false" ht="13.8" hidden="false" customHeight="false" outlineLevel="0" collapsed="false">
      <c r="A745" s="1" t="n">
        <f aca="false">1+A744</f>
        <v>744</v>
      </c>
      <c r="B745" s="1" t="n">
        <v>0.799082</v>
      </c>
    </row>
    <row r="746" customFormat="false" ht="13.8" hidden="false" customHeight="false" outlineLevel="0" collapsed="false">
      <c r="A746" s="1" t="n">
        <f aca="false">1+A745</f>
        <v>745</v>
      </c>
      <c r="B746" s="1" t="n">
        <v>0.791949</v>
      </c>
    </row>
    <row r="747" customFormat="false" ht="13.8" hidden="false" customHeight="false" outlineLevel="0" collapsed="false">
      <c r="A747" s="1" t="n">
        <f aca="false">1+A746</f>
        <v>746</v>
      </c>
      <c r="B747" s="1" t="n">
        <v>0.796053</v>
      </c>
    </row>
    <row r="748" customFormat="false" ht="13.8" hidden="false" customHeight="false" outlineLevel="0" collapsed="false">
      <c r="A748" s="1" t="n">
        <f aca="false">1+A747</f>
        <v>747</v>
      </c>
      <c r="B748" s="1" t="n">
        <v>0.792129</v>
      </c>
    </row>
    <row r="749" customFormat="false" ht="13.8" hidden="false" customHeight="false" outlineLevel="0" collapsed="false">
      <c r="A749" s="1" t="n">
        <f aca="false">1+A748</f>
        <v>748</v>
      </c>
      <c r="B749" s="1" t="n">
        <v>0.791955</v>
      </c>
    </row>
    <row r="750" customFormat="false" ht="13.8" hidden="false" customHeight="false" outlineLevel="0" collapsed="false">
      <c r="A750" s="1" t="n">
        <f aca="false">1+A749</f>
        <v>749</v>
      </c>
      <c r="B750" s="1" t="n">
        <v>0.7878</v>
      </c>
    </row>
    <row r="751" customFormat="false" ht="13.8" hidden="false" customHeight="false" outlineLevel="0" collapsed="false">
      <c r="A751" s="1" t="n">
        <f aca="false">1+A750</f>
        <v>750</v>
      </c>
      <c r="B751" s="1" t="n">
        <v>0.787168</v>
      </c>
    </row>
    <row r="752" customFormat="false" ht="13.8" hidden="false" customHeight="false" outlineLevel="0" collapsed="false">
      <c r="A752" s="1" t="n">
        <f aca="false">1+A751</f>
        <v>751</v>
      </c>
      <c r="B752" s="1" t="n">
        <v>0.787871</v>
      </c>
    </row>
    <row r="753" customFormat="false" ht="13.8" hidden="false" customHeight="false" outlineLevel="0" collapsed="false">
      <c r="A753" s="1" t="n">
        <f aca="false">1+A752</f>
        <v>752</v>
      </c>
      <c r="B753" s="1" t="n">
        <v>0.783894</v>
      </c>
    </row>
    <row r="754" customFormat="false" ht="13.8" hidden="false" customHeight="false" outlineLevel="0" collapsed="false">
      <c r="A754" s="1" t="n">
        <f aca="false">1+A753</f>
        <v>753</v>
      </c>
      <c r="B754" s="1" t="n">
        <v>0.775227</v>
      </c>
    </row>
    <row r="755" customFormat="false" ht="13.8" hidden="false" customHeight="false" outlineLevel="0" collapsed="false">
      <c r="A755" s="1" t="n">
        <f aca="false">1+A754</f>
        <v>754</v>
      </c>
      <c r="B755" s="1" t="n">
        <v>0.770896</v>
      </c>
    </row>
    <row r="756" customFormat="false" ht="13.8" hidden="false" customHeight="false" outlineLevel="0" collapsed="false">
      <c r="A756" s="1" t="n">
        <f aca="false">1+A755</f>
        <v>755</v>
      </c>
      <c r="B756" s="1" t="n">
        <v>0.762328</v>
      </c>
    </row>
    <row r="757" customFormat="false" ht="13.8" hidden="false" customHeight="false" outlineLevel="0" collapsed="false">
      <c r="A757" s="1" t="n">
        <f aca="false">1+A756</f>
        <v>756</v>
      </c>
      <c r="B757" s="1" t="n">
        <v>0.761588</v>
      </c>
    </row>
    <row r="758" customFormat="false" ht="13.8" hidden="false" customHeight="false" outlineLevel="0" collapsed="false">
      <c r="A758" s="1" t="n">
        <f aca="false">1+A757</f>
        <v>757</v>
      </c>
      <c r="B758" s="1" t="n">
        <v>0.765576</v>
      </c>
    </row>
    <row r="759" customFormat="false" ht="13.8" hidden="false" customHeight="false" outlineLevel="0" collapsed="false">
      <c r="A759" s="1" t="n">
        <f aca="false">1+A758</f>
        <v>758</v>
      </c>
      <c r="B759" s="1" t="n">
        <v>0.761163</v>
      </c>
    </row>
    <row r="760" customFormat="false" ht="13.8" hidden="false" customHeight="false" outlineLevel="0" collapsed="false">
      <c r="A760" s="1" t="n">
        <f aca="false">1+A759</f>
        <v>759</v>
      </c>
      <c r="B760" s="1" t="n">
        <v>0.760473</v>
      </c>
    </row>
    <row r="761" customFormat="false" ht="13.8" hidden="false" customHeight="false" outlineLevel="0" collapsed="false">
      <c r="A761" s="1" t="n">
        <f aca="false">1+A760</f>
        <v>760</v>
      </c>
      <c r="B761" s="1" t="n">
        <v>0.756728</v>
      </c>
    </row>
    <row r="762" customFormat="false" ht="13.8" hidden="false" customHeight="false" outlineLevel="0" collapsed="false">
      <c r="A762" s="1" t="n">
        <f aca="false">1+A761</f>
        <v>761</v>
      </c>
      <c r="B762" s="1" t="n">
        <v>0.756416</v>
      </c>
    </row>
    <row r="763" customFormat="false" ht="13.8" hidden="false" customHeight="false" outlineLevel="0" collapsed="false">
      <c r="A763" s="1" t="n">
        <f aca="false">1+A762</f>
        <v>762</v>
      </c>
      <c r="B763" s="1" t="n">
        <v>0.751267</v>
      </c>
    </row>
    <row r="764" customFormat="false" ht="13.8" hidden="false" customHeight="false" outlineLevel="0" collapsed="false">
      <c r="A764" s="1" t="n">
        <f aca="false">1+A763</f>
        <v>763</v>
      </c>
      <c r="B764" s="1" t="n">
        <v>0.755163</v>
      </c>
    </row>
    <row r="765" customFormat="false" ht="13.8" hidden="false" customHeight="false" outlineLevel="0" collapsed="false">
      <c r="A765" s="1" t="n">
        <f aca="false">1+A764</f>
        <v>764</v>
      </c>
      <c r="B765" s="1" t="n">
        <v>0.758892</v>
      </c>
    </row>
    <row r="766" customFormat="false" ht="13.8" hidden="false" customHeight="false" outlineLevel="0" collapsed="false">
      <c r="A766" s="1" t="n">
        <f aca="false">1+A765</f>
        <v>765</v>
      </c>
      <c r="B766" s="1" t="n">
        <v>0.753711</v>
      </c>
    </row>
    <row r="767" customFormat="false" ht="13.8" hidden="false" customHeight="false" outlineLevel="0" collapsed="false">
      <c r="A767" s="1" t="n">
        <f aca="false">1+A766</f>
        <v>766</v>
      </c>
      <c r="B767" s="1" t="n">
        <v>0.748856</v>
      </c>
    </row>
    <row r="768" customFormat="false" ht="13.8" hidden="false" customHeight="false" outlineLevel="0" collapsed="false">
      <c r="A768" s="1" t="n">
        <f aca="false">1+A767</f>
        <v>767</v>
      </c>
      <c r="B768" s="1" t="n">
        <v>0.751949</v>
      </c>
    </row>
    <row r="769" customFormat="false" ht="13.8" hidden="false" customHeight="false" outlineLevel="0" collapsed="false">
      <c r="A769" s="1" t="n">
        <f aca="false">1+A768</f>
        <v>768</v>
      </c>
      <c r="B769" s="1" t="n">
        <v>0.746582</v>
      </c>
    </row>
    <row r="770" customFormat="false" ht="13.8" hidden="false" customHeight="false" outlineLevel="0" collapsed="false">
      <c r="A770" s="1" t="n">
        <f aca="false">1+A769</f>
        <v>769</v>
      </c>
      <c r="B770" s="1" t="n">
        <v>0.750223</v>
      </c>
    </row>
    <row r="771" customFormat="false" ht="13.8" hidden="false" customHeight="false" outlineLevel="0" collapsed="false">
      <c r="A771" s="1" t="n">
        <f aca="false">1+A770</f>
        <v>770</v>
      </c>
      <c r="B771" s="1" t="n">
        <v>0.75429</v>
      </c>
    </row>
    <row r="772" customFormat="false" ht="13.8" hidden="false" customHeight="false" outlineLevel="0" collapsed="false">
      <c r="A772" s="1" t="n">
        <f aca="false">1+A771</f>
        <v>771</v>
      </c>
      <c r="B772" s="1" t="n">
        <v>0.757755</v>
      </c>
    </row>
    <row r="773" customFormat="false" ht="13.8" hidden="false" customHeight="false" outlineLevel="0" collapsed="false">
      <c r="A773" s="1" t="n">
        <f aca="false">1+A772</f>
        <v>772</v>
      </c>
      <c r="B773" s="1" t="n">
        <v>0.761433</v>
      </c>
    </row>
    <row r="774" customFormat="false" ht="13.8" hidden="false" customHeight="false" outlineLevel="0" collapsed="false">
      <c r="A774" s="1" t="n">
        <f aca="false">1+A773</f>
        <v>773</v>
      </c>
      <c r="B774" s="1" t="n">
        <v>0.766027</v>
      </c>
    </row>
    <row r="775" customFormat="false" ht="13.8" hidden="false" customHeight="false" outlineLevel="0" collapsed="false">
      <c r="A775" s="1" t="n">
        <f aca="false">1+A774</f>
        <v>774</v>
      </c>
      <c r="B775" s="1" t="n">
        <v>0.765122</v>
      </c>
    </row>
    <row r="776" customFormat="false" ht="13.8" hidden="false" customHeight="false" outlineLevel="0" collapsed="false">
      <c r="A776" s="1" t="n">
        <f aca="false">1+A775</f>
        <v>775</v>
      </c>
      <c r="B776" s="1" t="n">
        <v>0.759996</v>
      </c>
    </row>
    <row r="777" customFormat="false" ht="13.8" hidden="false" customHeight="false" outlineLevel="0" collapsed="false">
      <c r="A777" s="1" t="n">
        <f aca="false">1+A776</f>
        <v>776</v>
      </c>
      <c r="B777" s="1" t="n">
        <v>0.754258</v>
      </c>
    </row>
    <row r="778" customFormat="false" ht="13.8" hidden="false" customHeight="false" outlineLevel="0" collapsed="false">
      <c r="A778" s="1" t="n">
        <f aca="false">1+A777</f>
        <v>777</v>
      </c>
      <c r="B778" s="1" t="n">
        <v>0.759283</v>
      </c>
    </row>
    <row r="779" customFormat="false" ht="13.8" hidden="false" customHeight="false" outlineLevel="0" collapsed="false">
      <c r="A779" s="1" t="n">
        <f aca="false">1+A778</f>
        <v>778</v>
      </c>
      <c r="B779" s="1" t="n">
        <v>0.753435</v>
      </c>
    </row>
    <row r="780" customFormat="false" ht="13.8" hidden="false" customHeight="false" outlineLevel="0" collapsed="false">
      <c r="A780" s="1" t="n">
        <f aca="false">1+A779</f>
        <v>779</v>
      </c>
      <c r="B780" s="1" t="n">
        <v>0.737624</v>
      </c>
    </row>
    <row r="781" customFormat="false" ht="13.8" hidden="false" customHeight="false" outlineLevel="0" collapsed="false">
      <c r="A781" s="1" t="n">
        <f aca="false">1+A780</f>
        <v>780</v>
      </c>
      <c r="B781" s="1" t="n">
        <v>0.74133</v>
      </c>
    </row>
    <row r="782" customFormat="false" ht="13.8" hidden="false" customHeight="false" outlineLevel="0" collapsed="false">
      <c r="A782" s="1" t="n">
        <f aca="false">1+A781</f>
        <v>781</v>
      </c>
      <c r="B782" s="1" t="n">
        <v>0.739815</v>
      </c>
    </row>
    <row r="783" customFormat="false" ht="13.8" hidden="false" customHeight="false" outlineLevel="0" collapsed="false">
      <c r="A783" s="1" t="n">
        <f aca="false">1+A782</f>
        <v>782</v>
      </c>
      <c r="B783" s="1" t="n">
        <v>0.743793</v>
      </c>
    </row>
    <row r="784" customFormat="false" ht="13.8" hidden="false" customHeight="false" outlineLevel="0" collapsed="false">
      <c r="A784" s="1" t="n">
        <f aca="false">1+A783</f>
        <v>783</v>
      </c>
      <c r="B784" s="1" t="n">
        <v>0.748495</v>
      </c>
    </row>
    <row r="785" customFormat="false" ht="13.8" hidden="false" customHeight="false" outlineLevel="0" collapsed="false">
      <c r="A785" s="1" t="n">
        <f aca="false">1+A784</f>
        <v>784</v>
      </c>
      <c r="B785" s="1" t="n">
        <v>0.746724</v>
      </c>
    </row>
    <row r="786" customFormat="false" ht="13.8" hidden="false" customHeight="false" outlineLevel="0" collapsed="false">
      <c r="A786" s="1" t="n">
        <f aca="false">1+A785</f>
        <v>785</v>
      </c>
      <c r="B786" s="1" t="n">
        <v>0.736008</v>
      </c>
    </row>
    <row r="787" customFormat="false" ht="13.8" hidden="false" customHeight="false" outlineLevel="0" collapsed="false">
      <c r="A787" s="1" t="n">
        <f aca="false">1+A786</f>
        <v>786</v>
      </c>
      <c r="B787" s="1" t="n">
        <v>0.734841</v>
      </c>
    </row>
    <row r="788" customFormat="false" ht="13.8" hidden="false" customHeight="false" outlineLevel="0" collapsed="false">
      <c r="A788" s="1" t="n">
        <f aca="false">1+A787</f>
        <v>787</v>
      </c>
      <c r="B788" s="1" t="n">
        <v>0.723439</v>
      </c>
    </row>
    <row r="789" customFormat="false" ht="13.8" hidden="false" customHeight="false" outlineLevel="0" collapsed="false">
      <c r="A789" s="1" t="n">
        <f aca="false">1+A788</f>
        <v>788</v>
      </c>
      <c r="B789" s="1" t="n">
        <v>0.712021</v>
      </c>
    </row>
    <row r="790" customFormat="false" ht="13.8" hidden="false" customHeight="false" outlineLevel="0" collapsed="false">
      <c r="A790" s="1" t="n">
        <f aca="false">1+A789</f>
        <v>789</v>
      </c>
      <c r="B790" s="1" t="n">
        <v>0.704814</v>
      </c>
    </row>
    <row r="791" customFormat="false" ht="13.8" hidden="false" customHeight="false" outlineLevel="0" collapsed="false">
      <c r="A791" s="1" t="n">
        <f aca="false">1+A790</f>
        <v>790</v>
      </c>
      <c r="B791" s="1" t="n">
        <v>0.698236</v>
      </c>
    </row>
    <row r="792" customFormat="false" ht="13.8" hidden="false" customHeight="false" outlineLevel="0" collapsed="false">
      <c r="A792" s="1" t="n">
        <f aca="false">1+A791</f>
        <v>791</v>
      </c>
      <c r="B792" s="1" t="n">
        <v>0.696643</v>
      </c>
    </row>
    <row r="793" customFormat="false" ht="13.8" hidden="false" customHeight="false" outlineLevel="0" collapsed="false">
      <c r="A793" s="1" t="n">
        <f aca="false">1+A792</f>
        <v>792</v>
      </c>
      <c r="B793" s="1" t="n">
        <v>0.699634</v>
      </c>
    </row>
    <row r="794" customFormat="false" ht="13.8" hidden="false" customHeight="false" outlineLevel="0" collapsed="false">
      <c r="A794" s="1" t="n">
        <f aca="false">1+A793</f>
        <v>793</v>
      </c>
      <c r="B794" s="1" t="n">
        <v>0.702838</v>
      </c>
    </row>
    <row r="795" customFormat="false" ht="13.8" hidden="false" customHeight="false" outlineLevel="0" collapsed="false">
      <c r="A795" s="1" t="n">
        <f aca="false">1+A794</f>
        <v>794</v>
      </c>
      <c r="B795" s="1" t="n">
        <v>0.701435</v>
      </c>
    </row>
    <row r="796" customFormat="false" ht="13.8" hidden="false" customHeight="false" outlineLevel="0" collapsed="false">
      <c r="A796" s="1" t="n">
        <f aca="false">1+A795</f>
        <v>795</v>
      </c>
      <c r="B796" s="1" t="n">
        <v>0.694893</v>
      </c>
    </row>
    <row r="797" customFormat="false" ht="13.8" hidden="false" customHeight="false" outlineLevel="0" collapsed="false">
      <c r="A797" s="1" t="n">
        <f aca="false">1+A796</f>
        <v>796</v>
      </c>
      <c r="B797" s="1" t="n">
        <v>0.693316</v>
      </c>
    </row>
    <row r="798" customFormat="false" ht="13.8" hidden="false" customHeight="false" outlineLevel="0" collapsed="false">
      <c r="A798" s="1" t="n">
        <f aca="false">1+A797</f>
        <v>797</v>
      </c>
      <c r="B798" s="1" t="n">
        <v>0.68564</v>
      </c>
    </row>
    <row r="799" customFormat="false" ht="13.8" hidden="false" customHeight="false" outlineLevel="0" collapsed="false">
      <c r="A799" s="1" t="n">
        <f aca="false">1+A798</f>
        <v>798</v>
      </c>
      <c r="B799" s="1" t="n">
        <v>0.689466</v>
      </c>
    </row>
    <row r="800" customFormat="false" ht="13.8" hidden="false" customHeight="false" outlineLevel="0" collapsed="false">
      <c r="A800" s="1" t="n">
        <f aca="false">1+A799</f>
        <v>799</v>
      </c>
      <c r="B800" s="1" t="n">
        <v>0.688137</v>
      </c>
    </row>
    <row r="801" customFormat="false" ht="13.8" hidden="false" customHeight="false" outlineLevel="0" collapsed="false">
      <c r="A801" s="1" t="n">
        <f aca="false">1+A800</f>
        <v>800</v>
      </c>
      <c r="B801" s="1" t="n">
        <v>0.686866</v>
      </c>
    </row>
    <row r="802" customFormat="false" ht="13.8" hidden="false" customHeight="false" outlineLevel="0" collapsed="false">
      <c r="A802" s="1" t="n">
        <f aca="false">1+A801</f>
        <v>801</v>
      </c>
      <c r="B802" s="1" t="n">
        <v>0.684588</v>
      </c>
    </row>
    <row r="803" customFormat="false" ht="13.8" hidden="false" customHeight="false" outlineLevel="0" collapsed="false">
      <c r="A803" s="1" t="n">
        <f aca="false">1+A802</f>
        <v>802</v>
      </c>
      <c r="B803" s="1" t="n">
        <v>0.687304</v>
      </c>
    </row>
    <row r="804" customFormat="false" ht="13.8" hidden="false" customHeight="false" outlineLevel="0" collapsed="false">
      <c r="A804" s="1" t="n">
        <f aca="false">1+A803</f>
        <v>803</v>
      </c>
      <c r="B804" s="1" t="n">
        <v>0.685624</v>
      </c>
    </row>
    <row r="805" customFormat="false" ht="13.8" hidden="false" customHeight="false" outlineLevel="0" collapsed="false">
      <c r="A805" s="1" t="n">
        <f aca="false">1+A804</f>
        <v>804</v>
      </c>
      <c r="B805" s="1" t="n">
        <v>0.688682</v>
      </c>
    </row>
    <row r="806" customFormat="false" ht="13.8" hidden="false" customHeight="false" outlineLevel="0" collapsed="false">
      <c r="A806" s="1" t="n">
        <f aca="false">1+A805</f>
        <v>805</v>
      </c>
      <c r="B806" s="1" t="n">
        <v>0.686252</v>
      </c>
    </row>
    <row r="807" customFormat="false" ht="13.8" hidden="false" customHeight="false" outlineLevel="0" collapsed="false">
      <c r="A807" s="1" t="n">
        <f aca="false">1+A806</f>
        <v>806</v>
      </c>
      <c r="B807" s="1" t="n">
        <v>0.677677</v>
      </c>
    </row>
    <row r="808" customFormat="false" ht="13.8" hidden="false" customHeight="false" outlineLevel="0" collapsed="false">
      <c r="A808" s="1" t="n">
        <f aca="false">1+A807</f>
        <v>807</v>
      </c>
      <c r="B808" s="1" t="n">
        <v>0.67018</v>
      </c>
    </row>
    <row r="809" customFormat="false" ht="13.8" hidden="false" customHeight="false" outlineLevel="0" collapsed="false">
      <c r="A809" s="1" t="n">
        <f aca="false">1+A808</f>
        <v>808</v>
      </c>
      <c r="B809" s="1" t="n">
        <v>0.656266</v>
      </c>
    </row>
    <row r="810" customFormat="false" ht="13.8" hidden="false" customHeight="false" outlineLevel="0" collapsed="false">
      <c r="A810" s="1" t="n">
        <f aca="false">1+A809</f>
        <v>809</v>
      </c>
      <c r="B810" s="1" t="n">
        <v>0.647923</v>
      </c>
    </row>
    <row r="811" customFormat="false" ht="13.8" hidden="false" customHeight="false" outlineLevel="0" collapsed="false">
      <c r="A811" s="1" t="n">
        <f aca="false">1+A810</f>
        <v>810</v>
      </c>
      <c r="B811" s="1" t="n">
        <v>0.651352</v>
      </c>
    </row>
    <row r="812" customFormat="false" ht="13.8" hidden="false" customHeight="false" outlineLevel="0" collapsed="false">
      <c r="A812" s="1" t="n">
        <f aca="false">1+A811</f>
        <v>811</v>
      </c>
      <c r="B812" s="1" t="n">
        <v>0.654588</v>
      </c>
    </row>
    <row r="813" customFormat="false" ht="13.8" hidden="false" customHeight="false" outlineLevel="0" collapsed="false">
      <c r="A813" s="1" t="n">
        <f aca="false">1+A812</f>
        <v>812</v>
      </c>
      <c r="B813" s="1" t="n">
        <v>0.652289</v>
      </c>
    </row>
    <row r="814" customFormat="false" ht="13.8" hidden="false" customHeight="false" outlineLevel="0" collapsed="false">
      <c r="A814" s="1" t="n">
        <f aca="false">1+A813</f>
        <v>813</v>
      </c>
      <c r="B814" s="1" t="n">
        <v>0.638109</v>
      </c>
    </row>
    <row r="815" customFormat="false" ht="13.8" hidden="false" customHeight="false" outlineLevel="0" collapsed="false">
      <c r="A815" s="1" t="n">
        <f aca="false">1+A814</f>
        <v>814</v>
      </c>
      <c r="B815" s="1" t="n">
        <v>0.629903</v>
      </c>
    </row>
    <row r="816" customFormat="false" ht="13.8" hidden="false" customHeight="false" outlineLevel="0" collapsed="false">
      <c r="A816" s="1" t="n">
        <f aca="false">1+A815</f>
        <v>815</v>
      </c>
      <c r="B816" s="1" t="n">
        <v>0.621341</v>
      </c>
    </row>
    <row r="817" customFormat="false" ht="13.8" hidden="false" customHeight="false" outlineLevel="0" collapsed="false">
      <c r="A817" s="1" t="n">
        <f aca="false">1+A816</f>
        <v>816</v>
      </c>
      <c r="B817" s="1" t="n">
        <v>0.613054</v>
      </c>
    </row>
    <row r="818" customFormat="false" ht="13.8" hidden="false" customHeight="false" outlineLevel="0" collapsed="false">
      <c r="A818" s="1" t="n">
        <f aca="false">1+A817</f>
        <v>817</v>
      </c>
      <c r="B818" s="1" t="n">
        <v>0.610161</v>
      </c>
    </row>
    <row r="819" customFormat="false" ht="13.8" hidden="false" customHeight="false" outlineLevel="0" collapsed="false">
      <c r="A819" s="1" t="n">
        <f aca="false">1+A818</f>
        <v>818</v>
      </c>
      <c r="B819" s="1" t="n">
        <v>0.607792</v>
      </c>
    </row>
    <row r="820" customFormat="false" ht="13.8" hidden="false" customHeight="false" outlineLevel="0" collapsed="false">
      <c r="A820" s="1" t="n">
        <f aca="false">1+A819</f>
        <v>819</v>
      </c>
      <c r="B820" s="1" t="n">
        <v>0.604506</v>
      </c>
    </row>
    <row r="821" customFormat="false" ht="13.8" hidden="false" customHeight="false" outlineLevel="0" collapsed="false">
      <c r="A821" s="1" t="n">
        <f aca="false">1+A820</f>
        <v>820</v>
      </c>
      <c r="B821" s="1" t="n">
        <v>0.60725</v>
      </c>
    </row>
    <row r="822" customFormat="false" ht="13.8" hidden="false" customHeight="false" outlineLevel="0" collapsed="false">
      <c r="A822" s="1" t="n">
        <f aca="false">1+A821</f>
        <v>821</v>
      </c>
      <c r="B822" s="1" t="n">
        <v>0.610583</v>
      </c>
    </row>
    <row r="823" customFormat="false" ht="13.8" hidden="false" customHeight="false" outlineLevel="0" collapsed="false">
      <c r="A823" s="1" t="n">
        <f aca="false">1+A822</f>
        <v>822</v>
      </c>
      <c r="B823" s="1" t="n">
        <v>0.60794</v>
      </c>
    </row>
    <row r="824" customFormat="false" ht="13.8" hidden="false" customHeight="false" outlineLevel="0" collapsed="false">
      <c r="A824" s="1" t="n">
        <f aca="false">1+A823</f>
        <v>823</v>
      </c>
      <c r="B824" s="1" t="n">
        <v>0.598653</v>
      </c>
    </row>
    <row r="825" customFormat="false" ht="13.8" hidden="false" customHeight="false" outlineLevel="0" collapsed="false">
      <c r="A825" s="1" t="n">
        <f aca="false">1+A824</f>
        <v>824</v>
      </c>
      <c r="B825" s="1" t="n">
        <v>0.595649</v>
      </c>
    </row>
    <row r="826" customFormat="false" ht="13.8" hidden="false" customHeight="false" outlineLevel="0" collapsed="false">
      <c r="A826" s="1" t="n">
        <f aca="false">1+A825</f>
        <v>825</v>
      </c>
      <c r="B826" s="1" t="n">
        <v>0.599029</v>
      </c>
    </row>
    <row r="827" customFormat="false" ht="13.8" hidden="false" customHeight="false" outlineLevel="0" collapsed="false">
      <c r="A827" s="1" t="n">
        <f aca="false">1+A826</f>
        <v>826</v>
      </c>
      <c r="B827" s="1" t="n">
        <v>0.595464</v>
      </c>
    </row>
    <row r="828" customFormat="false" ht="13.8" hidden="false" customHeight="false" outlineLevel="0" collapsed="false">
      <c r="A828" s="1" t="n">
        <f aca="false">1+A827</f>
        <v>827</v>
      </c>
      <c r="B828" s="1" t="n">
        <v>0.597774</v>
      </c>
    </row>
    <row r="829" customFormat="false" ht="13.8" hidden="false" customHeight="false" outlineLevel="0" collapsed="false">
      <c r="A829" s="1" t="n">
        <f aca="false">1+A828</f>
        <v>828</v>
      </c>
      <c r="B829" s="1" t="n">
        <v>0.600908</v>
      </c>
    </row>
    <row r="830" customFormat="false" ht="13.8" hidden="false" customHeight="false" outlineLevel="0" collapsed="false">
      <c r="A830" s="1" t="n">
        <f aca="false">1+A829</f>
        <v>829</v>
      </c>
      <c r="B830" s="1" t="n">
        <v>0.603841</v>
      </c>
    </row>
    <row r="831" customFormat="false" ht="13.8" hidden="false" customHeight="false" outlineLevel="0" collapsed="false">
      <c r="A831" s="1" t="n">
        <f aca="false">1+A830</f>
        <v>830</v>
      </c>
      <c r="B831" s="1" t="n">
        <v>0.594699</v>
      </c>
    </row>
    <row r="832" customFormat="false" ht="13.8" hidden="false" customHeight="false" outlineLevel="0" collapsed="false">
      <c r="A832" s="1" t="n">
        <f aca="false">1+A831</f>
        <v>831</v>
      </c>
      <c r="B832" s="1" t="n">
        <v>0.59137</v>
      </c>
    </row>
    <row r="833" customFormat="false" ht="13.8" hidden="false" customHeight="false" outlineLevel="0" collapsed="false">
      <c r="A833" s="1" t="n">
        <f aca="false">1+A832</f>
        <v>832</v>
      </c>
      <c r="B833" s="1" t="n">
        <v>0.581357</v>
      </c>
    </row>
    <row r="834" customFormat="false" ht="13.8" hidden="false" customHeight="false" outlineLevel="0" collapsed="false">
      <c r="A834" s="1" t="n">
        <f aca="false">1+A833</f>
        <v>833</v>
      </c>
      <c r="B834" s="1" t="n">
        <v>0.584181</v>
      </c>
    </row>
    <row r="835" customFormat="false" ht="13.8" hidden="false" customHeight="false" outlineLevel="0" collapsed="false">
      <c r="A835" s="1" t="n">
        <f aca="false">1+A834</f>
        <v>834</v>
      </c>
      <c r="B835" s="1" t="n">
        <v>0.587033</v>
      </c>
    </row>
    <row r="836" customFormat="false" ht="13.8" hidden="false" customHeight="false" outlineLevel="0" collapsed="false">
      <c r="A836" s="1" t="n">
        <f aca="false">1+A835</f>
        <v>835</v>
      </c>
      <c r="B836" s="1" t="n">
        <v>0.582627</v>
      </c>
    </row>
    <row r="837" customFormat="false" ht="13.8" hidden="false" customHeight="false" outlineLevel="0" collapsed="false">
      <c r="A837" s="1" t="n">
        <f aca="false">1+A836</f>
        <v>836</v>
      </c>
      <c r="B837" s="1" t="n">
        <v>0.58534</v>
      </c>
    </row>
    <row r="838" customFormat="false" ht="13.8" hidden="false" customHeight="false" outlineLevel="0" collapsed="false">
      <c r="A838" s="1" t="n">
        <f aca="false">1+A837</f>
        <v>837</v>
      </c>
      <c r="B838" s="1" t="n">
        <v>0.581124</v>
      </c>
    </row>
    <row r="839" customFormat="false" ht="13.8" hidden="false" customHeight="false" outlineLevel="0" collapsed="false">
      <c r="A839" s="1" t="n">
        <f aca="false">1+A838</f>
        <v>838</v>
      </c>
      <c r="B839" s="1" t="n">
        <v>0.583736</v>
      </c>
    </row>
    <row r="840" customFormat="false" ht="13.8" hidden="false" customHeight="false" outlineLevel="0" collapsed="false">
      <c r="A840" s="1" t="n">
        <f aca="false">1+A839</f>
        <v>839</v>
      </c>
      <c r="B840" s="1" t="n">
        <v>0.57971</v>
      </c>
    </row>
    <row r="841" customFormat="false" ht="13.8" hidden="false" customHeight="false" outlineLevel="0" collapsed="false">
      <c r="A841" s="1" t="n">
        <f aca="false">1+A840</f>
        <v>840</v>
      </c>
      <c r="B841" s="1" t="n">
        <v>0.569839</v>
      </c>
    </row>
    <row r="842" customFormat="false" ht="13.8" hidden="false" customHeight="false" outlineLevel="0" collapsed="false">
      <c r="A842" s="1" t="n">
        <f aca="false">1+A841</f>
        <v>841</v>
      </c>
      <c r="B842" s="1" t="n">
        <v>0.565742</v>
      </c>
    </row>
    <row r="843" customFormat="false" ht="13.8" hidden="false" customHeight="false" outlineLevel="0" collapsed="false">
      <c r="A843" s="1" t="n">
        <f aca="false">1+A842</f>
        <v>842</v>
      </c>
      <c r="B843" s="1" t="n">
        <v>0.569468</v>
      </c>
    </row>
    <row r="844" customFormat="false" ht="13.8" hidden="false" customHeight="false" outlineLevel="0" collapsed="false">
      <c r="A844" s="1" t="n">
        <f aca="false">1+A843</f>
        <v>843</v>
      </c>
      <c r="B844" s="1" t="n">
        <v>0.572493</v>
      </c>
    </row>
    <row r="845" customFormat="false" ht="13.8" hidden="false" customHeight="false" outlineLevel="0" collapsed="false">
      <c r="A845" s="1" t="n">
        <f aca="false">1+A844</f>
        <v>844</v>
      </c>
      <c r="B845" s="1" t="n">
        <v>0.5683</v>
      </c>
    </row>
    <row r="846" customFormat="false" ht="13.8" hidden="false" customHeight="false" outlineLevel="0" collapsed="false">
      <c r="A846" s="1" t="n">
        <f aca="false">1+A845</f>
        <v>845</v>
      </c>
      <c r="B846" s="1" t="n">
        <v>0.571588</v>
      </c>
    </row>
    <row r="847" customFormat="false" ht="13.8" hidden="false" customHeight="false" outlineLevel="0" collapsed="false">
      <c r="A847" s="1" t="n">
        <f aca="false">1+A846</f>
        <v>846</v>
      </c>
      <c r="B847" s="1" t="n">
        <v>0.574189</v>
      </c>
    </row>
    <row r="848" customFormat="false" ht="13.8" hidden="false" customHeight="false" outlineLevel="0" collapsed="false">
      <c r="A848" s="1" t="n">
        <f aca="false">1+A847</f>
        <v>847</v>
      </c>
      <c r="B848" s="1" t="n">
        <v>0.56974</v>
      </c>
    </row>
    <row r="849" customFormat="false" ht="13.8" hidden="false" customHeight="false" outlineLevel="0" collapsed="false">
      <c r="A849" s="1" t="n">
        <f aca="false">1+A848</f>
        <v>848</v>
      </c>
      <c r="B849" s="1" t="n">
        <v>0.572155</v>
      </c>
    </row>
    <row r="850" customFormat="false" ht="13.8" hidden="false" customHeight="false" outlineLevel="0" collapsed="false">
      <c r="A850" s="1" t="n">
        <f aca="false">1+A849</f>
        <v>849</v>
      </c>
      <c r="B850" s="1" t="n">
        <v>0.56794</v>
      </c>
    </row>
    <row r="851" customFormat="false" ht="13.8" hidden="false" customHeight="false" outlineLevel="0" collapsed="false">
      <c r="A851" s="1" t="n">
        <f aca="false">1+A850</f>
        <v>850</v>
      </c>
      <c r="B851" s="1" t="n">
        <v>0.557023</v>
      </c>
    </row>
    <row r="852" customFormat="false" ht="13.8" hidden="false" customHeight="false" outlineLevel="0" collapsed="false">
      <c r="A852" s="1" t="n">
        <f aca="false">1+A851</f>
        <v>851</v>
      </c>
      <c r="B852" s="1" t="n">
        <v>0.538059</v>
      </c>
    </row>
    <row r="853" customFormat="false" ht="13.8" hidden="false" customHeight="false" outlineLevel="0" collapsed="false">
      <c r="A853" s="1" t="n">
        <f aca="false">1+A852</f>
        <v>852</v>
      </c>
      <c r="B853" s="1" t="n">
        <v>0.54058</v>
      </c>
    </row>
    <row r="854" customFormat="false" ht="13.8" hidden="false" customHeight="false" outlineLevel="0" collapsed="false">
      <c r="A854" s="1" t="n">
        <f aca="false">1+A853</f>
        <v>853</v>
      </c>
      <c r="B854" s="1" t="n">
        <v>0.536504</v>
      </c>
    </row>
    <row r="855" customFormat="false" ht="13.8" hidden="false" customHeight="false" outlineLevel="0" collapsed="false">
      <c r="A855" s="1" t="n">
        <f aca="false">1+A854</f>
        <v>854</v>
      </c>
      <c r="B855" s="1" t="n">
        <v>0.539791</v>
      </c>
    </row>
    <row r="856" customFormat="false" ht="13.8" hidden="false" customHeight="false" outlineLevel="0" collapsed="false">
      <c r="A856" s="1" t="n">
        <f aca="false">1+A855</f>
        <v>855</v>
      </c>
      <c r="B856" s="1" t="n">
        <v>0.542283</v>
      </c>
    </row>
    <row r="857" customFormat="false" ht="13.8" hidden="false" customHeight="false" outlineLevel="0" collapsed="false">
      <c r="A857" s="1" t="n">
        <f aca="false">1+A856</f>
        <v>856</v>
      </c>
      <c r="B857" s="1" t="n">
        <v>0.544839</v>
      </c>
    </row>
    <row r="858" customFormat="false" ht="13.8" hidden="false" customHeight="false" outlineLevel="0" collapsed="false">
      <c r="A858" s="1" t="n">
        <f aca="false">1+A857</f>
        <v>857</v>
      </c>
      <c r="B858" s="1" t="n">
        <v>0.547661</v>
      </c>
    </row>
    <row r="859" customFormat="false" ht="13.8" hidden="false" customHeight="false" outlineLevel="0" collapsed="false">
      <c r="A859" s="1" t="n">
        <f aca="false">1+A858</f>
        <v>858</v>
      </c>
      <c r="B859" s="1" t="n">
        <v>0.550554</v>
      </c>
    </row>
    <row r="860" customFormat="false" ht="13.8" hidden="false" customHeight="false" outlineLevel="0" collapsed="false">
      <c r="A860" s="1" t="n">
        <f aca="false">1+A859</f>
        <v>859</v>
      </c>
      <c r="B860" s="1" t="n">
        <v>0.545754</v>
      </c>
    </row>
    <row r="861" customFormat="false" ht="13.8" hidden="false" customHeight="false" outlineLevel="0" collapsed="false">
      <c r="A861" s="1" t="n">
        <f aca="false">1+A860</f>
        <v>860</v>
      </c>
      <c r="B861" s="1" t="n">
        <v>0.540865</v>
      </c>
    </row>
    <row r="862" customFormat="false" ht="13.8" hidden="false" customHeight="false" outlineLevel="0" collapsed="false">
      <c r="A862" s="1" t="n">
        <f aca="false">1+A861</f>
        <v>861</v>
      </c>
      <c r="B862" s="1" t="n">
        <v>0.535445</v>
      </c>
    </row>
    <row r="863" customFormat="false" ht="13.8" hidden="false" customHeight="false" outlineLevel="0" collapsed="false">
      <c r="A863" s="1" t="n">
        <f aca="false">1+A862</f>
        <v>862</v>
      </c>
      <c r="B863" s="1" t="n">
        <v>0.538164</v>
      </c>
    </row>
    <row r="864" customFormat="false" ht="13.8" hidden="false" customHeight="false" outlineLevel="0" collapsed="false">
      <c r="A864" s="1" t="n">
        <f aca="false">1+A863</f>
        <v>863</v>
      </c>
      <c r="B864" s="1" t="n">
        <v>0.533171</v>
      </c>
    </row>
    <row r="865" customFormat="false" ht="13.8" hidden="false" customHeight="false" outlineLevel="0" collapsed="false">
      <c r="A865" s="1" t="n">
        <f aca="false">1+A864</f>
        <v>864</v>
      </c>
      <c r="B865" s="1" t="n">
        <v>0.536563</v>
      </c>
    </row>
    <row r="866" customFormat="false" ht="13.8" hidden="false" customHeight="false" outlineLevel="0" collapsed="false">
      <c r="A866" s="1" t="n">
        <f aca="false">1+A865</f>
        <v>865</v>
      </c>
      <c r="B866" s="1" t="n">
        <v>0.523681</v>
      </c>
    </row>
    <row r="867" customFormat="false" ht="13.8" hidden="false" customHeight="false" outlineLevel="0" collapsed="false">
      <c r="A867" s="1" t="n">
        <f aca="false">1+A866</f>
        <v>866</v>
      </c>
      <c r="B867" s="1" t="n">
        <v>0.518335</v>
      </c>
    </row>
    <row r="868" customFormat="false" ht="13.8" hidden="false" customHeight="false" outlineLevel="0" collapsed="false">
      <c r="A868" s="1" t="n">
        <f aca="false">1+A867</f>
        <v>867</v>
      </c>
      <c r="B868" s="1" t="n">
        <v>0.521279</v>
      </c>
    </row>
    <row r="869" customFormat="false" ht="13.8" hidden="false" customHeight="false" outlineLevel="0" collapsed="false">
      <c r="A869" s="1" t="n">
        <f aca="false">1+A868</f>
        <v>868</v>
      </c>
      <c r="B869" s="1" t="n">
        <v>0.523315</v>
      </c>
    </row>
    <row r="870" customFormat="false" ht="13.8" hidden="false" customHeight="false" outlineLevel="0" collapsed="false">
      <c r="A870" s="1" t="n">
        <f aca="false">1+A869</f>
        <v>869</v>
      </c>
      <c r="B870" s="1" t="n">
        <v>0.526109</v>
      </c>
    </row>
    <row r="871" customFormat="false" ht="13.8" hidden="false" customHeight="false" outlineLevel="0" collapsed="false">
      <c r="A871" s="1" t="n">
        <f aca="false">1+A870</f>
        <v>870</v>
      </c>
      <c r="B871" s="1" t="n">
        <v>0.512942</v>
      </c>
    </row>
    <row r="872" customFormat="false" ht="13.8" hidden="false" customHeight="false" outlineLevel="0" collapsed="false">
      <c r="A872" s="1" t="n">
        <f aca="false">1+A871</f>
        <v>871</v>
      </c>
      <c r="B872" s="1" t="n">
        <v>0.507614</v>
      </c>
    </row>
    <row r="873" customFormat="false" ht="13.8" hidden="false" customHeight="false" outlineLevel="0" collapsed="false">
      <c r="A873" s="1" t="n">
        <f aca="false">1+A872</f>
        <v>872</v>
      </c>
      <c r="B873" s="1" t="n">
        <v>0.51053</v>
      </c>
    </row>
    <row r="874" customFormat="false" ht="13.8" hidden="false" customHeight="false" outlineLevel="0" collapsed="false">
      <c r="A874" s="1" t="n">
        <f aca="false">1+A873</f>
        <v>873</v>
      </c>
      <c r="B874" s="1" t="n">
        <v>0.513726</v>
      </c>
    </row>
    <row r="875" customFormat="false" ht="13.8" hidden="false" customHeight="false" outlineLevel="0" collapsed="false">
      <c r="A875" s="1" t="n">
        <f aca="false">1+A874</f>
        <v>874</v>
      </c>
      <c r="B875" s="1" t="n">
        <v>0.515963</v>
      </c>
    </row>
    <row r="876" customFormat="false" ht="13.8" hidden="false" customHeight="false" outlineLevel="0" collapsed="false">
      <c r="A876" s="1" t="n">
        <f aca="false">1+A875</f>
        <v>875</v>
      </c>
      <c r="B876" s="1" t="n">
        <v>0.502309</v>
      </c>
    </row>
    <row r="877" customFormat="false" ht="13.8" hidden="false" customHeight="false" outlineLevel="0" collapsed="false">
      <c r="A877" s="1" t="n">
        <f aca="false">1+A876</f>
        <v>876</v>
      </c>
      <c r="B877" s="1" t="n">
        <v>0.504763</v>
      </c>
    </row>
    <row r="878" customFormat="false" ht="13.8" hidden="false" customHeight="false" outlineLevel="0" collapsed="false">
      <c r="A878" s="1" t="n">
        <f aca="false">1+A877</f>
        <v>877</v>
      </c>
      <c r="B878" s="1" t="n">
        <v>0.507822</v>
      </c>
    </row>
    <row r="879" customFormat="false" ht="13.8" hidden="false" customHeight="false" outlineLevel="0" collapsed="false">
      <c r="A879" s="1" t="n">
        <f aca="false">1+A878</f>
        <v>878</v>
      </c>
      <c r="B879" s="1" t="n">
        <v>0.510498</v>
      </c>
    </row>
    <row r="880" customFormat="false" ht="13.8" hidden="false" customHeight="false" outlineLevel="0" collapsed="false">
      <c r="A880" s="1" t="n">
        <f aca="false">1+A879</f>
        <v>879</v>
      </c>
      <c r="B880" s="1" t="n">
        <v>0.512693</v>
      </c>
    </row>
    <row r="881" customFormat="false" ht="13.8" hidden="false" customHeight="false" outlineLevel="0" collapsed="false">
      <c r="A881" s="1" t="n">
        <f aca="false">1+A880</f>
        <v>880</v>
      </c>
      <c r="B881" s="1" t="n">
        <v>0.51525</v>
      </c>
    </row>
    <row r="882" customFormat="false" ht="13.8" hidden="false" customHeight="false" outlineLevel="0" collapsed="false">
      <c r="A882" s="1" t="n">
        <f aca="false">1+A881</f>
        <v>881</v>
      </c>
      <c r="B882" s="1" t="n">
        <v>0.501379</v>
      </c>
    </row>
    <row r="883" customFormat="false" ht="13.8" hidden="false" customHeight="false" outlineLevel="0" collapsed="false">
      <c r="A883" s="1" t="n">
        <f aca="false">1+A882</f>
        <v>882</v>
      </c>
      <c r="B883" s="1" t="n">
        <v>0.503525</v>
      </c>
    </row>
    <row r="884" customFormat="false" ht="13.8" hidden="false" customHeight="false" outlineLevel="0" collapsed="false">
      <c r="A884" s="1" t="n">
        <f aca="false">1+A883</f>
        <v>883</v>
      </c>
      <c r="B884" s="1" t="n">
        <v>0.506415</v>
      </c>
    </row>
    <row r="885" customFormat="false" ht="13.8" hidden="false" customHeight="false" outlineLevel="0" collapsed="false">
      <c r="A885" s="1" t="n">
        <f aca="false">1+A884</f>
        <v>884</v>
      </c>
      <c r="B885" s="1" t="n">
        <v>0.509079</v>
      </c>
    </row>
    <row r="886" customFormat="false" ht="13.8" hidden="false" customHeight="false" outlineLevel="0" collapsed="false">
      <c r="A886" s="1" t="n">
        <f aca="false">1+A885</f>
        <v>885</v>
      </c>
      <c r="B886" s="1" t="n">
        <v>0.511858</v>
      </c>
    </row>
    <row r="887" customFormat="false" ht="13.8" hidden="false" customHeight="false" outlineLevel="0" collapsed="false">
      <c r="A887" s="1" t="n">
        <f aca="false">1+A886</f>
        <v>886</v>
      </c>
      <c r="B887" s="1" t="n">
        <v>0.514447</v>
      </c>
    </row>
    <row r="888" customFormat="false" ht="13.8" hidden="false" customHeight="false" outlineLevel="0" collapsed="false">
      <c r="A888" s="1" t="n">
        <f aca="false">1+A887</f>
        <v>887</v>
      </c>
      <c r="B888" s="1" t="n">
        <v>0.508621</v>
      </c>
    </row>
    <row r="889" customFormat="false" ht="13.8" hidden="false" customHeight="false" outlineLevel="0" collapsed="false">
      <c r="A889" s="1" t="n">
        <f aca="false">1+A888</f>
        <v>888</v>
      </c>
      <c r="B889" s="1" t="n">
        <v>0.510734</v>
      </c>
    </row>
    <row r="890" customFormat="false" ht="13.8" hidden="false" customHeight="false" outlineLevel="0" collapsed="false">
      <c r="A890" s="1" t="n">
        <f aca="false">1+A889</f>
        <v>889</v>
      </c>
      <c r="B890" s="1" t="n">
        <v>0.512553</v>
      </c>
    </row>
    <row r="891" customFormat="false" ht="13.8" hidden="false" customHeight="false" outlineLevel="0" collapsed="false">
      <c r="A891" s="1" t="n">
        <f aca="false">1+A890</f>
        <v>890</v>
      </c>
      <c r="B891" s="1" t="n">
        <v>0.515194</v>
      </c>
    </row>
    <row r="892" customFormat="false" ht="13.8" hidden="false" customHeight="false" outlineLevel="0" collapsed="false">
      <c r="A892" s="1" t="n">
        <f aca="false">1+A891</f>
        <v>891</v>
      </c>
      <c r="B892" s="1" t="n">
        <v>0.517726</v>
      </c>
    </row>
    <row r="893" customFormat="false" ht="13.8" hidden="false" customHeight="false" outlineLevel="0" collapsed="false">
      <c r="A893" s="1" t="n">
        <f aca="false">1+A892</f>
        <v>892</v>
      </c>
      <c r="B893" s="1" t="n">
        <v>0.510968</v>
      </c>
    </row>
    <row r="894" customFormat="false" ht="13.8" hidden="false" customHeight="false" outlineLevel="0" collapsed="false">
      <c r="A894" s="1" t="n">
        <f aca="false">1+A893</f>
        <v>893</v>
      </c>
      <c r="B894" s="1" t="n">
        <v>0.513456</v>
      </c>
    </row>
    <row r="895" customFormat="false" ht="13.8" hidden="false" customHeight="false" outlineLevel="0" collapsed="false">
      <c r="A895" s="1" t="n">
        <f aca="false">1+A894</f>
        <v>894</v>
      </c>
      <c r="B895" s="1" t="n">
        <v>0.497999</v>
      </c>
    </row>
    <row r="896" customFormat="false" ht="13.8" hidden="false" customHeight="false" outlineLevel="0" collapsed="false">
      <c r="A896" s="1" t="n">
        <f aca="false">1+A895</f>
        <v>895</v>
      </c>
      <c r="B896" s="1" t="n">
        <v>0.500447</v>
      </c>
    </row>
    <row r="897" customFormat="false" ht="13.8" hidden="false" customHeight="false" outlineLevel="0" collapsed="false">
      <c r="A897" s="1" t="n">
        <f aca="false">1+A896</f>
        <v>896</v>
      </c>
      <c r="B897" s="1" t="n">
        <v>0.485262</v>
      </c>
    </row>
    <row r="898" customFormat="false" ht="13.8" hidden="false" customHeight="false" outlineLevel="0" collapsed="false">
      <c r="A898" s="1" t="n">
        <f aca="false">1+A897</f>
        <v>897</v>
      </c>
      <c r="B898" s="1" t="n">
        <v>0.487849</v>
      </c>
    </row>
    <row r="899" customFormat="false" ht="13.8" hidden="false" customHeight="false" outlineLevel="0" collapsed="false">
      <c r="A899" s="1" t="n">
        <f aca="false">1+A898</f>
        <v>898</v>
      </c>
      <c r="B899" s="1" t="n">
        <v>0.489441</v>
      </c>
    </row>
    <row r="900" customFormat="false" ht="13.8" hidden="false" customHeight="false" outlineLevel="0" collapsed="false">
      <c r="A900" s="1" t="n">
        <f aca="false">1+A899</f>
        <v>899</v>
      </c>
      <c r="B900" s="1" t="n">
        <v>0.482608</v>
      </c>
    </row>
    <row r="901" customFormat="false" ht="13.8" hidden="false" customHeight="false" outlineLevel="0" collapsed="false">
      <c r="A901" s="1" t="n">
        <f aca="false">1+A900</f>
        <v>900</v>
      </c>
      <c r="B901" s="1" t="n">
        <v>0.476321</v>
      </c>
    </row>
    <row r="902" customFormat="false" ht="13.8" hidden="false" customHeight="false" outlineLevel="0" collapsed="false">
      <c r="A902" s="1" t="n">
        <f aca="false">1+A901</f>
        <v>901</v>
      </c>
      <c r="B902" s="1" t="n">
        <v>0.478865</v>
      </c>
    </row>
    <row r="903" customFormat="false" ht="13.8" hidden="false" customHeight="false" outlineLevel="0" collapsed="false">
      <c r="A903" s="1" t="n">
        <f aca="false">1+A902</f>
        <v>902</v>
      </c>
      <c r="B903" s="1" t="n">
        <v>0.471698</v>
      </c>
    </row>
    <row r="904" customFormat="false" ht="13.8" hidden="false" customHeight="false" outlineLevel="0" collapsed="false">
      <c r="A904" s="1" t="n">
        <f aca="false">1+A903</f>
        <v>903</v>
      </c>
      <c r="B904" s="1" t="n">
        <v>0.464943</v>
      </c>
    </row>
    <row r="905" customFormat="false" ht="13.8" hidden="false" customHeight="false" outlineLevel="0" collapsed="false">
      <c r="A905" s="1" t="n">
        <f aca="false">1+A904</f>
        <v>904</v>
      </c>
      <c r="B905" s="1" t="n">
        <v>0.467683</v>
      </c>
    </row>
    <row r="906" customFormat="false" ht="13.8" hidden="false" customHeight="false" outlineLevel="0" collapsed="false">
      <c r="A906" s="1" t="n">
        <f aca="false">1+A905</f>
        <v>905</v>
      </c>
      <c r="B906" s="1" t="n">
        <v>0.460613</v>
      </c>
    </row>
    <row r="907" customFormat="false" ht="13.8" hidden="false" customHeight="false" outlineLevel="0" collapsed="false">
      <c r="A907" s="1" t="n">
        <f aca="false">1+A906</f>
        <v>906</v>
      </c>
      <c r="B907" s="1" t="n">
        <v>0.462788</v>
      </c>
    </row>
    <row r="908" customFormat="false" ht="13.8" hidden="false" customHeight="false" outlineLevel="0" collapsed="false">
      <c r="A908" s="1" t="n">
        <f aca="false">1+A907</f>
        <v>907</v>
      </c>
      <c r="B908" s="1" t="n">
        <v>0.4561</v>
      </c>
    </row>
    <row r="909" customFormat="false" ht="13.8" hidden="false" customHeight="false" outlineLevel="0" collapsed="false">
      <c r="A909" s="1" t="n">
        <f aca="false">1+A908</f>
        <v>908</v>
      </c>
      <c r="B909" s="1" t="n">
        <v>0.448003</v>
      </c>
    </row>
    <row r="910" customFormat="false" ht="13.8" hidden="false" customHeight="false" outlineLevel="0" collapsed="false">
      <c r="A910" s="1" t="n">
        <f aca="false">1+A909</f>
        <v>909</v>
      </c>
      <c r="B910" s="1" t="n">
        <v>0.449675</v>
      </c>
    </row>
    <row r="911" customFormat="false" ht="13.8" hidden="false" customHeight="false" outlineLevel="0" collapsed="false">
      <c r="A911" s="1" t="n">
        <f aca="false">1+A910</f>
        <v>910</v>
      </c>
      <c r="B911" s="1" t="n">
        <v>0.451749</v>
      </c>
    </row>
    <row r="912" customFormat="false" ht="13.8" hidden="false" customHeight="false" outlineLevel="0" collapsed="false">
      <c r="A912" s="1" t="n">
        <f aca="false">1+A911</f>
        <v>911</v>
      </c>
      <c r="B912" s="1" t="n">
        <v>0.453712</v>
      </c>
    </row>
    <row r="913" customFormat="false" ht="13.8" hidden="false" customHeight="false" outlineLevel="0" collapsed="false">
      <c r="A913" s="1" t="n">
        <f aca="false">1+A912</f>
        <v>912</v>
      </c>
      <c r="B913" s="1" t="n">
        <v>0.455912</v>
      </c>
    </row>
    <row r="914" customFormat="false" ht="13.8" hidden="false" customHeight="false" outlineLevel="0" collapsed="false">
      <c r="A914" s="1" t="n">
        <f aca="false">1+A913</f>
        <v>913</v>
      </c>
      <c r="B914" s="1" t="n">
        <v>0.458671</v>
      </c>
    </row>
    <row r="915" customFormat="false" ht="13.8" hidden="false" customHeight="false" outlineLevel="0" collapsed="false">
      <c r="A915" s="1" t="n">
        <f aca="false">1+A914</f>
        <v>914</v>
      </c>
      <c r="B915" s="1" t="n">
        <v>0.460513</v>
      </c>
    </row>
    <row r="916" customFormat="false" ht="13.8" hidden="false" customHeight="false" outlineLevel="0" collapsed="false">
      <c r="A916" s="1" t="n">
        <f aca="false">1+A915</f>
        <v>915</v>
      </c>
      <c r="B916" s="1" t="n">
        <v>0.452756</v>
      </c>
    </row>
    <row r="917" customFormat="false" ht="13.8" hidden="false" customHeight="false" outlineLevel="0" collapsed="false">
      <c r="A917" s="1" t="n">
        <f aca="false">1+A916</f>
        <v>916</v>
      </c>
      <c r="B917" s="1" t="n">
        <v>0.45513</v>
      </c>
    </row>
    <row r="918" customFormat="false" ht="13.8" hidden="false" customHeight="false" outlineLevel="0" collapsed="false">
      <c r="A918" s="1" t="n">
        <f aca="false">1+A917</f>
        <v>917</v>
      </c>
      <c r="B918" s="1" t="n">
        <v>0.457848</v>
      </c>
    </row>
    <row r="919" customFormat="false" ht="13.8" hidden="false" customHeight="false" outlineLevel="0" collapsed="false">
      <c r="A919" s="1" t="n">
        <f aca="false">1+A918</f>
        <v>918</v>
      </c>
      <c r="B919" s="1" t="n">
        <v>0.45045</v>
      </c>
    </row>
    <row r="920" customFormat="false" ht="13.8" hidden="false" customHeight="false" outlineLevel="0" collapsed="false">
      <c r="A920" s="1" t="n">
        <f aca="false">1+A919</f>
        <v>919</v>
      </c>
      <c r="B920" s="1" t="n">
        <v>0.45258</v>
      </c>
    </row>
    <row r="921" customFormat="false" ht="13.8" hidden="false" customHeight="false" outlineLevel="0" collapsed="false">
      <c r="A921" s="1" t="n">
        <f aca="false">1+A920</f>
        <v>920</v>
      </c>
      <c r="B921" s="1" t="n">
        <v>0.455327</v>
      </c>
    </row>
    <row r="922" customFormat="false" ht="13.8" hidden="false" customHeight="false" outlineLevel="0" collapsed="false">
      <c r="A922" s="1" t="n">
        <f aca="false">1+A921</f>
        <v>921</v>
      </c>
      <c r="B922" s="1" t="n">
        <v>0.457736</v>
      </c>
    </row>
    <row r="923" customFormat="false" ht="13.8" hidden="false" customHeight="false" outlineLevel="0" collapsed="false">
      <c r="A923" s="1" t="n">
        <f aca="false">1+A922</f>
        <v>922</v>
      </c>
      <c r="B923" s="1" t="n">
        <v>0.460405</v>
      </c>
    </row>
    <row r="924" customFormat="false" ht="13.8" hidden="false" customHeight="false" outlineLevel="0" collapsed="false">
      <c r="A924" s="1" t="n">
        <f aca="false">1+A923</f>
        <v>923</v>
      </c>
      <c r="B924" s="1" t="n">
        <v>0.463106</v>
      </c>
    </row>
    <row r="925" customFormat="false" ht="13.8" hidden="false" customHeight="false" outlineLevel="0" collapsed="false">
      <c r="A925" s="1" t="n">
        <f aca="false">1+A924</f>
        <v>924</v>
      </c>
      <c r="B925" s="1" t="n">
        <v>0.465309</v>
      </c>
    </row>
    <row r="926" customFormat="false" ht="13.8" hidden="false" customHeight="false" outlineLevel="0" collapsed="false">
      <c r="A926" s="1" t="n">
        <f aca="false">1+A925</f>
        <v>925</v>
      </c>
      <c r="B926" s="1" t="n">
        <v>0.467824</v>
      </c>
    </row>
    <row r="927" customFormat="false" ht="13.8" hidden="false" customHeight="false" outlineLevel="0" collapsed="false">
      <c r="A927" s="1" t="n">
        <f aca="false">1+A926</f>
        <v>926</v>
      </c>
      <c r="B927" s="1" t="n">
        <v>0.459722</v>
      </c>
    </row>
    <row r="928" customFormat="false" ht="13.8" hidden="false" customHeight="false" outlineLevel="0" collapsed="false">
      <c r="A928" s="1" t="n">
        <f aca="false">1+A927</f>
        <v>927</v>
      </c>
      <c r="B928" s="1" t="n">
        <v>0.451017</v>
      </c>
    </row>
    <row r="929" customFormat="false" ht="13.8" hidden="false" customHeight="false" outlineLevel="0" collapsed="false">
      <c r="A929" s="1" t="n">
        <f aca="false">1+A928</f>
        <v>928</v>
      </c>
      <c r="B929" s="1" t="n">
        <v>0.453443</v>
      </c>
    </row>
    <row r="930" customFormat="false" ht="13.8" hidden="false" customHeight="false" outlineLevel="0" collapsed="false">
      <c r="A930" s="1" t="n">
        <f aca="false">1+A929</f>
        <v>929</v>
      </c>
      <c r="B930" s="1" t="n">
        <v>0.445151</v>
      </c>
    </row>
    <row r="931" customFormat="false" ht="13.8" hidden="false" customHeight="false" outlineLevel="0" collapsed="false">
      <c r="A931" s="1" t="n">
        <f aca="false">1+A930</f>
        <v>930</v>
      </c>
      <c r="B931" s="1" t="n">
        <v>0.447332</v>
      </c>
    </row>
    <row r="932" customFormat="false" ht="13.8" hidden="false" customHeight="false" outlineLevel="0" collapsed="false">
      <c r="A932" s="1" t="n">
        <f aca="false">1+A931</f>
        <v>931</v>
      </c>
      <c r="B932" s="1" t="n">
        <v>0.428311</v>
      </c>
    </row>
    <row r="933" customFormat="false" ht="13.8" hidden="false" customHeight="false" outlineLevel="0" collapsed="false">
      <c r="A933" s="1" t="n">
        <f aca="false">1+A932</f>
        <v>932</v>
      </c>
      <c r="B933" s="1" t="n">
        <v>0.430385</v>
      </c>
    </row>
    <row r="934" customFormat="false" ht="13.8" hidden="false" customHeight="false" outlineLevel="0" collapsed="false">
      <c r="A934" s="1" t="n">
        <f aca="false">1+A933</f>
        <v>933</v>
      </c>
      <c r="B934" s="1" t="n">
        <v>0.431965</v>
      </c>
    </row>
    <row r="935" customFormat="false" ht="13.8" hidden="false" customHeight="false" outlineLevel="0" collapsed="false">
      <c r="A935" s="1" t="n">
        <f aca="false">1+A934</f>
        <v>934</v>
      </c>
      <c r="B935" s="1" t="n">
        <v>0.434924</v>
      </c>
    </row>
    <row r="936" customFormat="false" ht="13.8" hidden="false" customHeight="false" outlineLevel="0" collapsed="false">
      <c r="A936" s="1" t="n">
        <f aca="false">1+A935</f>
        <v>935</v>
      </c>
      <c r="B936" s="1" t="n">
        <v>0.437063</v>
      </c>
    </row>
    <row r="937" customFormat="false" ht="13.8" hidden="false" customHeight="false" outlineLevel="0" collapsed="false">
      <c r="A937" s="1" t="n">
        <f aca="false">1+A936</f>
        <v>936</v>
      </c>
      <c r="B937" s="1" t="n">
        <v>0.439416</v>
      </c>
    </row>
    <row r="938" customFormat="false" ht="13.8" hidden="false" customHeight="false" outlineLevel="0" collapsed="false">
      <c r="A938" s="1" t="n">
        <f aca="false">1+A937</f>
        <v>937</v>
      </c>
      <c r="B938" s="1" t="n">
        <v>0.442038</v>
      </c>
    </row>
    <row r="939" customFormat="false" ht="13.8" hidden="false" customHeight="false" outlineLevel="0" collapsed="false">
      <c r="A939" s="1" t="n">
        <f aca="false">1+A938</f>
        <v>938</v>
      </c>
      <c r="B939" s="1" t="n">
        <v>0.444741</v>
      </c>
    </row>
    <row r="940" customFormat="false" ht="13.8" hidden="false" customHeight="false" outlineLevel="0" collapsed="false">
      <c r="A940" s="1" t="n">
        <f aca="false">1+A939</f>
        <v>939</v>
      </c>
      <c r="B940" s="1" t="n">
        <v>0.446728</v>
      </c>
    </row>
    <row r="941" customFormat="false" ht="13.8" hidden="false" customHeight="false" outlineLevel="0" collapsed="false">
      <c r="A941" s="1" t="n">
        <f aca="false">1+A940</f>
        <v>940</v>
      </c>
      <c r="B941" s="1" t="n">
        <v>0.43776</v>
      </c>
    </row>
    <row r="942" customFormat="false" ht="13.8" hidden="false" customHeight="false" outlineLevel="0" collapsed="false">
      <c r="A942" s="1" t="n">
        <f aca="false">1+A941</f>
        <v>941</v>
      </c>
      <c r="B942" s="1" t="n">
        <v>0.428121</v>
      </c>
    </row>
    <row r="943" customFormat="false" ht="13.8" hidden="false" customHeight="false" outlineLevel="0" collapsed="false">
      <c r="A943" s="1" t="n">
        <f aca="false">1+A942</f>
        <v>942</v>
      </c>
      <c r="B943" s="1" t="n">
        <v>0.429767</v>
      </c>
    </row>
    <row r="944" customFormat="false" ht="13.8" hidden="false" customHeight="false" outlineLevel="0" collapsed="false">
      <c r="A944" s="1" t="n">
        <f aca="false">1+A943</f>
        <v>943</v>
      </c>
      <c r="B944" s="1" t="n">
        <v>0.43172</v>
      </c>
    </row>
    <row r="945" customFormat="false" ht="13.8" hidden="false" customHeight="false" outlineLevel="0" collapsed="false">
      <c r="A945" s="1" t="n">
        <f aca="false">1+A944</f>
        <v>944</v>
      </c>
      <c r="B945" s="1" t="n">
        <v>0.434236</v>
      </c>
    </row>
    <row r="946" customFormat="false" ht="13.8" hidden="false" customHeight="false" outlineLevel="0" collapsed="false">
      <c r="A946" s="1" t="n">
        <f aca="false">1+A945</f>
        <v>945</v>
      </c>
      <c r="B946" s="1" t="n">
        <v>0.43598</v>
      </c>
    </row>
    <row r="947" customFormat="false" ht="13.8" hidden="false" customHeight="false" outlineLevel="0" collapsed="false">
      <c r="A947" s="1" t="n">
        <f aca="false">1+A946</f>
        <v>946</v>
      </c>
      <c r="B947" s="1" t="n">
        <v>0.438192</v>
      </c>
    </row>
    <row r="948" customFormat="false" ht="13.8" hidden="false" customHeight="false" outlineLevel="0" collapsed="false">
      <c r="A948" s="1" t="n">
        <f aca="false">1+A947</f>
        <v>947</v>
      </c>
      <c r="B948" s="1" t="n">
        <v>0.440427</v>
      </c>
    </row>
    <row r="949" customFormat="false" ht="13.8" hidden="false" customHeight="false" outlineLevel="0" collapsed="false">
      <c r="A949" s="1" t="n">
        <f aca="false">1+A948</f>
        <v>948</v>
      </c>
      <c r="B949" s="1" t="n">
        <v>0.430934</v>
      </c>
    </row>
    <row r="950" customFormat="false" ht="13.8" hidden="false" customHeight="false" outlineLevel="0" collapsed="false">
      <c r="A950" s="1" t="n">
        <f aca="false">1+A949</f>
        <v>949</v>
      </c>
      <c r="B950" s="1" t="n">
        <v>0.420905</v>
      </c>
    </row>
    <row r="951" customFormat="false" ht="13.8" hidden="false" customHeight="false" outlineLevel="0" collapsed="false">
      <c r="A951" s="1" t="n">
        <f aca="false">1+A950</f>
        <v>950</v>
      </c>
      <c r="B951" s="1" t="n">
        <v>0.411136</v>
      </c>
    </row>
    <row r="952" customFormat="false" ht="13.8" hidden="false" customHeight="false" outlineLevel="0" collapsed="false">
      <c r="A952" s="1" t="n">
        <f aca="false">1+A951</f>
        <v>951</v>
      </c>
      <c r="B952" s="1" t="n">
        <v>0.412882</v>
      </c>
    </row>
    <row r="953" customFormat="false" ht="13.8" hidden="false" customHeight="false" outlineLevel="0" collapsed="false">
      <c r="A953" s="1" t="n">
        <f aca="false">1+A952</f>
        <v>952</v>
      </c>
      <c r="B953" s="1" t="n">
        <v>0.415282</v>
      </c>
    </row>
    <row r="954" customFormat="false" ht="13.8" hidden="false" customHeight="false" outlineLevel="0" collapsed="false">
      <c r="A954" s="1" t="n">
        <f aca="false">1+A953</f>
        <v>953</v>
      </c>
      <c r="B954" s="1" t="n">
        <v>0.416518</v>
      </c>
    </row>
    <row r="955" customFormat="false" ht="13.8" hidden="false" customHeight="false" outlineLevel="0" collapsed="false">
      <c r="A955" s="1" t="n">
        <f aca="false">1+A954</f>
        <v>954</v>
      </c>
      <c r="B955" s="1" t="n">
        <v>0.406261</v>
      </c>
    </row>
    <row r="956" customFormat="false" ht="13.8" hidden="false" customHeight="false" outlineLevel="0" collapsed="false">
      <c r="A956" s="1" t="n">
        <f aca="false">1+A955</f>
        <v>955</v>
      </c>
      <c r="B956" s="1" t="n">
        <v>0.409195</v>
      </c>
    </row>
    <row r="957" customFormat="false" ht="13.8" hidden="false" customHeight="false" outlineLevel="0" collapsed="false">
      <c r="A957" s="1" t="n">
        <f aca="false">1+A956</f>
        <v>956</v>
      </c>
      <c r="B957" s="1" t="n">
        <v>0.411174</v>
      </c>
    </row>
    <row r="958" customFormat="false" ht="13.8" hidden="false" customHeight="false" outlineLevel="0" collapsed="false">
      <c r="A958" s="1" t="n">
        <f aca="false">1+A957</f>
        <v>957</v>
      </c>
      <c r="B958" s="1" t="n">
        <v>0.413123</v>
      </c>
    </row>
    <row r="959" customFormat="false" ht="13.8" hidden="false" customHeight="false" outlineLevel="0" collapsed="false">
      <c r="A959" s="1" t="n">
        <f aca="false">1+A958</f>
        <v>958</v>
      </c>
      <c r="B959" s="1" t="n">
        <v>0.414533</v>
      </c>
    </row>
    <row r="960" customFormat="false" ht="13.8" hidden="false" customHeight="false" outlineLevel="0" collapsed="false">
      <c r="A960" s="1" t="n">
        <f aca="false">1+A959</f>
        <v>959</v>
      </c>
      <c r="B960" s="1" t="n">
        <v>0.417127</v>
      </c>
    </row>
    <row r="961" customFormat="false" ht="13.8" hidden="false" customHeight="false" outlineLevel="0" collapsed="false">
      <c r="A961" s="1" t="n">
        <f aca="false">1+A960</f>
        <v>960</v>
      </c>
      <c r="B961" s="1" t="n">
        <v>0.418977</v>
      </c>
    </row>
    <row r="962" customFormat="false" ht="13.8" hidden="false" customHeight="false" outlineLevel="0" collapsed="false">
      <c r="A962" s="1" t="n">
        <f aca="false">1+A961</f>
        <v>961</v>
      </c>
      <c r="B962" s="1" t="n">
        <v>0.421941</v>
      </c>
    </row>
    <row r="963" customFormat="false" ht="13.8" hidden="false" customHeight="false" outlineLevel="0" collapsed="false">
      <c r="A963" s="1" t="n">
        <f aca="false">1+A962</f>
        <v>962</v>
      </c>
      <c r="B963" s="1" t="n">
        <v>0.424152</v>
      </c>
    </row>
    <row r="964" customFormat="false" ht="13.8" hidden="false" customHeight="false" outlineLevel="0" collapsed="false">
      <c r="A964" s="1" t="n">
        <f aca="false">1+A963</f>
        <v>963</v>
      </c>
      <c r="B964" s="1" t="n">
        <v>0.426065</v>
      </c>
    </row>
    <row r="965" customFormat="false" ht="13.8" hidden="false" customHeight="false" outlineLevel="0" collapsed="false">
      <c r="A965" s="1" t="n">
        <f aca="false">1+A964</f>
        <v>964</v>
      </c>
      <c r="B965" s="1" t="n">
        <v>0.428104</v>
      </c>
    </row>
    <row r="966" customFormat="false" ht="13.8" hidden="false" customHeight="false" outlineLevel="0" collapsed="false">
      <c r="A966" s="1" t="n">
        <f aca="false">1+A965</f>
        <v>965</v>
      </c>
      <c r="B966" s="1" t="n">
        <v>0.430216</v>
      </c>
    </row>
    <row r="967" customFormat="false" ht="13.8" hidden="false" customHeight="false" outlineLevel="0" collapsed="false">
      <c r="A967" s="1" t="n">
        <f aca="false">1+A966</f>
        <v>966</v>
      </c>
      <c r="B967" s="1" t="n">
        <v>0.432295</v>
      </c>
    </row>
    <row r="968" customFormat="false" ht="13.8" hidden="false" customHeight="false" outlineLevel="0" collapsed="false">
      <c r="A968" s="1" t="n">
        <f aca="false">1+A967</f>
        <v>967</v>
      </c>
      <c r="B968" s="1" t="n">
        <v>0.434061</v>
      </c>
    </row>
    <row r="969" customFormat="false" ht="13.8" hidden="false" customHeight="false" outlineLevel="0" collapsed="false">
      <c r="A969" s="1" t="n">
        <f aca="false">1+A968</f>
        <v>968</v>
      </c>
      <c r="B969" s="1" t="n">
        <v>0.435786</v>
      </c>
    </row>
    <row r="970" customFormat="false" ht="13.8" hidden="false" customHeight="false" outlineLevel="0" collapsed="false">
      <c r="A970" s="1" t="n">
        <f aca="false">1+A969</f>
        <v>969</v>
      </c>
      <c r="B970" s="1" t="n">
        <v>0.438257</v>
      </c>
    </row>
    <row r="971" customFormat="false" ht="13.8" hidden="false" customHeight="false" outlineLevel="0" collapsed="false">
      <c r="A971" s="1" t="n">
        <f aca="false">1+A970</f>
        <v>970</v>
      </c>
      <c r="B971" s="1" t="n">
        <v>0.441043</v>
      </c>
    </row>
    <row r="972" customFormat="false" ht="13.8" hidden="false" customHeight="false" outlineLevel="0" collapsed="false">
      <c r="A972" s="1" t="n">
        <f aca="false">1+A971</f>
        <v>971</v>
      </c>
      <c r="B972" s="1" t="n">
        <v>0.443459</v>
      </c>
    </row>
    <row r="973" customFormat="false" ht="13.8" hidden="false" customHeight="false" outlineLevel="0" collapsed="false">
      <c r="A973" s="1" t="n">
        <f aca="false">1+A972</f>
        <v>972</v>
      </c>
      <c r="B973" s="1" t="n">
        <v>0.445434</v>
      </c>
    </row>
    <row r="974" customFormat="false" ht="13.8" hidden="false" customHeight="false" outlineLevel="0" collapsed="false">
      <c r="A974" s="1" t="n">
        <f aca="false">1+A973</f>
        <v>973</v>
      </c>
      <c r="B974" s="1" t="n">
        <v>0.447368</v>
      </c>
    </row>
    <row r="975" customFormat="false" ht="13.8" hidden="false" customHeight="false" outlineLevel="0" collapsed="false">
      <c r="A975" s="1" t="n">
        <f aca="false">1+A974</f>
        <v>974</v>
      </c>
      <c r="B975" s="1" t="n">
        <v>0.449974</v>
      </c>
    </row>
    <row r="976" customFormat="false" ht="13.8" hidden="false" customHeight="false" outlineLevel="0" collapsed="false">
      <c r="A976" s="1" t="n">
        <f aca="false">1+A975</f>
        <v>975</v>
      </c>
      <c r="B976" s="1" t="n">
        <v>0.439707</v>
      </c>
    </row>
    <row r="977" customFormat="false" ht="13.8" hidden="false" customHeight="false" outlineLevel="0" collapsed="false">
      <c r="A977" s="1" t="n">
        <f aca="false">1+A976</f>
        <v>976</v>
      </c>
      <c r="B977" s="1" t="n">
        <v>0.442004</v>
      </c>
    </row>
    <row r="978" customFormat="false" ht="13.8" hidden="false" customHeight="false" outlineLevel="0" collapsed="false">
      <c r="A978" s="1" t="n">
        <f aca="false">1+A977</f>
        <v>977</v>
      </c>
      <c r="B978" s="1" t="n">
        <v>0.444145</v>
      </c>
    </row>
    <row r="979" customFormat="false" ht="13.8" hidden="false" customHeight="false" outlineLevel="0" collapsed="false">
      <c r="A979" s="1" t="n">
        <f aca="false">1+A978</f>
        <v>978</v>
      </c>
      <c r="B979" s="1" t="n">
        <v>0.432549</v>
      </c>
    </row>
    <row r="980" customFormat="false" ht="13.8" hidden="false" customHeight="false" outlineLevel="0" collapsed="false">
      <c r="A980" s="1" t="n">
        <f aca="false">1+A979</f>
        <v>979</v>
      </c>
      <c r="B980" s="1" t="n">
        <v>0.434783</v>
      </c>
    </row>
    <row r="981" customFormat="false" ht="13.8" hidden="false" customHeight="false" outlineLevel="0" collapsed="false">
      <c r="A981" s="1" t="n">
        <f aca="false">1+A980</f>
        <v>980</v>
      </c>
      <c r="B981" s="1" t="n">
        <v>0.43692</v>
      </c>
    </row>
    <row r="982" customFormat="false" ht="13.8" hidden="false" customHeight="false" outlineLevel="0" collapsed="false">
      <c r="A982" s="1" t="n">
        <f aca="false">1+A981</f>
        <v>981</v>
      </c>
      <c r="B982" s="1" t="n">
        <v>0.439379</v>
      </c>
    </row>
    <row r="983" customFormat="false" ht="13.8" hidden="false" customHeight="false" outlineLevel="0" collapsed="false">
      <c r="A983" s="1" t="n">
        <f aca="false">1+A982</f>
        <v>982</v>
      </c>
      <c r="B983" s="1" t="n">
        <v>0.427822</v>
      </c>
    </row>
    <row r="984" customFormat="false" ht="13.8" hidden="false" customHeight="false" outlineLevel="0" collapsed="false">
      <c r="A984" s="1" t="n">
        <f aca="false">1+A983</f>
        <v>983</v>
      </c>
      <c r="B984" s="1" t="n">
        <v>0.429839</v>
      </c>
    </row>
    <row r="985" customFormat="false" ht="13.8" hidden="false" customHeight="false" outlineLevel="0" collapsed="false">
      <c r="A985" s="1" t="n">
        <f aca="false">1+A984</f>
        <v>984</v>
      </c>
      <c r="B985" s="1" t="n">
        <v>0.432056</v>
      </c>
    </row>
    <row r="986" customFormat="false" ht="13.8" hidden="false" customHeight="false" outlineLevel="0" collapsed="false">
      <c r="A986" s="1" t="n">
        <f aca="false">1+A985</f>
        <v>985</v>
      </c>
      <c r="B986" s="1" t="n">
        <v>0.434174</v>
      </c>
    </row>
    <row r="987" customFormat="false" ht="13.8" hidden="false" customHeight="false" outlineLevel="0" collapsed="false">
      <c r="A987" s="1" t="n">
        <f aca="false">1+A986</f>
        <v>986</v>
      </c>
      <c r="B987" s="1" t="n">
        <v>0.435822</v>
      </c>
    </row>
    <row r="988" customFormat="false" ht="13.8" hidden="false" customHeight="false" outlineLevel="0" collapsed="false">
      <c r="A988" s="1" t="n">
        <f aca="false">1+A987</f>
        <v>987</v>
      </c>
      <c r="B988" s="1" t="n">
        <v>0.42343</v>
      </c>
    </row>
    <row r="989" customFormat="false" ht="13.8" hidden="false" customHeight="false" outlineLevel="0" collapsed="false">
      <c r="A989" s="1" t="n">
        <f aca="false">1+A988</f>
        <v>988</v>
      </c>
      <c r="B989" s="1" t="n">
        <v>0.411289</v>
      </c>
    </row>
    <row r="990" customFormat="false" ht="13.8" hidden="false" customHeight="false" outlineLevel="0" collapsed="false">
      <c r="A990" s="1" t="n">
        <f aca="false">1+A989</f>
        <v>989</v>
      </c>
      <c r="B990" s="1" t="n">
        <v>0.41287</v>
      </c>
    </row>
    <row r="991" customFormat="false" ht="13.8" hidden="false" customHeight="false" outlineLevel="0" collapsed="false">
      <c r="A991" s="1" t="n">
        <f aca="false">1+A990</f>
        <v>990</v>
      </c>
      <c r="B991" s="1" t="n">
        <v>0.415413</v>
      </c>
    </row>
    <row r="992" customFormat="false" ht="13.8" hidden="false" customHeight="false" outlineLevel="0" collapsed="false">
      <c r="A992" s="1" t="n">
        <f aca="false">1+A991</f>
        <v>991</v>
      </c>
      <c r="B992" s="1" t="n">
        <v>0.403866</v>
      </c>
    </row>
    <row r="993" customFormat="false" ht="13.8" hidden="false" customHeight="false" outlineLevel="0" collapsed="false">
      <c r="A993" s="1" t="n">
        <f aca="false">1+A992</f>
        <v>992</v>
      </c>
      <c r="B993" s="1" t="n">
        <v>0.406386</v>
      </c>
    </row>
    <row r="994" customFormat="false" ht="13.8" hidden="false" customHeight="false" outlineLevel="0" collapsed="false">
      <c r="A994" s="1" t="n">
        <f aca="false">1+A993</f>
        <v>993</v>
      </c>
      <c r="B994" s="1" t="n">
        <v>0.408282</v>
      </c>
    </row>
    <row r="995" customFormat="false" ht="13.8" hidden="false" customHeight="false" outlineLevel="0" collapsed="false">
      <c r="A995" s="1" t="n">
        <f aca="false">1+A994</f>
        <v>994</v>
      </c>
      <c r="B995" s="1" t="n">
        <v>0.409956</v>
      </c>
    </row>
    <row r="996" customFormat="false" ht="13.8" hidden="false" customHeight="false" outlineLevel="0" collapsed="false">
      <c r="A996" s="1" t="n">
        <f aca="false">1+A995</f>
        <v>995</v>
      </c>
      <c r="B996" s="1" t="n">
        <v>0.411946</v>
      </c>
    </row>
    <row r="997" customFormat="false" ht="13.8" hidden="false" customHeight="false" outlineLevel="0" collapsed="false">
      <c r="A997" s="1" t="n">
        <f aca="false">1+A996</f>
        <v>996</v>
      </c>
      <c r="B997" s="1" t="n">
        <v>0.413956</v>
      </c>
    </row>
    <row r="998" customFormat="false" ht="13.8" hidden="false" customHeight="false" outlineLevel="0" collapsed="false">
      <c r="A998" s="1" t="n">
        <f aca="false">1+A997</f>
        <v>997</v>
      </c>
      <c r="B998" s="1" t="n">
        <v>0.386387</v>
      </c>
    </row>
    <row r="999" customFormat="false" ht="13.8" hidden="false" customHeight="false" outlineLevel="0" collapsed="false">
      <c r="A999" s="1" t="n">
        <f aca="false">1+A998</f>
        <v>998</v>
      </c>
      <c r="B999" s="1" t="n">
        <v>0.388582</v>
      </c>
    </row>
    <row r="1000" customFormat="false" ht="13.8" hidden="false" customHeight="false" outlineLevel="0" collapsed="false">
      <c r="A1000" s="1" t="n">
        <f aca="false">1+A999</f>
        <v>999</v>
      </c>
      <c r="B1000" s="1" t="n">
        <v>0.375488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3" min="1" style="1" width="12.15"/>
    <col collapsed="false" customWidth="true" hidden="false" outlineLevel="0" max="4" min="4" style="1" width="11.43"/>
  </cols>
  <sheetData>
    <row r="1" customFormat="false" ht="13.8" hidden="false" customHeight="false" outlineLevel="0" collapsed="false">
      <c r="A1" s="1" t="n">
        <v>0</v>
      </c>
      <c r="B1" s="1" t="n">
        <v>30.0361</v>
      </c>
    </row>
    <row r="2" customFormat="false" ht="13.8" hidden="false" customHeight="false" outlineLevel="0" collapsed="false">
      <c r="A2" s="1" t="n">
        <f aca="false">1+A1</f>
        <v>1</v>
      </c>
      <c r="B2" s="1" t="n">
        <v>29.8268</v>
      </c>
    </row>
    <row r="3" customFormat="false" ht="13.8" hidden="false" customHeight="false" outlineLevel="0" collapsed="false">
      <c r="A3" s="1" t="n">
        <f aca="false">1+A2</f>
        <v>2</v>
      </c>
      <c r="B3" s="1" t="n">
        <v>29.6282</v>
      </c>
    </row>
    <row r="4" customFormat="false" ht="13.8" hidden="false" customHeight="false" outlineLevel="0" collapsed="false">
      <c r="A4" s="1" t="n">
        <f aca="false">1+A3</f>
        <v>3</v>
      </c>
      <c r="B4" s="1" t="n">
        <v>29.43</v>
      </c>
    </row>
    <row r="5" customFormat="false" ht="13.8" hidden="false" customHeight="false" outlineLevel="0" collapsed="false">
      <c r="A5" s="1" t="n">
        <f aca="false">1+A4</f>
        <v>4</v>
      </c>
      <c r="B5" s="1" t="n">
        <v>29.2313</v>
      </c>
    </row>
    <row r="6" customFormat="false" ht="13.8" hidden="false" customHeight="false" outlineLevel="0" collapsed="false">
      <c r="A6" s="1" t="n">
        <f aca="false">1+A5</f>
        <v>5</v>
      </c>
      <c r="B6" s="1" t="n">
        <v>29.028</v>
      </c>
    </row>
    <row r="7" customFormat="false" ht="13.8" hidden="false" customHeight="false" outlineLevel="0" collapsed="false">
      <c r="A7" s="1" t="n">
        <f aca="false">1+A6</f>
        <v>6</v>
      </c>
      <c r="B7" s="1" t="n">
        <v>28.8382</v>
      </c>
    </row>
    <row r="8" customFormat="false" ht="13.8" hidden="false" customHeight="false" outlineLevel="0" collapsed="false">
      <c r="A8" s="1" t="n">
        <f aca="false">1+A7</f>
        <v>7</v>
      </c>
      <c r="B8" s="1" t="n">
        <v>28.645</v>
      </c>
    </row>
    <row r="9" customFormat="false" ht="13.8" hidden="false" customHeight="false" outlineLevel="0" collapsed="false">
      <c r="A9" s="1" t="n">
        <f aca="false">1+A8</f>
        <v>8</v>
      </c>
      <c r="B9" s="1" t="n">
        <v>28.4585</v>
      </c>
    </row>
    <row r="10" customFormat="false" ht="13.8" hidden="false" customHeight="false" outlineLevel="0" collapsed="false">
      <c r="A10" s="1" t="n">
        <f aca="false">1+A9</f>
        <v>9</v>
      </c>
      <c r="B10" s="1" t="n">
        <v>28.275</v>
      </c>
    </row>
    <row r="11" customFormat="false" ht="13.8" hidden="false" customHeight="false" outlineLevel="0" collapsed="false">
      <c r="A11" s="1" t="n">
        <f aca="false">1+A10</f>
        <v>10</v>
      </c>
      <c r="B11" s="1" t="n">
        <v>28.0948</v>
      </c>
    </row>
    <row r="12" customFormat="false" ht="13.8" hidden="false" customHeight="false" outlineLevel="0" collapsed="false">
      <c r="A12" s="1" t="n">
        <f aca="false">1+A11</f>
        <v>11</v>
      </c>
      <c r="B12" s="1" t="n">
        <v>27.9149</v>
      </c>
    </row>
    <row r="13" customFormat="false" ht="13.8" hidden="false" customHeight="false" outlineLevel="0" collapsed="false">
      <c r="A13" s="1" t="n">
        <f aca="false">1+A12</f>
        <v>12</v>
      </c>
      <c r="B13" s="1" t="n">
        <v>27.7438</v>
      </c>
    </row>
    <row r="14" customFormat="false" ht="13.8" hidden="false" customHeight="false" outlineLevel="0" collapsed="false">
      <c r="A14" s="1" t="n">
        <f aca="false">1+A13</f>
        <v>13</v>
      </c>
      <c r="B14" s="1" t="n">
        <v>27.5749</v>
      </c>
    </row>
    <row r="15" customFormat="false" ht="13.8" hidden="false" customHeight="false" outlineLevel="0" collapsed="false">
      <c r="A15" s="1" t="n">
        <f aca="false">1+A14</f>
        <v>14</v>
      </c>
      <c r="B15" s="1" t="n">
        <v>27.4074</v>
      </c>
    </row>
    <row r="16" customFormat="false" ht="13.8" hidden="false" customHeight="false" outlineLevel="0" collapsed="false">
      <c r="A16" s="1" t="n">
        <f aca="false">1+A15</f>
        <v>15</v>
      </c>
      <c r="B16" s="1" t="n">
        <v>27.2424</v>
      </c>
    </row>
    <row r="17" customFormat="false" ht="13.8" hidden="false" customHeight="false" outlineLevel="0" collapsed="false">
      <c r="A17" s="1" t="n">
        <f aca="false">1+A16</f>
        <v>16</v>
      </c>
      <c r="B17" s="1" t="n">
        <v>27.0734</v>
      </c>
    </row>
    <row r="18" customFormat="false" ht="13.8" hidden="false" customHeight="false" outlineLevel="0" collapsed="false">
      <c r="A18" s="1" t="n">
        <f aca="false">1+A17</f>
        <v>17</v>
      </c>
      <c r="B18" s="1" t="n">
        <v>26.9106</v>
      </c>
    </row>
    <row r="19" customFormat="false" ht="13.8" hidden="false" customHeight="false" outlineLevel="0" collapsed="false">
      <c r="A19" s="1" t="n">
        <f aca="false">1+A18</f>
        <v>18</v>
      </c>
      <c r="B19" s="1" t="n">
        <v>26.7542</v>
      </c>
    </row>
    <row r="20" customFormat="false" ht="13.8" hidden="false" customHeight="false" outlineLevel="0" collapsed="false">
      <c r="A20" s="1" t="n">
        <f aca="false">1+A19</f>
        <v>19</v>
      </c>
      <c r="B20" s="1" t="n">
        <v>26.5955</v>
      </c>
    </row>
    <row r="21" customFormat="false" ht="13.8" hidden="false" customHeight="false" outlineLevel="0" collapsed="false">
      <c r="A21" s="1" t="n">
        <f aca="false">1+A20</f>
        <v>20</v>
      </c>
      <c r="B21" s="1" t="n">
        <v>26.4429</v>
      </c>
    </row>
    <row r="22" customFormat="false" ht="13.8" hidden="false" customHeight="false" outlineLevel="0" collapsed="false">
      <c r="A22" s="1" t="n">
        <f aca="false">1+A21</f>
        <v>21</v>
      </c>
      <c r="B22" s="1" t="n">
        <v>26.2914</v>
      </c>
    </row>
    <row r="23" customFormat="false" ht="13.8" hidden="false" customHeight="false" outlineLevel="0" collapsed="false">
      <c r="A23" s="1" t="n">
        <f aca="false">1+A22</f>
        <v>22</v>
      </c>
      <c r="B23" s="1" t="n">
        <v>26.1443</v>
      </c>
    </row>
    <row r="24" customFormat="false" ht="13.8" hidden="false" customHeight="false" outlineLevel="0" collapsed="false">
      <c r="A24" s="1" t="n">
        <f aca="false">1+A23</f>
        <v>23</v>
      </c>
      <c r="B24" s="1" t="n">
        <v>25.9998</v>
      </c>
    </row>
    <row r="25" customFormat="false" ht="13.8" hidden="false" customHeight="false" outlineLevel="0" collapsed="false">
      <c r="A25" s="1" t="n">
        <f aca="false">1+A24</f>
        <v>24</v>
      </c>
      <c r="B25" s="1" t="n">
        <v>25.8615</v>
      </c>
    </row>
    <row r="26" customFormat="false" ht="13.8" hidden="false" customHeight="false" outlineLevel="0" collapsed="false">
      <c r="A26" s="1" t="n">
        <f aca="false">1+A25</f>
        <v>25</v>
      </c>
      <c r="B26" s="1" t="n">
        <v>25.7179</v>
      </c>
    </row>
    <row r="27" customFormat="false" ht="13.8" hidden="false" customHeight="false" outlineLevel="0" collapsed="false">
      <c r="A27" s="1" t="n">
        <f aca="false">1+A26</f>
        <v>26</v>
      </c>
      <c r="B27" s="1" t="n">
        <v>25.5758</v>
      </c>
    </row>
    <row r="28" customFormat="false" ht="13.8" hidden="false" customHeight="false" outlineLevel="0" collapsed="false">
      <c r="A28" s="1" t="n">
        <f aca="false">1+A27</f>
        <v>27</v>
      </c>
      <c r="B28" s="1" t="n">
        <v>25.4404</v>
      </c>
    </row>
    <row r="29" customFormat="false" ht="13.8" hidden="false" customHeight="false" outlineLevel="0" collapsed="false">
      <c r="A29" s="1" t="n">
        <f aca="false">1+A28</f>
        <v>28</v>
      </c>
      <c r="B29" s="1" t="n">
        <v>25.3092</v>
      </c>
    </row>
    <row r="30" customFormat="false" ht="13.8" hidden="false" customHeight="false" outlineLevel="0" collapsed="false">
      <c r="A30" s="1" t="n">
        <f aca="false">1+A29</f>
        <v>29</v>
      </c>
      <c r="B30" s="1" t="n">
        <v>25.1814</v>
      </c>
    </row>
    <row r="31" customFormat="false" ht="13.8" hidden="false" customHeight="false" outlineLevel="0" collapsed="false">
      <c r="A31" s="1" t="n">
        <f aca="false">1+A30</f>
        <v>30</v>
      </c>
      <c r="B31" s="1" t="n">
        <v>25.0476</v>
      </c>
    </row>
    <row r="32" customFormat="false" ht="13.8" hidden="false" customHeight="false" outlineLevel="0" collapsed="false">
      <c r="A32" s="1" t="n">
        <f aca="false">1+A31</f>
        <v>31</v>
      </c>
      <c r="B32" s="1" t="n">
        <v>24.9161</v>
      </c>
    </row>
    <row r="33" customFormat="false" ht="13.8" hidden="false" customHeight="false" outlineLevel="0" collapsed="false">
      <c r="A33" s="1" t="n">
        <f aca="false">1+A32</f>
        <v>32</v>
      </c>
      <c r="B33" s="1" t="n">
        <v>24.7829</v>
      </c>
    </row>
    <row r="34" customFormat="false" ht="13.8" hidden="false" customHeight="false" outlineLevel="0" collapsed="false">
      <c r="A34" s="1" t="n">
        <f aca="false">1+A33</f>
        <v>33</v>
      </c>
      <c r="B34" s="1" t="n">
        <v>24.6549</v>
      </c>
    </row>
    <row r="35" customFormat="false" ht="13.8" hidden="false" customHeight="false" outlineLevel="0" collapsed="false">
      <c r="A35" s="1" t="n">
        <f aca="false">1+A34</f>
        <v>34</v>
      </c>
      <c r="B35" s="1" t="n">
        <v>24.5297</v>
      </c>
    </row>
    <row r="36" customFormat="false" ht="13.8" hidden="false" customHeight="false" outlineLevel="0" collapsed="false">
      <c r="A36" s="1" t="n">
        <f aca="false">1+A35</f>
        <v>35</v>
      </c>
      <c r="B36" s="1" t="n">
        <v>24.4086</v>
      </c>
    </row>
    <row r="37" customFormat="false" ht="13.8" hidden="false" customHeight="false" outlineLevel="0" collapsed="false">
      <c r="A37" s="1" t="n">
        <f aca="false">1+A36</f>
        <v>36</v>
      </c>
      <c r="B37" s="1" t="n">
        <v>24.2866</v>
      </c>
    </row>
    <row r="38" customFormat="false" ht="13.8" hidden="false" customHeight="false" outlineLevel="0" collapsed="false">
      <c r="A38" s="1" t="n">
        <f aca="false">1+A37</f>
        <v>37</v>
      </c>
      <c r="B38" s="1" t="n">
        <v>24.1728</v>
      </c>
    </row>
    <row r="39" customFormat="false" ht="13.8" hidden="false" customHeight="false" outlineLevel="0" collapsed="false">
      <c r="A39" s="1" t="n">
        <f aca="false">1+A38</f>
        <v>38</v>
      </c>
      <c r="B39" s="1" t="n">
        <v>24.0558</v>
      </c>
    </row>
    <row r="40" customFormat="false" ht="13.8" hidden="false" customHeight="false" outlineLevel="0" collapsed="false">
      <c r="A40" s="1" t="n">
        <f aca="false">1+A39</f>
        <v>39</v>
      </c>
      <c r="B40" s="1" t="n">
        <v>23.9387</v>
      </c>
    </row>
    <row r="41" customFormat="false" ht="13.8" hidden="false" customHeight="false" outlineLevel="0" collapsed="false">
      <c r="A41" s="1" t="n">
        <f aca="false">1+A40</f>
        <v>40</v>
      </c>
      <c r="B41" s="1" t="n">
        <v>23.8248</v>
      </c>
    </row>
    <row r="42" customFormat="false" ht="13.8" hidden="false" customHeight="false" outlineLevel="0" collapsed="false">
      <c r="A42" s="1" t="n">
        <f aca="false">1+A41</f>
        <v>41</v>
      </c>
      <c r="B42" s="1" t="n">
        <v>23.7181</v>
      </c>
    </row>
    <row r="43" customFormat="false" ht="13.8" hidden="false" customHeight="false" outlineLevel="0" collapsed="false">
      <c r="A43" s="1" t="n">
        <f aca="false">1+A42</f>
        <v>42</v>
      </c>
      <c r="B43" s="1" t="n">
        <v>23.6076</v>
      </c>
    </row>
    <row r="44" customFormat="false" ht="13.8" hidden="false" customHeight="false" outlineLevel="0" collapsed="false">
      <c r="A44" s="1" t="n">
        <f aca="false">1+A43</f>
        <v>43</v>
      </c>
      <c r="B44" s="1" t="n">
        <v>23.4945</v>
      </c>
    </row>
    <row r="45" customFormat="false" ht="13.8" hidden="false" customHeight="false" outlineLevel="0" collapsed="false">
      <c r="A45" s="1" t="n">
        <f aca="false">1+A44</f>
        <v>44</v>
      </c>
      <c r="B45" s="1" t="n">
        <v>23.3914</v>
      </c>
    </row>
    <row r="46" customFormat="false" ht="13.8" hidden="false" customHeight="false" outlineLevel="0" collapsed="false">
      <c r="A46" s="1" t="n">
        <f aca="false">1+A45</f>
        <v>45</v>
      </c>
      <c r="B46" s="1" t="n">
        <v>23.2841</v>
      </c>
    </row>
    <row r="47" customFormat="false" ht="13.8" hidden="false" customHeight="false" outlineLevel="0" collapsed="false">
      <c r="A47" s="1" t="n">
        <f aca="false">1+A46</f>
        <v>46</v>
      </c>
      <c r="B47" s="1" t="n">
        <v>23.182</v>
      </c>
    </row>
    <row r="48" customFormat="false" ht="13.8" hidden="false" customHeight="false" outlineLevel="0" collapsed="false">
      <c r="A48" s="1" t="n">
        <f aca="false">1+A47</f>
        <v>47</v>
      </c>
      <c r="B48" s="1" t="n">
        <v>23.0766</v>
      </c>
    </row>
    <row r="49" customFormat="false" ht="13.8" hidden="false" customHeight="false" outlineLevel="0" collapsed="false">
      <c r="A49" s="1" t="n">
        <f aca="false">1+A48</f>
        <v>48</v>
      </c>
      <c r="B49" s="1" t="n">
        <v>22.9689</v>
      </c>
    </row>
    <row r="50" customFormat="false" ht="13.8" hidden="false" customHeight="false" outlineLevel="0" collapsed="false">
      <c r="A50" s="1" t="n">
        <f aca="false">1+A49</f>
        <v>49</v>
      </c>
      <c r="B50" s="1" t="n">
        <v>22.8692</v>
      </c>
    </row>
    <row r="51" customFormat="false" ht="13.8" hidden="false" customHeight="false" outlineLevel="0" collapsed="false">
      <c r="A51" s="1" t="n">
        <f aca="false">1+A50</f>
        <v>50</v>
      </c>
      <c r="B51" s="1" t="n">
        <v>22.7644</v>
      </c>
    </row>
    <row r="52" customFormat="false" ht="13.8" hidden="false" customHeight="false" outlineLevel="0" collapsed="false">
      <c r="A52" s="1" t="n">
        <f aca="false">1+A51</f>
        <v>51</v>
      </c>
      <c r="B52" s="1" t="n">
        <v>22.6637</v>
      </c>
    </row>
    <row r="53" customFormat="false" ht="13.8" hidden="false" customHeight="false" outlineLevel="0" collapsed="false">
      <c r="A53" s="1" t="n">
        <f aca="false">1+A52</f>
        <v>52</v>
      </c>
      <c r="B53" s="1" t="n">
        <v>22.5644</v>
      </c>
    </row>
    <row r="54" customFormat="false" ht="13.8" hidden="false" customHeight="false" outlineLevel="0" collapsed="false">
      <c r="A54" s="1" t="n">
        <f aca="false">1+A53</f>
        <v>53</v>
      </c>
      <c r="B54" s="1" t="n">
        <v>22.4595</v>
      </c>
    </row>
    <row r="55" customFormat="false" ht="13.8" hidden="false" customHeight="false" outlineLevel="0" collapsed="false">
      <c r="A55" s="1" t="n">
        <f aca="false">1+A54</f>
        <v>54</v>
      </c>
      <c r="B55" s="1" t="n">
        <v>22.3591</v>
      </c>
    </row>
    <row r="56" customFormat="false" ht="13.8" hidden="false" customHeight="false" outlineLevel="0" collapsed="false">
      <c r="A56" s="1" t="n">
        <f aca="false">1+A55</f>
        <v>55</v>
      </c>
      <c r="B56" s="1" t="n">
        <v>22.2648</v>
      </c>
    </row>
    <row r="57" customFormat="false" ht="13.8" hidden="false" customHeight="false" outlineLevel="0" collapsed="false">
      <c r="A57" s="1" t="n">
        <f aca="false">1+A56</f>
        <v>56</v>
      </c>
      <c r="B57" s="1" t="n">
        <v>22.171</v>
      </c>
    </row>
    <row r="58" customFormat="false" ht="13.8" hidden="false" customHeight="false" outlineLevel="0" collapsed="false">
      <c r="A58" s="1" t="n">
        <f aca="false">1+A57</f>
        <v>57</v>
      </c>
      <c r="B58" s="1" t="n">
        <v>22.0726</v>
      </c>
    </row>
    <row r="59" customFormat="false" ht="13.8" hidden="false" customHeight="false" outlineLevel="0" collapsed="false">
      <c r="A59" s="1" t="n">
        <f aca="false">1+A58</f>
        <v>58</v>
      </c>
      <c r="B59" s="1" t="n">
        <v>21.983</v>
      </c>
    </row>
    <row r="60" customFormat="false" ht="13.8" hidden="false" customHeight="false" outlineLevel="0" collapsed="false">
      <c r="A60" s="1" t="n">
        <f aca="false">1+A59</f>
        <v>59</v>
      </c>
      <c r="B60" s="1" t="n">
        <v>21.8899</v>
      </c>
    </row>
    <row r="61" customFormat="false" ht="13.8" hidden="false" customHeight="false" outlineLevel="0" collapsed="false">
      <c r="A61" s="1" t="n">
        <f aca="false">1+A60</f>
        <v>60</v>
      </c>
      <c r="B61" s="1" t="n">
        <v>21.7947</v>
      </c>
    </row>
    <row r="62" customFormat="false" ht="13.8" hidden="false" customHeight="false" outlineLevel="0" collapsed="false">
      <c r="A62" s="1" t="n">
        <f aca="false">1+A61</f>
        <v>61</v>
      </c>
      <c r="B62" s="1" t="n">
        <v>21.7037</v>
      </c>
    </row>
    <row r="63" customFormat="false" ht="13.8" hidden="false" customHeight="false" outlineLevel="0" collapsed="false">
      <c r="A63" s="1" t="n">
        <f aca="false">1+A62</f>
        <v>62</v>
      </c>
      <c r="B63" s="1" t="n">
        <v>21.6108</v>
      </c>
    </row>
    <row r="64" customFormat="false" ht="13.8" hidden="false" customHeight="false" outlineLevel="0" collapsed="false">
      <c r="A64" s="1" t="n">
        <f aca="false">1+A63</f>
        <v>63</v>
      </c>
      <c r="B64" s="1" t="n">
        <v>21.5199</v>
      </c>
    </row>
    <row r="65" customFormat="false" ht="13.8" hidden="false" customHeight="false" outlineLevel="0" collapsed="false">
      <c r="A65" s="1" t="n">
        <f aca="false">1+A64</f>
        <v>64</v>
      </c>
      <c r="B65" s="1" t="n">
        <v>21.4314</v>
      </c>
    </row>
    <row r="66" customFormat="false" ht="13.8" hidden="false" customHeight="false" outlineLevel="0" collapsed="false">
      <c r="A66" s="1" t="n">
        <f aca="false">1+A65</f>
        <v>65</v>
      </c>
      <c r="B66" s="1" t="n">
        <v>21.3495</v>
      </c>
    </row>
    <row r="67" customFormat="false" ht="13.8" hidden="false" customHeight="false" outlineLevel="0" collapsed="false">
      <c r="A67" s="1" t="n">
        <f aca="false">1+A66</f>
        <v>66</v>
      </c>
      <c r="B67" s="1" t="n">
        <v>21.259</v>
      </c>
    </row>
    <row r="68" customFormat="false" ht="13.8" hidden="false" customHeight="false" outlineLevel="0" collapsed="false">
      <c r="A68" s="1" t="n">
        <f aca="false">1+A67</f>
        <v>67</v>
      </c>
      <c r="B68" s="1" t="n">
        <v>21.1713</v>
      </c>
    </row>
    <row r="69" customFormat="false" ht="13.8" hidden="false" customHeight="false" outlineLevel="0" collapsed="false">
      <c r="A69" s="1" t="n">
        <f aca="false">1+A68</f>
        <v>68</v>
      </c>
      <c r="B69" s="1" t="n">
        <v>21.0869</v>
      </c>
    </row>
    <row r="70" customFormat="false" ht="13.8" hidden="false" customHeight="false" outlineLevel="0" collapsed="false">
      <c r="A70" s="1" t="n">
        <f aca="false">1+A69</f>
        <v>69</v>
      </c>
      <c r="B70" s="1" t="n">
        <v>20.9982</v>
      </c>
    </row>
    <row r="71" customFormat="false" ht="13.8" hidden="false" customHeight="false" outlineLevel="0" collapsed="false">
      <c r="A71" s="1" t="n">
        <f aca="false">1+A70</f>
        <v>70</v>
      </c>
      <c r="B71" s="1" t="n">
        <v>20.913</v>
      </c>
    </row>
    <row r="72" customFormat="false" ht="13.8" hidden="false" customHeight="false" outlineLevel="0" collapsed="false">
      <c r="A72" s="1" t="n">
        <f aca="false">1+A71</f>
        <v>71</v>
      </c>
      <c r="B72" s="1" t="n">
        <v>20.834</v>
      </c>
    </row>
    <row r="73" customFormat="false" ht="13.8" hidden="false" customHeight="false" outlineLevel="0" collapsed="false">
      <c r="A73" s="1" t="n">
        <f aca="false">1+A72</f>
        <v>72</v>
      </c>
      <c r="B73" s="1" t="n">
        <v>20.7448</v>
      </c>
    </row>
    <row r="74" customFormat="false" ht="13.8" hidden="false" customHeight="false" outlineLevel="0" collapsed="false">
      <c r="A74" s="1" t="n">
        <f aca="false">1+A73</f>
        <v>73</v>
      </c>
      <c r="B74" s="1" t="n">
        <v>20.6634</v>
      </c>
    </row>
    <row r="75" customFormat="false" ht="13.8" hidden="false" customHeight="false" outlineLevel="0" collapsed="false">
      <c r="A75" s="1" t="n">
        <f aca="false">1+A74</f>
        <v>74</v>
      </c>
      <c r="B75" s="1" t="n">
        <v>20.5774</v>
      </c>
    </row>
    <row r="76" customFormat="false" ht="13.8" hidden="false" customHeight="false" outlineLevel="0" collapsed="false">
      <c r="A76" s="1" t="n">
        <f aca="false">1+A75</f>
        <v>75</v>
      </c>
      <c r="B76" s="1" t="n">
        <v>20.4978</v>
      </c>
    </row>
    <row r="77" customFormat="false" ht="13.8" hidden="false" customHeight="false" outlineLevel="0" collapsed="false">
      <c r="A77" s="1" t="n">
        <f aca="false">1+A76</f>
        <v>76</v>
      </c>
      <c r="B77" s="1" t="n">
        <v>20.4189</v>
      </c>
    </row>
    <row r="78" customFormat="false" ht="13.8" hidden="false" customHeight="false" outlineLevel="0" collapsed="false">
      <c r="A78" s="1" t="n">
        <f aca="false">1+A77</f>
        <v>77</v>
      </c>
      <c r="B78" s="1" t="n">
        <v>20.3417</v>
      </c>
    </row>
    <row r="79" customFormat="false" ht="13.8" hidden="false" customHeight="false" outlineLevel="0" collapsed="false">
      <c r="A79" s="1" t="n">
        <f aca="false">1+A78</f>
        <v>78</v>
      </c>
      <c r="B79" s="1" t="n">
        <v>20.2578</v>
      </c>
    </row>
    <row r="80" customFormat="false" ht="13.8" hidden="false" customHeight="false" outlineLevel="0" collapsed="false">
      <c r="A80" s="1" t="n">
        <f aca="false">1+A79</f>
        <v>79</v>
      </c>
      <c r="B80" s="1" t="n">
        <v>20.1769</v>
      </c>
    </row>
    <row r="81" customFormat="false" ht="13.8" hidden="false" customHeight="false" outlineLevel="0" collapsed="false">
      <c r="A81" s="1" t="n">
        <f aca="false">1+A80</f>
        <v>80</v>
      </c>
      <c r="B81" s="1" t="n">
        <v>20.0989</v>
      </c>
    </row>
    <row r="82" customFormat="false" ht="13.8" hidden="false" customHeight="false" outlineLevel="0" collapsed="false">
      <c r="A82" s="1" t="n">
        <f aca="false">1+A81</f>
        <v>81</v>
      </c>
      <c r="B82" s="1" t="n">
        <v>20.0171</v>
      </c>
    </row>
    <row r="83" customFormat="false" ht="13.8" hidden="false" customHeight="false" outlineLevel="0" collapsed="false">
      <c r="A83" s="1" t="n">
        <f aca="false">1+A82</f>
        <v>82</v>
      </c>
      <c r="B83" s="1" t="n">
        <v>19.9385</v>
      </c>
    </row>
    <row r="84" customFormat="false" ht="13.8" hidden="false" customHeight="false" outlineLevel="0" collapsed="false">
      <c r="A84" s="1" t="n">
        <f aca="false">1+A83</f>
        <v>83</v>
      </c>
      <c r="B84" s="1" t="n">
        <v>19.8527</v>
      </c>
    </row>
    <row r="85" customFormat="false" ht="13.8" hidden="false" customHeight="false" outlineLevel="0" collapsed="false">
      <c r="A85" s="1" t="n">
        <f aca="false">1+A84</f>
        <v>84</v>
      </c>
      <c r="B85" s="1" t="n">
        <v>19.7738</v>
      </c>
    </row>
    <row r="86" customFormat="false" ht="13.8" hidden="false" customHeight="false" outlineLevel="0" collapsed="false">
      <c r="A86" s="1" t="n">
        <f aca="false">1+A85</f>
        <v>85</v>
      </c>
      <c r="B86" s="1" t="n">
        <v>19.6999</v>
      </c>
    </row>
    <row r="87" customFormat="false" ht="13.8" hidden="false" customHeight="false" outlineLevel="0" collapsed="false">
      <c r="A87" s="1" t="n">
        <f aca="false">1+A86</f>
        <v>86</v>
      </c>
      <c r="B87" s="1" t="n">
        <v>19.6261</v>
      </c>
    </row>
    <row r="88" customFormat="false" ht="13.8" hidden="false" customHeight="false" outlineLevel="0" collapsed="false">
      <c r="A88" s="1" t="n">
        <f aca="false">1+A87</f>
        <v>87</v>
      </c>
      <c r="B88" s="1" t="n">
        <v>19.556</v>
      </c>
    </row>
    <row r="89" customFormat="false" ht="13.8" hidden="false" customHeight="false" outlineLevel="0" collapsed="false">
      <c r="A89" s="1" t="n">
        <f aca="false">1+A88</f>
        <v>88</v>
      </c>
      <c r="B89" s="1" t="n">
        <v>19.4746</v>
      </c>
    </row>
    <row r="90" customFormat="false" ht="13.8" hidden="false" customHeight="false" outlineLevel="0" collapsed="false">
      <c r="A90" s="1" t="n">
        <f aca="false">1+A89</f>
        <v>89</v>
      </c>
      <c r="B90" s="1" t="n">
        <v>19.4055</v>
      </c>
    </row>
    <row r="91" customFormat="false" ht="13.8" hidden="false" customHeight="false" outlineLevel="0" collapsed="false">
      <c r="A91" s="1" t="n">
        <f aca="false">1+A90</f>
        <v>90</v>
      </c>
      <c r="B91" s="1" t="n">
        <v>19.3286</v>
      </c>
    </row>
    <row r="92" customFormat="false" ht="13.8" hidden="false" customHeight="false" outlineLevel="0" collapsed="false">
      <c r="A92" s="1" t="n">
        <f aca="false">1+A91</f>
        <v>91</v>
      </c>
      <c r="B92" s="1" t="n">
        <v>19.258</v>
      </c>
    </row>
    <row r="93" customFormat="false" ht="13.8" hidden="false" customHeight="false" outlineLevel="0" collapsed="false">
      <c r="A93" s="1" t="n">
        <f aca="false">1+A92</f>
        <v>92</v>
      </c>
      <c r="B93" s="1" t="n">
        <v>19.1891</v>
      </c>
    </row>
    <row r="94" customFormat="false" ht="13.8" hidden="false" customHeight="false" outlineLevel="0" collapsed="false">
      <c r="A94" s="1" t="n">
        <f aca="false">1+A93</f>
        <v>93</v>
      </c>
      <c r="B94" s="1" t="n">
        <v>19.1161</v>
      </c>
    </row>
    <row r="95" customFormat="false" ht="13.8" hidden="false" customHeight="false" outlineLevel="0" collapsed="false">
      <c r="A95" s="1" t="n">
        <f aca="false">1+A94</f>
        <v>94</v>
      </c>
      <c r="B95" s="1" t="n">
        <v>19.0409</v>
      </c>
    </row>
    <row r="96" customFormat="false" ht="13.8" hidden="false" customHeight="false" outlineLevel="0" collapsed="false">
      <c r="A96" s="1" t="n">
        <f aca="false">1+A95</f>
        <v>95</v>
      </c>
      <c r="B96" s="1" t="n">
        <v>18.9714</v>
      </c>
    </row>
    <row r="97" customFormat="false" ht="13.8" hidden="false" customHeight="false" outlineLevel="0" collapsed="false">
      <c r="A97" s="1" t="n">
        <f aca="false">1+A96</f>
        <v>96</v>
      </c>
      <c r="B97" s="1" t="n">
        <v>18.9091</v>
      </c>
    </row>
    <row r="98" customFormat="false" ht="13.8" hidden="false" customHeight="false" outlineLevel="0" collapsed="false">
      <c r="A98" s="1" t="n">
        <f aca="false">1+A97</f>
        <v>97</v>
      </c>
      <c r="B98" s="1" t="n">
        <v>18.8398</v>
      </c>
    </row>
    <row r="99" customFormat="false" ht="13.8" hidden="false" customHeight="false" outlineLevel="0" collapsed="false">
      <c r="A99" s="1" t="n">
        <f aca="false">1+A98</f>
        <v>98</v>
      </c>
      <c r="B99" s="1" t="n">
        <v>18.7746</v>
      </c>
    </row>
    <row r="100" customFormat="false" ht="13.8" hidden="false" customHeight="false" outlineLevel="0" collapsed="false">
      <c r="A100" s="1" t="n">
        <f aca="false">1+A99</f>
        <v>99</v>
      </c>
      <c r="B100" s="1" t="n">
        <v>18.7075</v>
      </c>
    </row>
    <row r="101" customFormat="false" ht="13.8" hidden="false" customHeight="false" outlineLevel="0" collapsed="false">
      <c r="A101" s="1" t="n">
        <f aca="false">1+A100</f>
        <v>100</v>
      </c>
      <c r="B101" s="1" t="n">
        <v>18.6407</v>
      </c>
    </row>
    <row r="102" customFormat="false" ht="13.8" hidden="false" customHeight="false" outlineLevel="0" collapsed="false">
      <c r="A102" s="1" t="n">
        <f aca="false">1+A101</f>
        <v>101</v>
      </c>
      <c r="B102" s="1" t="n">
        <v>18.5775</v>
      </c>
    </row>
    <row r="103" customFormat="false" ht="13.8" hidden="false" customHeight="false" outlineLevel="0" collapsed="false">
      <c r="A103" s="1" t="n">
        <f aca="false">1+A102</f>
        <v>102</v>
      </c>
      <c r="B103" s="1" t="n">
        <v>18.5131</v>
      </c>
    </row>
    <row r="104" customFormat="false" ht="13.8" hidden="false" customHeight="false" outlineLevel="0" collapsed="false">
      <c r="A104" s="1" t="n">
        <f aca="false">1+A103</f>
        <v>103</v>
      </c>
      <c r="B104" s="1" t="n">
        <v>18.4418</v>
      </c>
    </row>
    <row r="105" customFormat="false" ht="13.8" hidden="false" customHeight="false" outlineLevel="0" collapsed="false">
      <c r="A105" s="1" t="n">
        <f aca="false">1+A104</f>
        <v>104</v>
      </c>
      <c r="B105" s="1" t="n">
        <v>18.3787</v>
      </c>
    </row>
    <row r="106" customFormat="false" ht="13.8" hidden="false" customHeight="false" outlineLevel="0" collapsed="false">
      <c r="A106" s="1" t="n">
        <f aca="false">1+A105</f>
        <v>105</v>
      </c>
      <c r="B106" s="1" t="n">
        <v>18.3139</v>
      </c>
    </row>
    <row r="107" customFormat="false" ht="13.8" hidden="false" customHeight="false" outlineLevel="0" collapsed="false">
      <c r="A107" s="1" t="n">
        <f aca="false">1+A106</f>
        <v>106</v>
      </c>
      <c r="B107" s="1" t="n">
        <v>18.2503</v>
      </c>
    </row>
    <row r="108" customFormat="false" ht="13.8" hidden="false" customHeight="false" outlineLevel="0" collapsed="false">
      <c r="A108" s="1" t="n">
        <f aca="false">1+A107</f>
        <v>107</v>
      </c>
      <c r="B108" s="1" t="n">
        <v>18.1865</v>
      </c>
    </row>
    <row r="109" customFormat="false" ht="13.8" hidden="false" customHeight="false" outlineLevel="0" collapsed="false">
      <c r="A109" s="1" t="n">
        <f aca="false">1+A108</f>
        <v>108</v>
      </c>
      <c r="B109" s="1" t="n">
        <v>18.1207</v>
      </c>
    </row>
    <row r="110" customFormat="false" ht="13.8" hidden="false" customHeight="false" outlineLevel="0" collapsed="false">
      <c r="A110" s="1" t="n">
        <f aca="false">1+A109</f>
        <v>109</v>
      </c>
      <c r="B110" s="1" t="n">
        <v>18.0564</v>
      </c>
    </row>
    <row r="111" customFormat="false" ht="13.8" hidden="false" customHeight="false" outlineLevel="0" collapsed="false">
      <c r="A111" s="1" t="n">
        <f aca="false">1+A110</f>
        <v>110</v>
      </c>
      <c r="B111" s="1" t="n">
        <v>17.9917</v>
      </c>
    </row>
    <row r="112" customFormat="false" ht="13.8" hidden="false" customHeight="false" outlineLevel="0" collapsed="false">
      <c r="A112" s="1" t="n">
        <f aca="false">1+A111</f>
        <v>111</v>
      </c>
      <c r="B112" s="1" t="n">
        <v>17.926</v>
      </c>
    </row>
    <row r="113" customFormat="false" ht="13.8" hidden="false" customHeight="false" outlineLevel="0" collapsed="false">
      <c r="A113" s="1" t="n">
        <f aca="false">1+A112</f>
        <v>112</v>
      </c>
      <c r="B113" s="1" t="n">
        <v>17.8684</v>
      </c>
    </row>
    <row r="114" customFormat="false" ht="13.8" hidden="false" customHeight="false" outlineLevel="0" collapsed="false">
      <c r="A114" s="1" t="n">
        <f aca="false">1+A113</f>
        <v>113</v>
      </c>
      <c r="B114" s="1" t="n">
        <v>17.8034</v>
      </c>
    </row>
    <row r="115" customFormat="false" ht="13.8" hidden="false" customHeight="false" outlineLevel="0" collapsed="false">
      <c r="A115" s="1" t="n">
        <f aca="false">1+A114</f>
        <v>114</v>
      </c>
      <c r="B115" s="1" t="n">
        <v>17.7447</v>
      </c>
    </row>
    <row r="116" customFormat="false" ht="13.8" hidden="false" customHeight="false" outlineLevel="0" collapsed="false">
      <c r="A116" s="1" t="n">
        <f aca="false">1+A115</f>
        <v>115</v>
      </c>
      <c r="B116" s="1" t="n">
        <v>17.6832</v>
      </c>
    </row>
    <row r="117" customFormat="false" ht="13.8" hidden="false" customHeight="false" outlineLevel="0" collapsed="false">
      <c r="A117" s="1" t="n">
        <f aca="false">1+A116</f>
        <v>116</v>
      </c>
      <c r="B117" s="1" t="n">
        <v>17.6143</v>
      </c>
    </row>
    <row r="118" customFormat="false" ht="13.8" hidden="false" customHeight="false" outlineLevel="0" collapsed="false">
      <c r="A118" s="1" t="n">
        <f aca="false">1+A117</f>
        <v>117</v>
      </c>
      <c r="B118" s="1" t="n">
        <v>17.5546</v>
      </c>
    </row>
    <row r="119" customFormat="false" ht="13.8" hidden="false" customHeight="false" outlineLevel="0" collapsed="false">
      <c r="A119" s="1" t="n">
        <f aca="false">1+A118</f>
        <v>118</v>
      </c>
      <c r="B119" s="1" t="n">
        <v>17.4947</v>
      </c>
    </row>
    <row r="120" customFormat="false" ht="13.8" hidden="false" customHeight="false" outlineLevel="0" collapsed="false">
      <c r="A120" s="1" t="n">
        <f aca="false">1+A119</f>
        <v>119</v>
      </c>
      <c r="B120" s="1" t="n">
        <v>17.4333</v>
      </c>
    </row>
    <row r="121" customFormat="false" ht="13.8" hidden="false" customHeight="false" outlineLevel="0" collapsed="false">
      <c r="A121" s="1" t="n">
        <f aca="false">1+A120</f>
        <v>120</v>
      </c>
      <c r="B121" s="1" t="n">
        <v>17.369</v>
      </c>
    </row>
    <row r="122" customFormat="false" ht="13.8" hidden="false" customHeight="false" outlineLevel="0" collapsed="false">
      <c r="A122" s="1" t="n">
        <f aca="false">1+A121</f>
        <v>121</v>
      </c>
      <c r="B122" s="1" t="n">
        <v>17.3094</v>
      </c>
    </row>
    <row r="123" customFormat="false" ht="13.8" hidden="false" customHeight="false" outlineLevel="0" collapsed="false">
      <c r="A123" s="1" t="n">
        <f aca="false">1+A122</f>
        <v>122</v>
      </c>
      <c r="B123" s="1" t="n">
        <v>17.2471</v>
      </c>
    </row>
    <row r="124" customFormat="false" ht="13.8" hidden="false" customHeight="false" outlineLevel="0" collapsed="false">
      <c r="A124" s="1" t="n">
        <f aca="false">1+A123</f>
        <v>123</v>
      </c>
      <c r="B124" s="1" t="n">
        <v>17.1911</v>
      </c>
    </row>
    <row r="125" customFormat="false" ht="13.8" hidden="false" customHeight="false" outlineLevel="0" collapsed="false">
      <c r="A125" s="1" t="n">
        <f aca="false">1+A124</f>
        <v>124</v>
      </c>
      <c r="B125" s="1" t="n">
        <v>17.1234</v>
      </c>
    </row>
    <row r="126" customFormat="false" ht="13.8" hidden="false" customHeight="false" outlineLevel="0" collapsed="false">
      <c r="A126" s="1" t="n">
        <f aca="false">1+A125</f>
        <v>125</v>
      </c>
      <c r="B126" s="1" t="n">
        <v>17.0643</v>
      </c>
    </row>
    <row r="127" customFormat="false" ht="13.8" hidden="false" customHeight="false" outlineLevel="0" collapsed="false">
      <c r="A127" s="1" t="n">
        <f aca="false">1+A126</f>
        <v>126</v>
      </c>
      <c r="B127" s="1" t="n">
        <v>17.0055</v>
      </c>
    </row>
    <row r="128" customFormat="false" ht="13.8" hidden="false" customHeight="false" outlineLevel="0" collapsed="false">
      <c r="A128" s="1" t="n">
        <f aca="false">1+A127</f>
        <v>127</v>
      </c>
      <c r="B128" s="1" t="n">
        <v>16.9472</v>
      </c>
    </row>
    <row r="129" customFormat="false" ht="13.8" hidden="false" customHeight="false" outlineLevel="0" collapsed="false">
      <c r="A129" s="1" t="n">
        <f aca="false">1+A128</f>
        <v>128</v>
      </c>
      <c r="B129" s="1" t="n">
        <v>16.8943</v>
      </c>
    </row>
    <row r="130" customFormat="false" ht="13.8" hidden="false" customHeight="false" outlineLevel="0" collapsed="false">
      <c r="A130" s="1" t="n">
        <f aca="false">1+A129</f>
        <v>129</v>
      </c>
      <c r="B130" s="1" t="n">
        <v>16.8389</v>
      </c>
    </row>
    <row r="131" customFormat="false" ht="13.8" hidden="false" customHeight="false" outlineLevel="0" collapsed="false">
      <c r="A131" s="1" t="n">
        <f aca="false">1+A130</f>
        <v>130</v>
      </c>
      <c r="B131" s="1" t="n">
        <v>16.779</v>
      </c>
    </row>
    <row r="132" customFormat="false" ht="13.8" hidden="false" customHeight="false" outlineLevel="0" collapsed="false">
      <c r="A132" s="1" t="n">
        <f aca="false">1+A131</f>
        <v>131</v>
      </c>
      <c r="B132" s="1" t="n">
        <v>16.7251</v>
      </c>
    </row>
    <row r="133" customFormat="false" ht="13.8" hidden="false" customHeight="false" outlineLevel="0" collapsed="false">
      <c r="A133" s="1" t="n">
        <f aca="false">1+A132</f>
        <v>132</v>
      </c>
      <c r="B133" s="1" t="n">
        <v>16.6673</v>
      </c>
    </row>
    <row r="134" customFormat="false" ht="13.8" hidden="false" customHeight="false" outlineLevel="0" collapsed="false">
      <c r="A134" s="1" t="n">
        <f aca="false">1+A133</f>
        <v>133</v>
      </c>
      <c r="B134" s="1" t="n">
        <v>16.6163</v>
      </c>
    </row>
    <row r="135" customFormat="false" ht="13.8" hidden="false" customHeight="false" outlineLevel="0" collapsed="false">
      <c r="A135" s="1" t="n">
        <f aca="false">1+A134</f>
        <v>134</v>
      </c>
      <c r="B135" s="1" t="n">
        <v>16.5546</v>
      </c>
    </row>
    <row r="136" customFormat="false" ht="13.8" hidden="false" customHeight="false" outlineLevel="0" collapsed="false">
      <c r="A136" s="1" t="n">
        <f aca="false">1+A135</f>
        <v>135</v>
      </c>
      <c r="B136" s="1" t="n">
        <v>16.5005</v>
      </c>
    </row>
    <row r="137" customFormat="false" ht="13.8" hidden="false" customHeight="false" outlineLevel="0" collapsed="false">
      <c r="A137" s="1" t="n">
        <f aca="false">1+A136</f>
        <v>136</v>
      </c>
      <c r="B137" s="1" t="n">
        <v>16.4462</v>
      </c>
    </row>
    <row r="138" customFormat="false" ht="13.8" hidden="false" customHeight="false" outlineLevel="0" collapsed="false">
      <c r="A138" s="1" t="n">
        <f aca="false">1+A137</f>
        <v>137</v>
      </c>
      <c r="B138" s="1" t="n">
        <v>16.3915</v>
      </c>
    </row>
    <row r="139" customFormat="false" ht="13.8" hidden="false" customHeight="false" outlineLevel="0" collapsed="false">
      <c r="A139" s="1" t="n">
        <f aca="false">1+A138</f>
        <v>138</v>
      </c>
      <c r="B139" s="1" t="n">
        <v>16.3359</v>
      </c>
    </row>
    <row r="140" customFormat="false" ht="13.8" hidden="false" customHeight="false" outlineLevel="0" collapsed="false">
      <c r="A140" s="1" t="n">
        <f aca="false">1+A139</f>
        <v>139</v>
      </c>
      <c r="B140" s="1" t="n">
        <v>16.2758</v>
      </c>
    </row>
    <row r="141" customFormat="false" ht="13.8" hidden="false" customHeight="false" outlineLevel="0" collapsed="false">
      <c r="A141" s="1" t="n">
        <f aca="false">1+A140</f>
        <v>140</v>
      </c>
      <c r="B141" s="1" t="n">
        <v>16.2175</v>
      </c>
    </row>
    <row r="142" customFormat="false" ht="13.8" hidden="false" customHeight="false" outlineLevel="0" collapsed="false">
      <c r="A142" s="1" t="n">
        <f aca="false">1+A141</f>
        <v>141</v>
      </c>
      <c r="B142" s="1" t="n">
        <v>16.1685</v>
      </c>
    </row>
    <row r="143" customFormat="false" ht="13.8" hidden="false" customHeight="false" outlineLevel="0" collapsed="false">
      <c r="A143" s="1" t="n">
        <f aca="false">1+A142</f>
        <v>142</v>
      </c>
      <c r="B143" s="1" t="n">
        <v>16.1127</v>
      </c>
    </row>
    <row r="144" customFormat="false" ht="13.8" hidden="false" customHeight="false" outlineLevel="0" collapsed="false">
      <c r="A144" s="1" t="n">
        <f aca="false">1+A143</f>
        <v>143</v>
      </c>
      <c r="B144" s="1" t="n">
        <v>16.0622</v>
      </c>
    </row>
    <row r="145" customFormat="false" ht="13.8" hidden="false" customHeight="false" outlineLevel="0" collapsed="false">
      <c r="A145" s="1" t="n">
        <f aca="false">1+A144</f>
        <v>144</v>
      </c>
      <c r="B145" s="1" t="n">
        <v>16.0056</v>
      </c>
    </row>
    <row r="146" customFormat="false" ht="13.8" hidden="false" customHeight="false" outlineLevel="0" collapsed="false">
      <c r="A146" s="1" t="n">
        <f aca="false">1+A145</f>
        <v>145</v>
      </c>
      <c r="B146" s="1" t="n">
        <v>15.9507</v>
      </c>
    </row>
    <row r="147" customFormat="false" ht="13.8" hidden="false" customHeight="false" outlineLevel="0" collapsed="false">
      <c r="A147" s="1" t="n">
        <f aca="false">1+A146</f>
        <v>146</v>
      </c>
      <c r="B147" s="1" t="n">
        <v>15.8915</v>
      </c>
    </row>
    <row r="148" customFormat="false" ht="13.8" hidden="false" customHeight="false" outlineLevel="0" collapsed="false">
      <c r="A148" s="1" t="n">
        <f aca="false">1+A147</f>
        <v>147</v>
      </c>
      <c r="B148" s="1" t="n">
        <v>15.8367</v>
      </c>
    </row>
    <row r="149" customFormat="false" ht="13.8" hidden="false" customHeight="false" outlineLevel="0" collapsed="false">
      <c r="A149" s="1" t="n">
        <f aca="false">1+A148</f>
        <v>148</v>
      </c>
      <c r="B149" s="1" t="n">
        <v>15.7792</v>
      </c>
    </row>
    <row r="150" customFormat="false" ht="13.8" hidden="false" customHeight="false" outlineLevel="0" collapsed="false">
      <c r="A150" s="1" t="n">
        <f aca="false">1+A149</f>
        <v>149</v>
      </c>
      <c r="B150" s="1" t="n">
        <v>15.7222</v>
      </c>
    </row>
    <row r="151" customFormat="false" ht="13.8" hidden="false" customHeight="false" outlineLevel="0" collapsed="false">
      <c r="A151" s="1" t="n">
        <f aca="false">1+A150</f>
        <v>150</v>
      </c>
      <c r="B151" s="1" t="n">
        <v>15.6756</v>
      </c>
    </row>
    <row r="152" customFormat="false" ht="13.8" hidden="false" customHeight="false" outlineLevel="0" collapsed="false">
      <c r="A152" s="1" t="n">
        <f aca="false">1+A151</f>
        <v>151</v>
      </c>
      <c r="B152" s="1" t="n">
        <v>15.619</v>
      </c>
    </row>
    <row r="153" customFormat="false" ht="13.8" hidden="false" customHeight="false" outlineLevel="0" collapsed="false">
      <c r="A153" s="1" t="n">
        <f aca="false">1+A152</f>
        <v>152</v>
      </c>
      <c r="B153" s="1" t="n">
        <v>15.5685</v>
      </c>
    </row>
    <row r="154" customFormat="false" ht="13.8" hidden="false" customHeight="false" outlineLevel="0" collapsed="false">
      <c r="A154" s="1" t="n">
        <f aca="false">1+A153</f>
        <v>153</v>
      </c>
      <c r="B154" s="1" t="n">
        <v>15.5147</v>
      </c>
    </row>
    <row r="155" customFormat="false" ht="13.8" hidden="false" customHeight="false" outlineLevel="0" collapsed="false">
      <c r="A155" s="1" t="n">
        <f aca="false">1+A154</f>
        <v>154</v>
      </c>
      <c r="B155" s="1" t="n">
        <v>15.4636</v>
      </c>
    </row>
    <row r="156" customFormat="false" ht="13.8" hidden="false" customHeight="false" outlineLevel="0" collapsed="false">
      <c r="A156" s="1" t="n">
        <f aca="false">1+A155</f>
        <v>155</v>
      </c>
      <c r="B156" s="1" t="n">
        <v>15.4167</v>
      </c>
    </row>
    <row r="157" customFormat="false" ht="13.8" hidden="false" customHeight="false" outlineLevel="0" collapsed="false">
      <c r="A157" s="1" t="n">
        <f aca="false">1+A156</f>
        <v>156</v>
      </c>
      <c r="B157" s="1" t="n">
        <v>15.3669</v>
      </c>
    </row>
    <row r="158" customFormat="false" ht="13.8" hidden="false" customHeight="false" outlineLevel="0" collapsed="false">
      <c r="A158" s="1" t="n">
        <f aca="false">1+A157</f>
        <v>157</v>
      </c>
      <c r="B158" s="1" t="n">
        <v>15.3166</v>
      </c>
    </row>
    <row r="159" customFormat="false" ht="13.8" hidden="false" customHeight="false" outlineLevel="0" collapsed="false">
      <c r="A159" s="1" t="n">
        <f aca="false">1+A158</f>
        <v>158</v>
      </c>
      <c r="B159" s="1" t="n">
        <v>15.2652</v>
      </c>
    </row>
    <row r="160" customFormat="false" ht="13.8" hidden="false" customHeight="false" outlineLevel="0" collapsed="false">
      <c r="A160" s="1" t="n">
        <f aca="false">1+A159</f>
        <v>159</v>
      </c>
      <c r="B160" s="1" t="n">
        <v>15.2131</v>
      </c>
    </row>
    <row r="161" customFormat="false" ht="13.8" hidden="false" customHeight="false" outlineLevel="0" collapsed="false">
      <c r="A161" s="1" t="n">
        <f aca="false">1+A160</f>
        <v>160</v>
      </c>
      <c r="B161" s="1" t="n">
        <v>15.1561</v>
      </c>
    </row>
    <row r="162" customFormat="false" ht="13.8" hidden="false" customHeight="false" outlineLevel="0" collapsed="false">
      <c r="A162" s="1" t="n">
        <f aca="false">1+A161</f>
        <v>161</v>
      </c>
      <c r="B162" s="1" t="n">
        <v>15.1025</v>
      </c>
    </row>
    <row r="163" customFormat="false" ht="13.8" hidden="false" customHeight="false" outlineLevel="0" collapsed="false">
      <c r="A163" s="1" t="n">
        <f aca="false">1+A162</f>
        <v>162</v>
      </c>
      <c r="B163" s="1" t="n">
        <v>15.0495</v>
      </c>
    </row>
    <row r="164" customFormat="false" ht="13.8" hidden="false" customHeight="false" outlineLevel="0" collapsed="false">
      <c r="A164" s="1" t="n">
        <f aca="false">1+A163</f>
        <v>163</v>
      </c>
      <c r="B164" s="1" t="n">
        <v>15.0007</v>
      </c>
    </row>
    <row r="165" customFormat="false" ht="13.8" hidden="false" customHeight="false" outlineLevel="0" collapsed="false">
      <c r="A165" s="1" t="n">
        <f aca="false">1+A164</f>
        <v>164</v>
      </c>
      <c r="B165" s="1" t="n">
        <v>14.9515</v>
      </c>
    </row>
    <row r="166" customFormat="false" ht="13.8" hidden="false" customHeight="false" outlineLevel="0" collapsed="false">
      <c r="A166" s="1" t="n">
        <f aca="false">1+A165</f>
        <v>165</v>
      </c>
      <c r="B166" s="1" t="n">
        <v>14.9042</v>
      </c>
    </row>
    <row r="167" customFormat="false" ht="13.8" hidden="false" customHeight="false" outlineLevel="0" collapsed="false">
      <c r="A167" s="1" t="n">
        <f aca="false">1+A166</f>
        <v>166</v>
      </c>
      <c r="B167" s="1" t="n">
        <v>14.8601</v>
      </c>
    </row>
    <row r="168" customFormat="false" ht="13.8" hidden="false" customHeight="false" outlineLevel="0" collapsed="false">
      <c r="A168" s="1" t="n">
        <f aca="false">1+A167</f>
        <v>167</v>
      </c>
      <c r="B168" s="1" t="n">
        <v>14.8124</v>
      </c>
    </row>
    <row r="169" customFormat="false" ht="13.8" hidden="false" customHeight="false" outlineLevel="0" collapsed="false">
      <c r="A169" s="1" t="n">
        <f aca="false">1+A168</f>
        <v>168</v>
      </c>
      <c r="B169" s="1" t="n">
        <v>14.7675</v>
      </c>
    </row>
    <row r="170" customFormat="false" ht="13.8" hidden="false" customHeight="false" outlineLevel="0" collapsed="false">
      <c r="A170" s="1" t="n">
        <f aca="false">1+A169</f>
        <v>169</v>
      </c>
      <c r="B170" s="1" t="n">
        <v>14.7197</v>
      </c>
    </row>
    <row r="171" customFormat="false" ht="13.8" hidden="false" customHeight="false" outlineLevel="0" collapsed="false">
      <c r="A171" s="1" t="n">
        <f aca="false">1+A170</f>
        <v>170</v>
      </c>
      <c r="B171" s="1" t="n">
        <v>14.6647</v>
      </c>
    </row>
    <row r="172" customFormat="false" ht="13.8" hidden="false" customHeight="false" outlineLevel="0" collapsed="false">
      <c r="A172" s="1" t="n">
        <f aca="false">1+A171</f>
        <v>171</v>
      </c>
      <c r="B172" s="1" t="n">
        <v>14.6113</v>
      </c>
    </row>
    <row r="173" customFormat="false" ht="13.8" hidden="false" customHeight="false" outlineLevel="0" collapsed="false">
      <c r="A173" s="1" t="n">
        <f aca="false">1+A172</f>
        <v>172</v>
      </c>
      <c r="B173" s="1" t="n">
        <v>14.558</v>
      </c>
    </row>
    <row r="174" customFormat="false" ht="13.8" hidden="false" customHeight="false" outlineLevel="0" collapsed="false">
      <c r="A174" s="1" t="n">
        <f aca="false">1+A173</f>
        <v>173</v>
      </c>
      <c r="B174" s="1" t="n">
        <v>14.5068</v>
      </c>
    </row>
    <row r="175" customFormat="false" ht="13.8" hidden="false" customHeight="false" outlineLevel="0" collapsed="false">
      <c r="A175" s="1" t="n">
        <f aca="false">1+A174</f>
        <v>174</v>
      </c>
      <c r="B175" s="1" t="n">
        <v>14.4617</v>
      </c>
    </row>
    <row r="176" customFormat="false" ht="13.8" hidden="false" customHeight="false" outlineLevel="0" collapsed="false">
      <c r="A176" s="1" t="n">
        <f aca="false">1+A175</f>
        <v>175</v>
      </c>
      <c r="B176" s="1" t="n">
        <v>14.4139</v>
      </c>
    </row>
    <row r="177" customFormat="false" ht="13.8" hidden="false" customHeight="false" outlineLevel="0" collapsed="false">
      <c r="A177" s="1" t="n">
        <f aca="false">1+A176</f>
        <v>176</v>
      </c>
      <c r="B177" s="1" t="n">
        <v>14.3703</v>
      </c>
    </row>
    <row r="178" customFormat="false" ht="13.8" hidden="false" customHeight="false" outlineLevel="0" collapsed="false">
      <c r="A178" s="1" t="n">
        <f aca="false">1+A177</f>
        <v>177</v>
      </c>
      <c r="B178" s="1" t="n">
        <v>14.3288</v>
      </c>
    </row>
    <row r="179" customFormat="false" ht="13.8" hidden="false" customHeight="false" outlineLevel="0" collapsed="false">
      <c r="A179" s="1" t="n">
        <f aca="false">1+A178</f>
        <v>178</v>
      </c>
      <c r="B179" s="1" t="n">
        <v>14.2742</v>
      </c>
    </row>
    <row r="180" customFormat="false" ht="13.8" hidden="false" customHeight="false" outlineLevel="0" collapsed="false">
      <c r="A180" s="1" t="n">
        <f aca="false">1+A179</f>
        <v>179</v>
      </c>
      <c r="B180" s="1" t="n">
        <v>14.2298</v>
      </c>
    </row>
    <row r="181" customFormat="false" ht="13.8" hidden="false" customHeight="false" outlineLevel="0" collapsed="false">
      <c r="A181" s="1" t="n">
        <f aca="false">1+A180</f>
        <v>180</v>
      </c>
      <c r="B181" s="1" t="n">
        <v>14.1745</v>
      </c>
    </row>
    <row r="182" customFormat="false" ht="13.8" hidden="false" customHeight="false" outlineLevel="0" collapsed="false">
      <c r="A182" s="1" t="n">
        <f aca="false">1+A181</f>
        <v>181</v>
      </c>
      <c r="B182" s="1" t="n">
        <v>14.1297</v>
      </c>
    </row>
    <row r="183" customFormat="false" ht="13.8" hidden="false" customHeight="false" outlineLevel="0" collapsed="false">
      <c r="A183" s="1" t="n">
        <f aca="false">1+A182</f>
        <v>182</v>
      </c>
      <c r="B183" s="1" t="n">
        <v>14.084</v>
      </c>
    </row>
    <row r="184" customFormat="false" ht="13.8" hidden="false" customHeight="false" outlineLevel="0" collapsed="false">
      <c r="A184" s="1" t="n">
        <f aca="false">1+A183</f>
        <v>183</v>
      </c>
      <c r="B184" s="1" t="n">
        <v>14.0417</v>
      </c>
    </row>
    <row r="185" customFormat="false" ht="13.8" hidden="false" customHeight="false" outlineLevel="0" collapsed="false">
      <c r="A185" s="1" t="n">
        <f aca="false">1+A184</f>
        <v>184</v>
      </c>
      <c r="B185" s="1" t="n">
        <v>13.9917</v>
      </c>
    </row>
    <row r="186" customFormat="false" ht="13.8" hidden="false" customHeight="false" outlineLevel="0" collapsed="false">
      <c r="A186" s="1" t="n">
        <f aca="false">1+A185</f>
        <v>185</v>
      </c>
      <c r="B186" s="1" t="n">
        <v>13.9529</v>
      </c>
    </row>
    <row r="187" customFormat="false" ht="13.8" hidden="false" customHeight="false" outlineLevel="0" collapsed="false">
      <c r="A187" s="1" t="n">
        <f aca="false">1+A186</f>
        <v>186</v>
      </c>
      <c r="B187" s="1" t="n">
        <v>13.9048</v>
      </c>
    </row>
    <row r="188" customFormat="false" ht="13.8" hidden="false" customHeight="false" outlineLevel="0" collapsed="false">
      <c r="A188" s="1" t="n">
        <f aca="false">1+A187</f>
        <v>187</v>
      </c>
      <c r="B188" s="1" t="n">
        <v>13.8647</v>
      </c>
    </row>
    <row r="189" customFormat="false" ht="13.8" hidden="false" customHeight="false" outlineLevel="0" collapsed="false">
      <c r="A189" s="1" t="n">
        <f aca="false">1+A188</f>
        <v>188</v>
      </c>
      <c r="B189" s="1" t="n">
        <v>13.8158</v>
      </c>
    </row>
    <row r="190" customFormat="false" ht="13.8" hidden="false" customHeight="false" outlineLevel="0" collapsed="false">
      <c r="A190" s="1" t="n">
        <f aca="false">1+A189</f>
        <v>189</v>
      </c>
      <c r="B190" s="1" t="n">
        <v>13.7759</v>
      </c>
    </row>
    <row r="191" customFormat="false" ht="13.8" hidden="false" customHeight="false" outlineLevel="0" collapsed="false">
      <c r="A191" s="1" t="n">
        <f aca="false">1+A190</f>
        <v>190</v>
      </c>
      <c r="B191" s="1" t="n">
        <v>13.7345</v>
      </c>
    </row>
    <row r="192" customFormat="false" ht="13.8" hidden="false" customHeight="false" outlineLevel="0" collapsed="false">
      <c r="A192" s="1" t="n">
        <f aca="false">1+A191</f>
        <v>191</v>
      </c>
      <c r="B192" s="1" t="n">
        <v>13.6838</v>
      </c>
    </row>
    <row r="193" customFormat="false" ht="13.8" hidden="false" customHeight="false" outlineLevel="0" collapsed="false">
      <c r="A193" s="1" t="n">
        <f aca="false">1+A192</f>
        <v>192</v>
      </c>
      <c r="B193" s="1" t="n">
        <v>13.6468</v>
      </c>
    </row>
    <row r="194" customFormat="false" ht="13.8" hidden="false" customHeight="false" outlineLevel="0" collapsed="false">
      <c r="A194" s="1" t="n">
        <f aca="false">1+A193</f>
        <v>193</v>
      </c>
      <c r="B194" s="1" t="n">
        <v>13.5993</v>
      </c>
    </row>
    <row r="195" customFormat="false" ht="13.8" hidden="false" customHeight="false" outlineLevel="0" collapsed="false">
      <c r="A195" s="1" t="n">
        <f aca="false">1+A194</f>
        <v>194</v>
      </c>
      <c r="B195" s="1" t="n">
        <v>13.5553</v>
      </c>
    </row>
    <row r="196" customFormat="false" ht="13.8" hidden="false" customHeight="false" outlineLevel="0" collapsed="false">
      <c r="A196" s="1" t="n">
        <f aca="false">1+A195</f>
        <v>195</v>
      </c>
      <c r="B196" s="1" t="n">
        <v>13.5191</v>
      </c>
    </row>
    <row r="197" customFormat="false" ht="13.8" hidden="false" customHeight="false" outlineLevel="0" collapsed="false">
      <c r="A197" s="1" t="n">
        <f aca="false">1+A196</f>
        <v>196</v>
      </c>
      <c r="B197" s="1" t="n">
        <v>13.4708</v>
      </c>
    </row>
    <row r="198" customFormat="false" ht="13.8" hidden="false" customHeight="false" outlineLevel="0" collapsed="false">
      <c r="A198" s="1" t="n">
        <f aca="false">1+A197</f>
        <v>197</v>
      </c>
      <c r="B198" s="1" t="n">
        <v>13.4265</v>
      </c>
    </row>
    <row r="199" customFormat="false" ht="13.8" hidden="false" customHeight="false" outlineLevel="0" collapsed="false">
      <c r="A199" s="1" t="n">
        <f aca="false">1+A198</f>
        <v>198</v>
      </c>
      <c r="B199" s="1" t="n">
        <v>13.3796</v>
      </c>
    </row>
    <row r="200" customFormat="false" ht="13.8" hidden="false" customHeight="false" outlineLevel="0" collapsed="false">
      <c r="A200" s="1" t="n">
        <f aca="false">1+A199</f>
        <v>199</v>
      </c>
      <c r="B200" s="1" t="n">
        <v>13.3348</v>
      </c>
    </row>
    <row r="201" customFormat="false" ht="13.8" hidden="false" customHeight="false" outlineLevel="0" collapsed="false">
      <c r="A201" s="1" t="n">
        <f aca="false">1+A200</f>
        <v>200</v>
      </c>
      <c r="B201" s="1" t="n">
        <v>13.2921</v>
      </c>
    </row>
    <row r="202" customFormat="false" ht="13.8" hidden="false" customHeight="false" outlineLevel="0" collapsed="false">
      <c r="A202" s="1" t="n">
        <f aca="false">1+A201</f>
        <v>201</v>
      </c>
      <c r="B202" s="1" t="n">
        <v>13.253</v>
      </c>
    </row>
    <row r="203" customFormat="false" ht="13.8" hidden="false" customHeight="false" outlineLevel="0" collapsed="false">
      <c r="A203" s="1" t="n">
        <f aca="false">1+A202</f>
        <v>202</v>
      </c>
      <c r="B203" s="1" t="n">
        <v>13.2127</v>
      </c>
    </row>
    <row r="204" customFormat="false" ht="13.8" hidden="false" customHeight="false" outlineLevel="0" collapsed="false">
      <c r="A204" s="1" t="n">
        <f aca="false">1+A203</f>
        <v>203</v>
      </c>
      <c r="B204" s="1" t="n">
        <v>13.172</v>
      </c>
    </row>
    <row r="205" customFormat="false" ht="13.8" hidden="false" customHeight="false" outlineLevel="0" collapsed="false">
      <c r="A205" s="1" t="n">
        <f aca="false">1+A204</f>
        <v>204</v>
      </c>
      <c r="B205" s="1" t="n">
        <v>13.1205</v>
      </c>
    </row>
    <row r="206" customFormat="false" ht="13.8" hidden="false" customHeight="false" outlineLevel="0" collapsed="false">
      <c r="A206" s="1" t="n">
        <f aca="false">1+A205</f>
        <v>205</v>
      </c>
      <c r="B206" s="1" t="n">
        <v>13.081</v>
      </c>
    </row>
    <row r="207" customFormat="false" ht="13.8" hidden="false" customHeight="false" outlineLevel="0" collapsed="false">
      <c r="A207" s="1" t="n">
        <f aca="false">1+A206</f>
        <v>206</v>
      </c>
      <c r="B207" s="1" t="n">
        <v>13.0403</v>
      </c>
    </row>
    <row r="208" customFormat="false" ht="13.8" hidden="false" customHeight="false" outlineLevel="0" collapsed="false">
      <c r="A208" s="1" t="n">
        <f aca="false">1+A207</f>
        <v>207</v>
      </c>
      <c r="B208" s="1" t="n">
        <v>13.0071</v>
      </c>
    </row>
    <row r="209" customFormat="false" ht="13.8" hidden="false" customHeight="false" outlineLevel="0" collapsed="false">
      <c r="A209" s="1" t="n">
        <f aca="false">1+A208</f>
        <v>208</v>
      </c>
      <c r="B209" s="1" t="n">
        <v>12.9652</v>
      </c>
    </row>
    <row r="210" customFormat="false" ht="13.8" hidden="false" customHeight="false" outlineLevel="0" collapsed="false">
      <c r="A210" s="1" t="n">
        <f aca="false">1+A209</f>
        <v>209</v>
      </c>
      <c r="B210" s="1" t="n">
        <v>12.9264</v>
      </c>
    </row>
    <row r="211" customFormat="false" ht="13.8" hidden="false" customHeight="false" outlineLevel="0" collapsed="false">
      <c r="A211" s="1" t="n">
        <f aca="false">1+A210</f>
        <v>210</v>
      </c>
      <c r="B211" s="1" t="n">
        <v>12.8812</v>
      </c>
    </row>
    <row r="212" customFormat="false" ht="13.8" hidden="false" customHeight="false" outlineLevel="0" collapsed="false">
      <c r="A212" s="1" t="n">
        <f aca="false">1+A211</f>
        <v>211</v>
      </c>
      <c r="B212" s="1" t="n">
        <v>12.8458</v>
      </c>
    </row>
    <row r="213" customFormat="false" ht="13.8" hidden="false" customHeight="false" outlineLevel="0" collapsed="false">
      <c r="A213" s="1" t="n">
        <f aca="false">1+A212</f>
        <v>212</v>
      </c>
      <c r="B213" s="1" t="n">
        <v>12.8087</v>
      </c>
    </row>
    <row r="214" customFormat="false" ht="13.8" hidden="false" customHeight="false" outlineLevel="0" collapsed="false">
      <c r="A214" s="1" t="n">
        <f aca="false">1+A213</f>
        <v>213</v>
      </c>
      <c r="B214" s="1" t="n">
        <v>12.7765</v>
      </c>
    </row>
    <row r="215" customFormat="false" ht="13.8" hidden="false" customHeight="false" outlineLevel="0" collapsed="false">
      <c r="A215" s="1" t="n">
        <f aca="false">1+A214</f>
        <v>214</v>
      </c>
      <c r="B215" s="1" t="n">
        <v>12.7311</v>
      </c>
    </row>
    <row r="216" customFormat="false" ht="13.8" hidden="false" customHeight="false" outlineLevel="0" collapsed="false">
      <c r="A216" s="1" t="n">
        <f aca="false">1+A215</f>
        <v>215</v>
      </c>
      <c r="B216" s="1" t="n">
        <v>12.6911</v>
      </c>
    </row>
    <row r="217" customFormat="false" ht="13.8" hidden="false" customHeight="false" outlineLevel="0" collapsed="false">
      <c r="A217" s="1" t="n">
        <f aca="false">1+A216</f>
        <v>216</v>
      </c>
      <c r="B217" s="1" t="n">
        <v>12.6494</v>
      </c>
    </row>
    <row r="218" customFormat="false" ht="13.8" hidden="false" customHeight="false" outlineLevel="0" collapsed="false">
      <c r="A218" s="1" t="n">
        <f aca="false">1+A217</f>
        <v>217</v>
      </c>
      <c r="B218" s="1" t="n">
        <v>12.6077</v>
      </c>
    </row>
    <row r="219" customFormat="false" ht="13.8" hidden="false" customHeight="false" outlineLevel="0" collapsed="false">
      <c r="A219" s="1" t="n">
        <f aca="false">1+A218</f>
        <v>218</v>
      </c>
      <c r="B219" s="1" t="n">
        <v>12.5749</v>
      </c>
    </row>
    <row r="220" customFormat="false" ht="13.8" hidden="false" customHeight="false" outlineLevel="0" collapsed="false">
      <c r="A220" s="1" t="n">
        <f aca="false">1+A219</f>
        <v>219</v>
      </c>
      <c r="B220" s="1" t="n">
        <v>12.5381</v>
      </c>
    </row>
    <row r="221" customFormat="false" ht="13.8" hidden="false" customHeight="false" outlineLevel="0" collapsed="false">
      <c r="A221" s="1" t="n">
        <f aca="false">1+A220</f>
        <v>220</v>
      </c>
      <c r="B221" s="1" t="n">
        <v>12.4945</v>
      </c>
    </row>
    <row r="222" customFormat="false" ht="13.8" hidden="false" customHeight="false" outlineLevel="0" collapsed="false">
      <c r="A222" s="1" t="n">
        <f aca="false">1+A221</f>
        <v>221</v>
      </c>
      <c r="B222" s="1" t="n">
        <v>12.4633</v>
      </c>
    </row>
    <row r="223" customFormat="false" ht="13.8" hidden="false" customHeight="false" outlineLevel="0" collapsed="false">
      <c r="A223" s="1" t="n">
        <f aca="false">1+A222</f>
        <v>222</v>
      </c>
      <c r="B223" s="1" t="n">
        <v>12.4126</v>
      </c>
    </row>
    <row r="224" customFormat="false" ht="13.8" hidden="false" customHeight="false" outlineLevel="0" collapsed="false">
      <c r="A224" s="1" t="n">
        <f aca="false">1+A223</f>
        <v>223</v>
      </c>
      <c r="B224" s="1" t="n">
        <v>12.3718</v>
      </c>
    </row>
    <row r="225" customFormat="false" ht="13.8" hidden="false" customHeight="false" outlineLevel="0" collapsed="false">
      <c r="A225" s="1" t="n">
        <f aca="false">1+A224</f>
        <v>224</v>
      </c>
      <c r="B225" s="1" t="n">
        <v>12.3399</v>
      </c>
    </row>
    <row r="226" customFormat="false" ht="13.8" hidden="false" customHeight="false" outlineLevel="0" collapsed="false">
      <c r="A226" s="1" t="n">
        <f aca="false">1+A225</f>
        <v>225</v>
      </c>
      <c r="B226" s="1" t="n">
        <v>12.3042</v>
      </c>
    </row>
    <row r="227" customFormat="false" ht="13.8" hidden="false" customHeight="false" outlineLevel="0" collapsed="false">
      <c r="A227" s="1" t="n">
        <f aca="false">1+A226</f>
        <v>226</v>
      </c>
      <c r="B227" s="1" t="n">
        <v>12.2682</v>
      </c>
    </row>
    <row r="228" customFormat="false" ht="13.8" hidden="false" customHeight="false" outlineLevel="0" collapsed="false">
      <c r="A228" s="1" t="n">
        <f aca="false">1+A227</f>
        <v>227</v>
      </c>
      <c r="B228" s="1" t="n">
        <v>12.2239</v>
      </c>
    </row>
    <row r="229" customFormat="false" ht="13.8" hidden="false" customHeight="false" outlineLevel="0" collapsed="false">
      <c r="A229" s="1" t="n">
        <f aca="false">1+A228</f>
        <v>228</v>
      </c>
      <c r="B229" s="1" t="n">
        <v>12.19</v>
      </c>
    </row>
    <row r="230" customFormat="false" ht="13.8" hidden="false" customHeight="false" outlineLevel="0" collapsed="false">
      <c r="A230" s="1" t="n">
        <f aca="false">1+A229</f>
        <v>229</v>
      </c>
      <c r="B230" s="1" t="n">
        <v>12.1584</v>
      </c>
    </row>
    <row r="231" customFormat="false" ht="13.8" hidden="false" customHeight="false" outlineLevel="0" collapsed="false">
      <c r="A231" s="1" t="n">
        <f aca="false">1+A230</f>
        <v>230</v>
      </c>
      <c r="B231" s="1" t="n">
        <v>12.1311</v>
      </c>
    </row>
    <row r="232" customFormat="false" ht="13.8" hidden="false" customHeight="false" outlineLevel="0" collapsed="false">
      <c r="A232" s="1" t="n">
        <f aca="false">1+A231</f>
        <v>231</v>
      </c>
      <c r="B232" s="1" t="n">
        <v>12.0939</v>
      </c>
    </row>
    <row r="233" customFormat="false" ht="13.8" hidden="false" customHeight="false" outlineLevel="0" collapsed="false">
      <c r="A233" s="1" t="n">
        <f aca="false">1+A232</f>
        <v>232</v>
      </c>
      <c r="B233" s="1" t="n">
        <v>12.0567</v>
      </c>
    </row>
    <row r="234" customFormat="false" ht="13.8" hidden="false" customHeight="false" outlineLevel="0" collapsed="false">
      <c r="A234" s="1" t="n">
        <f aca="false">1+A233</f>
        <v>233</v>
      </c>
      <c r="B234" s="1" t="n">
        <v>12.0204</v>
      </c>
    </row>
    <row r="235" customFormat="false" ht="13.8" hidden="false" customHeight="false" outlineLevel="0" collapsed="false">
      <c r="A235" s="1" t="n">
        <f aca="false">1+A234</f>
        <v>234</v>
      </c>
      <c r="B235" s="1" t="n">
        <v>11.979</v>
      </c>
    </row>
    <row r="236" customFormat="false" ht="13.8" hidden="false" customHeight="false" outlineLevel="0" collapsed="false">
      <c r="A236" s="1" t="n">
        <f aca="false">1+A235</f>
        <v>235</v>
      </c>
      <c r="B236" s="1" t="n">
        <v>11.9437</v>
      </c>
    </row>
    <row r="237" customFormat="false" ht="13.8" hidden="false" customHeight="false" outlineLevel="0" collapsed="false">
      <c r="A237" s="1" t="n">
        <f aca="false">1+A236</f>
        <v>236</v>
      </c>
      <c r="B237" s="1" t="n">
        <v>11.9124</v>
      </c>
    </row>
    <row r="238" customFormat="false" ht="13.8" hidden="false" customHeight="false" outlineLevel="0" collapsed="false">
      <c r="A238" s="1" t="n">
        <f aca="false">1+A237</f>
        <v>237</v>
      </c>
      <c r="B238" s="1" t="n">
        <v>11.8786</v>
      </c>
    </row>
    <row r="239" customFormat="false" ht="13.8" hidden="false" customHeight="false" outlineLevel="0" collapsed="false">
      <c r="A239" s="1" t="n">
        <f aca="false">1+A238</f>
        <v>238</v>
      </c>
      <c r="B239" s="1" t="n">
        <v>11.8385</v>
      </c>
    </row>
    <row r="240" customFormat="false" ht="13.8" hidden="false" customHeight="false" outlineLevel="0" collapsed="false">
      <c r="A240" s="1" t="n">
        <f aca="false">1+A239</f>
        <v>239</v>
      </c>
      <c r="B240" s="1" t="n">
        <v>11.7989</v>
      </c>
    </row>
    <row r="241" customFormat="false" ht="13.8" hidden="false" customHeight="false" outlineLevel="0" collapsed="false">
      <c r="A241" s="1" t="n">
        <f aca="false">1+A240</f>
        <v>240</v>
      </c>
      <c r="B241" s="1" t="n">
        <v>11.7661</v>
      </c>
    </row>
    <row r="242" customFormat="false" ht="13.8" hidden="false" customHeight="false" outlineLevel="0" collapsed="false">
      <c r="A242" s="1" t="n">
        <f aca="false">1+A241</f>
        <v>241</v>
      </c>
      <c r="B242" s="1" t="n">
        <v>11.7337</v>
      </c>
    </row>
    <row r="243" customFormat="false" ht="13.8" hidden="false" customHeight="false" outlineLevel="0" collapsed="false">
      <c r="A243" s="1" t="n">
        <f aca="false">1+A242</f>
        <v>242</v>
      </c>
      <c r="B243" s="1" t="n">
        <v>11.6957</v>
      </c>
    </row>
    <row r="244" customFormat="false" ht="13.8" hidden="false" customHeight="false" outlineLevel="0" collapsed="false">
      <c r="A244" s="1" t="n">
        <f aca="false">1+A243</f>
        <v>243</v>
      </c>
      <c r="B244" s="1" t="n">
        <v>11.6617</v>
      </c>
    </row>
    <row r="245" customFormat="false" ht="13.8" hidden="false" customHeight="false" outlineLevel="0" collapsed="false">
      <c r="A245" s="1" t="n">
        <f aca="false">1+A244</f>
        <v>244</v>
      </c>
      <c r="B245" s="1" t="n">
        <v>11.6233</v>
      </c>
    </row>
    <row r="246" customFormat="false" ht="13.8" hidden="false" customHeight="false" outlineLevel="0" collapsed="false">
      <c r="A246" s="1" t="n">
        <f aca="false">1+A245</f>
        <v>245</v>
      </c>
      <c r="B246" s="1" t="n">
        <v>11.5832</v>
      </c>
    </row>
    <row r="247" customFormat="false" ht="13.8" hidden="false" customHeight="false" outlineLevel="0" collapsed="false">
      <c r="A247" s="1" t="n">
        <f aca="false">1+A246</f>
        <v>246</v>
      </c>
      <c r="B247" s="1" t="n">
        <v>11.549</v>
      </c>
    </row>
    <row r="248" customFormat="false" ht="13.8" hidden="false" customHeight="false" outlineLevel="0" collapsed="false">
      <c r="A248" s="1" t="n">
        <f aca="false">1+A247</f>
        <v>247</v>
      </c>
      <c r="B248" s="1" t="n">
        <v>11.515</v>
      </c>
    </row>
    <row r="249" customFormat="false" ht="13.8" hidden="false" customHeight="false" outlineLevel="0" collapsed="false">
      <c r="A249" s="1" t="n">
        <f aca="false">1+A248</f>
        <v>248</v>
      </c>
      <c r="B249" s="1" t="n">
        <v>11.485</v>
      </c>
    </row>
    <row r="250" customFormat="false" ht="13.8" hidden="false" customHeight="false" outlineLevel="0" collapsed="false">
      <c r="A250" s="1" t="n">
        <f aca="false">1+A249</f>
        <v>249</v>
      </c>
      <c r="B250" s="1" t="n">
        <v>11.4521</v>
      </c>
    </row>
    <row r="251" customFormat="false" ht="13.8" hidden="false" customHeight="false" outlineLevel="0" collapsed="false">
      <c r="A251" s="1" t="n">
        <f aca="false">1+A250</f>
        <v>250</v>
      </c>
      <c r="B251" s="1" t="n">
        <v>11.4253</v>
      </c>
    </row>
    <row r="252" customFormat="false" ht="13.8" hidden="false" customHeight="false" outlineLevel="0" collapsed="false">
      <c r="A252" s="1" t="n">
        <f aca="false">1+A251</f>
        <v>251</v>
      </c>
      <c r="B252" s="1" t="n">
        <v>11.3944</v>
      </c>
    </row>
    <row r="253" customFormat="false" ht="13.8" hidden="false" customHeight="false" outlineLevel="0" collapsed="false">
      <c r="A253" s="1" t="n">
        <f aca="false">1+A252</f>
        <v>252</v>
      </c>
      <c r="B253" s="1" t="n">
        <v>11.3567</v>
      </c>
    </row>
    <row r="254" customFormat="false" ht="13.8" hidden="false" customHeight="false" outlineLevel="0" collapsed="false">
      <c r="A254" s="1" t="n">
        <f aca="false">1+A253</f>
        <v>253</v>
      </c>
      <c r="B254" s="1" t="n">
        <v>11.3126</v>
      </c>
    </row>
    <row r="255" customFormat="false" ht="13.8" hidden="false" customHeight="false" outlineLevel="0" collapsed="false">
      <c r="A255" s="1" t="n">
        <f aca="false">1+A254</f>
        <v>254</v>
      </c>
      <c r="B255" s="1" t="n">
        <v>11.2776</v>
      </c>
    </row>
    <row r="256" customFormat="false" ht="13.8" hidden="false" customHeight="false" outlineLevel="0" collapsed="false">
      <c r="A256" s="1" t="n">
        <f aca="false">1+A255</f>
        <v>255</v>
      </c>
      <c r="B256" s="1" t="n">
        <v>11.2455</v>
      </c>
    </row>
    <row r="257" customFormat="false" ht="13.8" hidden="false" customHeight="false" outlineLevel="0" collapsed="false">
      <c r="A257" s="1" t="n">
        <f aca="false">1+A256</f>
        <v>256</v>
      </c>
      <c r="B257" s="1" t="n">
        <v>11.2121</v>
      </c>
    </row>
    <row r="258" customFormat="false" ht="13.8" hidden="false" customHeight="false" outlineLevel="0" collapsed="false">
      <c r="A258" s="1" t="n">
        <f aca="false">1+A257</f>
        <v>257</v>
      </c>
      <c r="B258" s="1" t="n">
        <v>11.1724</v>
      </c>
    </row>
    <row r="259" customFormat="false" ht="13.8" hidden="false" customHeight="false" outlineLevel="0" collapsed="false">
      <c r="A259" s="1" t="n">
        <f aca="false">1+A258</f>
        <v>258</v>
      </c>
      <c r="B259" s="1" t="n">
        <v>11.1351</v>
      </c>
    </row>
    <row r="260" customFormat="false" ht="13.8" hidden="false" customHeight="false" outlineLevel="0" collapsed="false">
      <c r="A260" s="1" t="n">
        <f aca="false">1+A259</f>
        <v>259</v>
      </c>
      <c r="B260" s="1" t="n">
        <v>11.1044</v>
      </c>
    </row>
    <row r="261" customFormat="false" ht="13.8" hidden="false" customHeight="false" outlineLevel="0" collapsed="false">
      <c r="A261" s="1" t="n">
        <f aca="false">1+A260</f>
        <v>260</v>
      </c>
      <c r="B261" s="1" t="n">
        <v>11.0766</v>
      </c>
    </row>
    <row r="262" customFormat="false" ht="13.8" hidden="false" customHeight="false" outlineLevel="0" collapsed="false">
      <c r="A262" s="1" t="n">
        <f aca="false">1+A261</f>
        <v>261</v>
      </c>
      <c r="B262" s="1" t="n">
        <v>11.0414</v>
      </c>
    </row>
    <row r="263" customFormat="false" ht="13.8" hidden="false" customHeight="false" outlineLevel="0" collapsed="false">
      <c r="A263" s="1" t="n">
        <f aca="false">1+A262</f>
        <v>262</v>
      </c>
      <c r="B263" s="1" t="n">
        <v>11.0046</v>
      </c>
    </row>
    <row r="264" customFormat="false" ht="13.8" hidden="false" customHeight="false" outlineLevel="0" collapsed="false">
      <c r="A264" s="1" t="n">
        <f aca="false">1+A263</f>
        <v>263</v>
      </c>
      <c r="B264" s="1" t="n">
        <v>10.9674</v>
      </c>
    </row>
    <row r="265" customFormat="false" ht="13.8" hidden="false" customHeight="false" outlineLevel="0" collapsed="false">
      <c r="A265" s="1" t="n">
        <f aca="false">1+A264</f>
        <v>264</v>
      </c>
      <c r="B265" s="1" t="n">
        <v>10.9397</v>
      </c>
    </row>
    <row r="266" customFormat="false" ht="13.8" hidden="false" customHeight="false" outlineLevel="0" collapsed="false">
      <c r="A266" s="1" t="n">
        <f aca="false">1+A265</f>
        <v>265</v>
      </c>
      <c r="B266" s="1" t="n">
        <v>10.9037</v>
      </c>
    </row>
    <row r="267" customFormat="false" ht="13.8" hidden="false" customHeight="false" outlineLevel="0" collapsed="false">
      <c r="A267" s="1" t="n">
        <f aca="false">1+A266</f>
        <v>266</v>
      </c>
      <c r="B267" s="1" t="n">
        <v>10.8701</v>
      </c>
    </row>
    <row r="268" customFormat="false" ht="13.8" hidden="false" customHeight="false" outlineLevel="0" collapsed="false">
      <c r="A268" s="1" t="n">
        <f aca="false">1+A267</f>
        <v>267</v>
      </c>
      <c r="B268" s="1" t="n">
        <v>10.836</v>
      </c>
    </row>
    <row r="269" customFormat="false" ht="13.8" hidden="false" customHeight="false" outlineLevel="0" collapsed="false">
      <c r="A269" s="1" t="n">
        <f aca="false">1+A268</f>
        <v>268</v>
      </c>
      <c r="B269" s="1" t="n">
        <v>10.8011</v>
      </c>
    </row>
    <row r="270" customFormat="false" ht="13.8" hidden="false" customHeight="false" outlineLevel="0" collapsed="false">
      <c r="A270" s="1" t="n">
        <f aca="false">1+A269</f>
        <v>269</v>
      </c>
      <c r="B270" s="1" t="n">
        <v>10.7757</v>
      </c>
    </row>
    <row r="271" customFormat="false" ht="13.8" hidden="false" customHeight="false" outlineLevel="0" collapsed="false">
      <c r="A271" s="1" t="n">
        <f aca="false">1+A270</f>
        <v>270</v>
      </c>
      <c r="B271" s="1" t="n">
        <v>10.7501</v>
      </c>
    </row>
    <row r="272" customFormat="false" ht="13.8" hidden="false" customHeight="false" outlineLevel="0" collapsed="false">
      <c r="A272" s="1" t="n">
        <f aca="false">1+A271</f>
        <v>271</v>
      </c>
      <c r="B272" s="1" t="n">
        <v>10.7136</v>
      </c>
    </row>
    <row r="273" customFormat="false" ht="13.8" hidden="false" customHeight="false" outlineLevel="0" collapsed="false">
      <c r="A273" s="1" t="n">
        <f aca="false">1+A272</f>
        <v>272</v>
      </c>
      <c r="B273" s="1" t="n">
        <v>10.6758</v>
      </c>
    </row>
    <row r="274" customFormat="false" ht="13.8" hidden="false" customHeight="false" outlineLevel="0" collapsed="false">
      <c r="A274" s="1" t="n">
        <f aca="false">1+A273</f>
        <v>273</v>
      </c>
      <c r="B274" s="1" t="n">
        <v>10.6459</v>
      </c>
    </row>
    <row r="275" customFormat="false" ht="13.8" hidden="false" customHeight="false" outlineLevel="0" collapsed="false">
      <c r="A275" s="1" t="n">
        <f aca="false">1+A274</f>
        <v>274</v>
      </c>
      <c r="B275" s="1" t="n">
        <v>10.6142</v>
      </c>
    </row>
    <row r="276" customFormat="false" ht="13.8" hidden="false" customHeight="false" outlineLevel="0" collapsed="false">
      <c r="A276" s="1" t="n">
        <f aca="false">1+A275</f>
        <v>275</v>
      </c>
      <c r="B276" s="1" t="n">
        <v>10.5856</v>
      </c>
    </row>
    <row r="277" customFormat="false" ht="13.8" hidden="false" customHeight="false" outlineLevel="0" collapsed="false">
      <c r="A277" s="1" t="n">
        <f aca="false">1+A276</f>
        <v>276</v>
      </c>
      <c r="B277" s="1" t="n">
        <v>10.5571</v>
      </c>
    </row>
    <row r="278" customFormat="false" ht="13.8" hidden="false" customHeight="false" outlineLevel="0" collapsed="false">
      <c r="A278" s="1" t="n">
        <f aca="false">1+A277</f>
        <v>277</v>
      </c>
      <c r="B278" s="1" t="n">
        <v>10.5165</v>
      </c>
    </row>
    <row r="279" customFormat="false" ht="13.8" hidden="false" customHeight="false" outlineLevel="0" collapsed="false">
      <c r="A279" s="1" t="n">
        <f aca="false">1+A278</f>
        <v>278</v>
      </c>
      <c r="B279" s="1" t="n">
        <v>10.4834</v>
      </c>
    </row>
    <row r="280" customFormat="false" ht="13.8" hidden="false" customHeight="false" outlineLevel="0" collapsed="false">
      <c r="A280" s="1" t="n">
        <f aca="false">1+A279</f>
        <v>279</v>
      </c>
      <c r="B280" s="1" t="n">
        <v>10.4567</v>
      </c>
    </row>
    <row r="281" customFormat="false" ht="13.8" hidden="false" customHeight="false" outlineLevel="0" collapsed="false">
      <c r="A281" s="1" t="n">
        <f aca="false">1+A280</f>
        <v>280</v>
      </c>
      <c r="B281" s="1" t="n">
        <v>10.4235</v>
      </c>
    </row>
    <row r="282" customFormat="false" ht="13.8" hidden="false" customHeight="false" outlineLevel="0" collapsed="false">
      <c r="A282" s="1" t="n">
        <f aca="false">1+A281</f>
        <v>281</v>
      </c>
      <c r="B282" s="1" t="n">
        <v>10.3873</v>
      </c>
    </row>
    <row r="283" customFormat="false" ht="13.8" hidden="false" customHeight="false" outlineLevel="0" collapsed="false">
      <c r="A283" s="1" t="n">
        <f aca="false">1+A282</f>
        <v>282</v>
      </c>
      <c r="B283" s="1" t="n">
        <v>10.3556</v>
      </c>
    </row>
    <row r="284" customFormat="false" ht="13.8" hidden="false" customHeight="false" outlineLevel="0" collapsed="false">
      <c r="A284" s="1" t="n">
        <f aca="false">1+A283</f>
        <v>283</v>
      </c>
      <c r="B284" s="1" t="n">
        <v>10.3289</v>
      </c>
    </row>
    <row r="285" customFormat="false" ht="13.8" hidden="false" customHeight="false" outlineLevel="0" collapsed="false">
      <c r="A285" s="1" t="n">
        <f aca="false">1+A284</f>
        <v>284</v>
      </c>
      <c r="B285" s="1" t="n">
        <v>10.3012</v>
      </c>
    </row>
    <row r="286" customFormat="false" ht="13.8" hidden="false" customHeight="false" outlineLevel="0" collapsed="false">
      <c r="A286" s="1" t="n">
        <f aca="false">1+A285</f>
        <v>285</v>
      </c>
      <c r="B286" s="1" t="n">
        <v>10.2655</v>
      </c>
    </row>
    <row r="287" customFormat="false" ht="13.8" hidden="false" customHeight="false" outlineLevel="0" collapsed="false">
      <c r="A287" s="1" t="n">
        <f aca="false">1+A286</f>
        <v>286</v>
      </c>
      <c r="B287" s="1" t="n">
        <v>10.2385</v>
      </c>
    </row>
    <row r="288" customFormat="false" ht="13.8" hidden="false" customHeight="false" outlineLevel="0" collapsed="false">
      <c r="A288" s="1" t="n">
        <f aca="false">1+A287</f>
        <v>287</v>
      </c>
      <c r="B288" s="1" t="n">
        <v>10.2061</v>
      </c>
    </row>
    <row r="289" customFormat="false" ht="13.8" hidden="false" customHeight="false" outlineLevel="0" collapsed="false">
      <c r="A289" s="1" t="n">
        <f aca="false">1+A288</f>
        <v>288</v>
      </c>
      <c r="B289" s="1" t="n">
        <v>10.1865</v>
      </c>
    </row>
    <row r="290" customFormat="false" ht="13.8" hidden="false" customHeight="false" outlineLevel="0" collapsed="false">
      <c r="A290" s="1" t="n">
        <f aca="false">1+A289</f>
        <v>289</v>
      </c>
      <c r="B290" s="1" t="n">
        <v>10.1535</v>
      </c>
    </row>
    <row r="291" customFormat="false" ht="13.8" hidden="false" customHeight="false" outlineLevel="0" collapsed="false">
      <c r="A291" s="1" t="n">
        <f aca="false">1+A290</f>
        <v>290</v>
      </c>
      <c r="B291" s="1" t="n">
        <v>10.1231</v>
      </c>
    </row>
    <row r="292" customFormat="false" ht="13.8" hidden="false" customHeight="false" outlineLevel="0" collapsed="false">
      <c r="A292" s="1" t="n">
        <f aca="false">1+A291</f>
        <v>291</v>
      </c>
      <c r="B292" s="1" t="n">
        <v>10.097</v>
      </c>
    </row>
    <row r="293" customFormat="false" ht="13.8" hidden="false" customHeight="false" outlineLevel="0" collapsed="false">
      <c r="A293" s="1" t="n">
        <f aca="false">1+A292</f>
        <v>292</v>
      </c>
      <c r="B293" s="1" t="n">
        <v>10.0642</v>
      </c>
    </row>
    <row r="294" customFormat="false" ht="13.8" hidden="false" customHeight="false" outlineLevel="0" collapsed="false">
      <c r="A294" s="1" t="n">
        <f aca="false">1+A293</f>
        <v>293</v>
      </c>
      <c r="B294" s="1" t="n">
        <v>10.0436</v>
      </c>
    </row>
    <row r="295" customFormat="false" ht="13.8" hidden="false" customHeight="false" outlineLevel="0" collapsed="false">
      <c r="A295" s="1" t="n">
        <f aca="false">1+A294</f>
        <v>294</v>
      </c>
      <c r="B295" s="1" t="n">
        <v>10.0147</v>
      </c>
    </row>
    <row r="296" customFormat="false" ht="13.8" hidden="false" customHeight="false" outlineLevel="0" collapsed="false">
      <c r="A296" s="1" t="n">
        <f aca="false">1+A295</f>
        <v>295</v>
      </c>
      <c r="B296" s="1" t="n">
        <v>9.97862</v>
      </c>
    </row>
    <row r="297" customFormat="false" ht="13.8" hidden="false" customHeight="false" outlineLevel="0" collapsed="false">
      <c r="A297" s="1" t="n">
        <f aca="false">1+A296</f>
        <v>296</v>
      </c>
      <c r="B297" s="1" t="n">
        <v>9.94692</v>
      </c>
    </row>
    <row r="298" customFormat="false" ht="13.8" hidden="false" customHeight="false" outlineLevel="0" collapsed="false">
      <c r="A298" s="1" t="n">
        <f aca="false">1+A297</f>
        <v>297</v>
      </c>
      <c r="B298" s="1" t="n">
        <v>9.91621</v>
      </c>
    </row>
    <row r="299" customFormat="false" ht="13.8" hidden="false" customHeight="false" outlineLevel="0" collapsed="false">
      <c r="A299" s="1" t="n">
        <f aca="false">1+A298</f>
        <v>298</v>
      </c>
      <c r="B299" s="1" t="n">
        <v>9.87898</v>
      </c>
    </row>
    <row r="300" customFormat="false" ht="13.8" hidden="false" customHeight="false" outlineLevel="0" collapsed="false">
      <c r="A300" s="1" t="n">
        <f aca="false">1+A299</f>
        <v>299</v>
      </c>
      <c r="B300" s="1" t="n">
        <v>9.85183</v>
      </c>
    </row>
    <row r="301" customFormat="false" ht="13.8" hidden="false" customHeight="false" outlineLevel="0" collapsed="false">
      <c r="A301" s="1" t="n">
        <f aca="false">1+A300</f>
        <v>300</v>
      </c>
      <c r="B301" s="1" t="n">
        <v>9.82277</v>
      </c>
    </row>
    <row r="302" customFormat="false" ht="13.8" hidden="false" customHeight="false" outlineLevel="0" collapsed="false">
      <c r="A302" s="1" t="n">
        <f aca="false">1+A301</f>
        <v>301</v>
      </c>
      <c r="B302" s="1" t="n">
        <v>9.79056</v>
      </c>
    </row>
    <row r="303" customFormat="false" ht="13.8" hidden="false" customHeight="false" outlineLevel="0" collapsed="false">
      <c r="A303" s="1" t="n">
        <f aca="false">1+A302</f>
        <v>302</v>
      </c>
      <c r="B303" s="1" t="n">
        <v>9.76078</v>
      </c>
    </row>
    <row r="304" customFormat="false" ht="13.8" hidden="false" customHeight="false" outlineLevel="0" collapsed="false">
      <c r="A304" s="1" t="n">
        <f aca="false">1+A303</f>
        <v>303</v>
      </c>
      <c r="B304" s="1" t="n">
        <v>9.7263</v>
      </c>
    </row>
    <row r="305" customFormat="false" ht="13.8" hidden="false" customHeight="false" outlineLevel="0" collapsed="false">
      <c r="A305" s="1" t="n">
        <f aca="false">1+A304</f>
        <v>304</v>
      </c>
      <c r="B305" s="1" t="n">
        <v>9.70343</v>
      </c>
    </row>
    <row r="306" customFormat="false" ht="13.8" hidden="false" customHeight="false" outlineLevel="0" collapsed="false">
      <c r="A306" s="1" t="n">
        <f aca="false">1+A305</f>
        <v>305</v>
      </c>
      <c r="B306" s="1" t="n">
        <v>9.67069</v>
      </c>
    </row>
    <row r="307" customFormat="false" ht="13.8" hidden="false" customHeight="false" outlineLevel="0" collapsed="false">
      <c r="A307" s="1" t="n">
        <f aca="false">1+A306</f>
        <v>306</v>
      </c>
      <c r="B307" s="1" t="n">
        <v>9.63583</v>
      </c>
    </row>
    <row r="308" customFormat="false" ht="13.8" hidden="false" customHeight="false" outlineLevel="0" collapsed="false">
      <c r="A308" s="1" t="n">
        <f aca="false">1+A307</f>
        <v>307</v>
      </c>
      <c r="B308" s="1" t="n">
        <v>9.60417</v>
      </c>
    </row>
    <row r="309" customFormat="false" ht="13.8" hidden="false" customHeight="false" outlineLevel="0" collapsed="false">
      <c r="A309" s="1" t="n">
        <f aca="false">1+A308</f>
        <v>308</v>
      </c>
      <c r="B309" s="1" t="n">
        <v>9.57334</v>
      </c>
    </row>
    <row r="310" customFormat="false" ht="13.8" hidden="false" customHeight="false" outlineLevel="0" collapsed="false">
      <c r="A310" s="1" t="n">
        <f aca="false">1+A309</f>
        <v>309</v>
      </c>
      <c r="B310" s="1" t="n">
        <v>9.53296</v>
      </c>
    </row>
    <row r="311" customFormat="false" ht="13.8" hidden="false" customHeight="false" outlineLevel="0" collapsed="false">
      <c r="A311" s="1" t="n">
        <f aca="false">1+A310</f>
        <v>310</v>
      </c>
      <c r="B311" s="1" t="n">
        <v>9.49939</v>
      </c>
    </row>
    <row r="312" customFormat="false" ht="13.8" hidden="false" customHeight="false" outlineLevel="0" collapsed="false">
      <c r="A312" s="1" t="n">
        <f aca="false">1+A311</f>
        <v>311</v>
      </c>
      <c r="B312" s="1" t="n">
        <v>9.47141</v>
      </c>
    </row>
    <row r="313" customFormat="false" ht="13.8" hidden="false" customHeight="false" outlineLevel="0" collapsed="false">
      <c r="A313" s="1" t="n">
        <f aca="false">1+A312</f>
        <v>312</v>
      </c>
      <c r="B313" s="1" t="n">
        <v>9.44808</v>
      </c>
    </row>
    <row r="314" customFormat="false" ht="13.8" hidden="false" customHeight="false" outlineLevel="0" collapsed="false">
      <c r="A314" s="1" t="n">
        <f aca="false">1+A313</f>
        <v>313</v>
      </c>
      <c r="B314" s="1" t="n">
        <v>9.41675</v>
      </c>
    </row>
    <row r="315" customFormat="false" ht="13.8" hidden="false" customHeight="false" outlineLevel="0" collapsed="false">
      <c r="A315" s="1" t="n">
        <f aca="false">1+A314</f>
        <v>314</v>
      </c>
      <c r="B315" s="1" t="n">
        <v>9.3865</v>
      </c>
    </row>
    <row r="316" customFormat="false" ht="13.8" hidden="false" customHeight="false" outlineLevel="0" collapsed="false">
      <c r="A316" s="1" t="n">
        <f aca="false">1+A315</f>
        <v>315</v>
      </c>
      <c r="B316" s="1" t="n">
        <v>9.34821</v>
      </c>
    </row>
    <row r="317" customFormat="false" ht="13.8" hidden="false" customHeight="false" outlineLevel="0" collapsed="false">
      <c r="A317" s="1" t="n">
        <f aca="false">1+A316</f>
        <v>316</v>
      </c>
      <c r="B317" s="1" t="n">
        <v>9.30731</v>
      </c>
    </row>
    <row r="318" customFormat="false" ht="13.8" hidden="false" customHeight="false" outlineLevel="0" collapsed="false">
      <c r="A318" s="1" t="n">
        <f aca="false">1+A317</f>
        <v>317</v>
      </c>
      <c r="B318" s="1" t="n">
        <v>9.27481</v>
      </c>
    </row>
    <row r="319" customFormat="false" ht="13.8" hidden="false" customHeight="false" outlineLevel="0" collapsed="false">
      <c r="A319" s="1" t="n">
        <f aca="false">1+A318</f>
        <v>318</v>
      </c>
      <c r="B319" s="1" t="n">
        <v>9.24003</v>
      </c>
    </row>
    <row r="320" customFormat="false" ht="13.8" hidden="false" customHeight="false" outlineLevel="0" collapsed="false">
      <c r="A320" s="1" t="n">
        <f aca="false">1+A319</f>
        <v>319</v>
      </c>
      <c r="B320" s="1" t="n">
        <v>9.20529</v>
      </c>
    </row>
    <row r="321" customFormat="false" ht="13.8" hidden="false" customHeight="false" outlineLevel="0" collapsed="false">
      <c r="A321" s="1" t="n">
        <f aca="false">1+A320</f>
        <v>320</v>
      </c>
      <c r="B321" s="1" t="n">
        <v>9.16951</v>
      </c>
    </row>
    <row r="322" customFormat="false" ht="13.8" hidden="false" customHeight="false" outlineLevel="0" collapsed="false">
      <c r="A322" s="1" t="n">
        <f aca="false">1+A321</f>
        <v>321</v>
      </c>
      <c r="B322" s="1" t="n">
        <v>9.13853</v>
      </c>
    </row>
    <row r="323" customFormat="false" ht="13.8" hidden="false" customHeight="false" outlineLevel="0" collapsed="false">
      <c r="A323" s="1" t="n">
        <f aca="false">1+A322</f>
        <v>322</v>
      </c>
      <c r="B323" s="1" t="n">
        <v>9.10942</v>
      </c>
    </row>
    <row r="324" customFormat="false" ht="13.8" hidden="false" customHeight="false" outlineLevel="0" collapsed="false">
      <c r="A324" s="1" t="n">
        <f aca="false">1+A323</f>
        <v>323</v>
      </c>
      <c r="B324" s="1" t="n">
        <v>9.08243</v>
      </c>
    </row>
    <row r="325" customFormat="false" ht="13.8" hidden="false" customHeight="false" outlineLevel="0" collapsed="false">
      <c r="A325" s="1" t="n">
        <f aca="false">1+A324</f>
        <v>324</v>
      </c>
      <c r="B325" s="1" t="n">
        <v>9.05938</v>
      </c>
    </row>
    <row r="326" customFormat="false" ht="13.8" hidden="false" customHeight="false" outlineLevel="0" collapsed="false">
      <c r="A326" s="1" t="n">
        <f aca="false">1+A325</f>
        <v>325</v>
      </c>
      <c r="B326" s="1" t="n">
        <v>9.02429</v>
      </c>
    </row>
    <row r="327" customFormat="false" ht="13.8" hidden="false" customHeight="false" outlineLevel="0" collapsed="false">
      <c r="A327" s="1" t="n">
        <f aca="false">1+A326</f>
        <v>326</v>
      </c>
      <c r="B327" s="1" t="n">
        <v>8.99677</v>
      </c>
    </row>
    <row r="328" customFormat="false" ht="13.8" hidden="false" customHeight="false" outlineLevel="0" collapsed="false">
      <c r="A328" s="1" t="n">
        <f aca="false">1+A327</f>
        <v>327</v>
      </c>
      <c r="B328" s="1" t="n">
        <v>8.96714</v>
      </c>
    </row>
    <row r="329" customFormat="false" ht="13.8" hidden="false" customHeight="false" outlineLevel="0" collapsed="false">
      <c r="A329" s="1" t="n">
        <f aca="false">1+A328</f>
        <v>328</v>
      </c>
      <c r="B329" s="1" t="n">
        <v>8.9413</v>
      </c>
    </row>
    <row r="330" customFormat="false" ht="13.8" hidden="false" customHeight="false" outlineLevel="0" collapsed="false">
      <c r="A330" s="1" t="n">
        <f aca="false">1+A329</f>
        <v>329</v>
      </c>
      <c r="B330" s="1" t="n">
        <v>8.91435</v>
      </c>
    </row>
    <row r="331" customFormat="false" ht="13.8" hidden="false" customHeight="false" outlineLevel="0" collapsed="false">
      <c r="A331" s="1" t="n">
        <f aca="false">1+A330</f>
        <v>330</v>
      </c>
      <c r="B331" s="1" t="n">
        <v>8.87899</v>
      </c>
    </row>
    <row r="332" customFormat="false" ht="13.8" hidden="false" customHeight="false" outlineLevel="0" collapsed="false">
      <c r="A332" s="1" t="n">
        <f aca="false">1+A331</f>
        <v>331</v>
      </c>
      <c r="B332" s="1" t="n">
        <v>8.84553</v>
      </c>
    </row>
    <row r="333" customFormat="false" ht="13.8" hidden="false" customHeight="false" outlineLevel="0" collapsed="false">
      <c r="A333" s="1" t="n">
        <f aca="false">1+A332</f>
        <v>332</v>
      </c>
      <c r="B333" s="1" t="n">
        <v>8.8224</v>
      </c>
    </row>
    <row r="334" customFormat="false" ht="13.8" hidden="false" customHeight="false" outlineLevel="0" collapsed="false">
      <c r="A334" s="1" t="n">
        <f aca="false">1+A333</f>
        <v>333</v>
      </c>
      <c r="B334" s="1" t="n">
        <v>8.79612</v>
      </c>
    </row>
    <row r="335" customFormat="false" ht="13.8" hidden="false" customHeight="false" outlineLevel="0" collapsed="false">
      <c r="A335" s="1" t="n">
        <f aca="false">1+A334</f>
        <v>334</v>
      </c>
      <c r="B335" s="1" t="n">
        <v>8.77606</v>
      </c>
    </row>
    <row r="336" customFormat="false" ht="13.8" hidden="false" customHeight="false" outlineLevel="0" collapsed="false">
      <c r="A336" s="1" t="n">
        <f aca="false">1+A335</f>
        <v>335</v>
      </c>
      <c r="B336" s="1" t="n">
        <v>8.75413</v>
      </c>
    </row>
    <row r="337" customFormat="false" ht="13.8" hidden="false" customHeight="false" outlineLevel="0" collapsed="false">
      <c r="A337" s="1" t="n">
        <f aca="false">1+A336</f>
        <v>336</v>
      </c>
      <c r="B337" s="1" t="n">
        <v>8.72711</v>
      </c>
    </row>
    <row r="338" customFormat="false" ht="13.8" hidden="false" customHeight="false" outlineLevel="0" collapsed="false">
      <c r="A338" s="1" t="n">
        <f aca="false">1+A337</f>
        <v>337</v>
      </c>
      <c r="B338" s="1" t="n">
        <v>8.69662</v>
      </c>
    </row>
    <row r="339" customFormat="false" ht="13.8" hidden="false" customHeight="false" outlineLevel="0" collapsed="false">
      <c r="A339" s="1" t="n">
        <f aca="false">1+A338</f>
        <v>338</v>
      </c>
      <c r="B339" s="1" t="n">
        <v>8.67394</v>
      </c>
    </row>
    <row r="340" customFormat="false" ht="13.8" hidden="false" customHeight="false" outlineLevel="0" collapsed="false">
      <c r="A340" s="1" t="n">
        <f aca="false">1+A339</f>
        <v>339</v>
      </c>
      <c r="B340" s="1" t="n">
        <v>8.64315</v>
      </c>
    </row>
    <row r="341" customFormat="false" ht="13.8" hidden="false" customHeight="false" outlineLevel="0" collapsed="false">
      <c r="A341" s="1" t="n">
        <f aca="false">1+A340</f>
        <v>340</v>
      </c>
      <c r="B341" s="1" t="n">
        <v>8.61962</v>
      </c>
    </row>
    <row r="342" customFormat="false" ht="13.8" hidden="false" customHeight="false" outlineLevel="0" collapsed="false">
      <c r="A342" s="1" t="n">
        <f aca="false">1+A341</f>
        <v>341</v>
      </c>
      <c r="B342" s="1" t="n">
        <v>8.59338</v>
      </c>
    </row>
    <row r="343" customFormat="false" ht="13.8" hidden="false" customHeight="false" outlineLevel="0" collapsed="false">
      <c r="A343" s="1" t="n">
        <f aca="false">1+A342</f>
        <v>342</v>
      </c>
      <c r="B343" s="1" t="n">
        <v>8.57254</v>
      </c>
    </row>
    <row r="344" customFormat="false" ht="13.8" hidden="false" customHeight="false" outlineLevel="0" collapsed="false">
      <c r="A344" s="1" t="n">
        <f aca="false">1+A343</f>
        <v>343</v>
      </c>
      <c r="B344" s="1" t="n">
        <v>8.5528</v>
      </c>
    </row>
    <row r="345" customFormat="false" ht="13.8" hidden="false" customHeight="false" outlineLevel="0" collapsed="false">
      <c r="A345" s="1" t="n">
        <f aca="false">1+A344</f>
        <v>344</v>
      </c>
      <c r="B345" s="1" t="n">
        <v>8.52986</v>
      </c>
    </row>
    <row r="346" customFormat="false" ht="13.8" hidden="false" customHeight="false" outlineLevel="0" collapsed="false">
      <c r="A346" s="1" t="n">
        <f aca="false">1+A345</f>
        <v>345</v>
      </c>
      <c r="B346" s="1" t="n">
        <v>8.50968</v>
      </c>
    </row>
    <row r="347" customFormat="false" ht="13.8" hidden="false" customHeight="false" outlineLevel="0" collapsed="false">
      <c r="A347" s="1" t="n">
        <f aca="false">1+A346</f>
        <v>346</v>
      </c>
      <c r="B347" s="1" t="n">
        <v>8.48049</v>
      </c>
    </row>
    <row r="348" customFormat="false" ht="13.8" hidden="false" customHeight="false" outlineLevel="0" collapsed="false">
      <c r="A348" s="1" t="n">
        <f aca="false">1+A347</f>
        <v>347</v>
      </c>
      <c r="B348" s="1" t="n">
        <v>8.44547</v>
      </c>
    </row>
    <row r="349" customFormat="false" ht="13.8" hidden="false" customHeight="false" outlineLevel="0" collapsed="false">
      <c r="A349" s="1" t="n">
        <f aca="false">1+A348</f>
        <v>348</v>
      </c>
      <c r="B349" s="1" t="n">
        <v>8.42459</v>
      </c>
    </row>
    <row r="350" customFormat="false" ht="13.8" hidden="false" customHeight="false" outlineLevel="0" collapsed="false">
      <c r="A350" s="1" t="n">
        <f aca="false">1+A349</f>
        <v>349</v>
      </c>
      <c r="B350" s="1" t="n">
        <v>8.40205</v>
      </c>
    </row>
    <row r="351" customFormat="false" ht="13.8" hidden="false" customHeight="false" outlineLevel="0" collapsed="false">
      <c r="A351" s="1" t="n">
        <f aca="false">1+A350</f>
        <v>350</v>
      </c>
      <c r="B351" s="1" t="n">
        <v>8.37975</v>
      </c>
    </row>
    <row r="352" customFormat="false" ht="13.8" hidden="false" customHeight="false" outlineLevel="0" collapsed="false">
      <c r="A352" s="1" t="n">
        <f aca="false">1+A351</f>
        <v>351</v>
      </c>
      <c r="B352" s="1" t="n">
        <v>8.34535</v>
      </c>
    </row>
    <row r="353" customFormat="false" ht="13.8" hidden="false" customHeight="false" outlineLevel="0" collapsed="false">
      <c r="A353" s="1" t="n">
        <f aca="false">1+A352</f>
        <v>352</v>
      </c>
      <c r="B353" s="1" t="n">
        <v>8.32532</v>
      </c>
    </row>
    <row r="354" customFormat="false" ht="13.8" hidden="false" customHeight="false" outlineLevel="0" collapsed="false">
      <c r="A354" s="1" t="n">
        <f aca="false">1+A353</f>
        <v>353</v>
      </c>
      <c r="B354" s="1" t="n">
        <v>8.29403</v>
      </c>
    </row>
    <row r="355" customFormat="false" ht="13.8" hidden="false" customHeight="false" outlineLevel="0" collapsed="false">
      <c r="A355" s="1" t="n">
        <f aca="false">1+A354</f>
        <v>354</v>
      </c>
      <c r="B355" s="1" t="n">
        <v>8.26385</v>
      </c>
    </row>
    <row r="356" customFormat="false" ht="13.8" hidden="false" customHeight="false" outlineLevel="0" collapsed="false">
      <c r="A356" s="1" t="n">
        <f aca="false">1+A355</f>
        <v>355</v>
      </c>
      <c r="B356" s="1" t="n">
        <v>8.25284</v>
      </c>
    </row>
    <row r="357" customFormat="false" ht="13.8" hidden="false" customHeight="false" outlineLevel="0" collapsed="false">
      <c r="A357" s="1" t="n">
        <f aca="false">1+A356</f>
        <v>356</v>
      </c>
      <c r="B357" s="1" t="n">
        <v>8.22447</v>
      </c>
    </row>
    <row r="358" customFormat="false" ht="13.8" hidden="false" customHeight="false" outlineLevel="0" collapsed="false">
      <c r="A358" s="1" t="n">
        <f aca="false">1+A357</f>
        <v>357</v>
      </c>
      <c r="B358" s="1" t="n">
        <v>8.19293</v>
      </c>
    </row>
    <row r="359" customFormat="false" ht="13.8" hidden="false" customHeight="false" outlineLevel="0" collapsed="false">
      <c r="A359" s="1" t="n">
        <f aca="false">1+A358</f>
        <v>358</v>
      </c>
      <c r="B359" s="1" t="n">
        <v>8.17204</v>
      </c>
    </row>
    <row r="360" customFormat="false" ht="13.8" hidden="false" customHeight="false" outlineLevel="0" collapsed="false">
      <c r="A360" s="1" t="n">
        <f aca="false">1+A359</f>
        <v>359</v>
      </c>
      <c r="B360" s="1" t="n">
        <v>8.15528</v>
      </c>
    </row>
    <row r="361" customFormat="false" ht="13.8" hidden="false" customHeight="false" outlineLevel="0" collapsed="false">
      <c r="A361" s="1" t="n">
        <f aca="false">1+A360</f>
        <v>360</v>
      </c>
      <c r="B361" s="1" t="n">
        <v>8.13012</v>
      </c>
    </row>
    <row r="362" customFormat="false" ht="13.8" hidden="false" customHeight="false" outlineLevel="0" collapsed="false">
      <c r="A362" s="1" t="n">
        <f aca="false">1+A361</f>
        <v>361</v>
      </c>
      <c r="B362" s="1" t="n">
        <v>8.11219</v>
      </c>
    </row>
    <row r="363" customFormat="false" ht="13.8" hidden="false" customHeight="false" outlineLevel="0" collapsed="false">
      <c r="A363" s="1" t="n">
        <f aca="false">1+A362</f>
        <v>362</v>
      </c>
      <c r="B363" s="1" t="n">
        <v>8.0923</v>
      </c>
    </row>
    <row r="364" customFormat="false" ht="13.8" hidden="false" customHeight="false" outlineLevel="0" collapsed="false">
      <c r="A364" s="1" t="n">
        <f aca="false">1+A363</f>
        <v>363</v>
      </c>
      <c r="B364" s="1" t="n">
        <v>8.0647</v>
      </c>
    </row>
    <row r="365" customFormat="false" ht="13.8" hidden="false" customHeight="false" outlineLevel="0" collapsed="false">
      <c r="A365" s="1" t="n">
        <f aca="false">1+A364</f>
        <v>364</v>
      </c>
      <c r="B365" s="1" t="n">
        <v>8.04627</v>
      </c>
    </row>
    <row r="366" customFormat="false" ht="13.8" hidden="false" customHeight="false" outlineLevel="0" collapsed="false">
      <c r="A366" s="1" t="n">
        <f aca="false">1+A365</f>
        <v>365</v>
      </c>
      <c r="B366" s="1" t="n">
        <v>8.02559</v>
      </c>
    </row>
    <row r="367" customFormat="false" ht="13.8" hidden="false" customHeight="false" outlineLevel="0" collapsed="false">
      <c r="A367" s="1" t="n">
        <f aca="false">1+A366</f>
        <v>366</v>
      </c>
      <c r="B367" s="1" t="n">
        <v>8.00022</v>
      </c>
    </row>
    <row r="368" customFormat="false" ht="13.8" hidden="false" customHeight="false" outlineLevel="0" collapsed="false">
      <c r="A368" s="1" t="n">
        <f aca="false">1+A367</f>
        <v>367</v>
      </c>
      <c r="B368" s="1" t="n">
        <v>7.98333</v>
      </c>
    </row>
    <row r="369" customFormat="false" ht="13.8" hidden="false" customHeight="false" outlineLevel="0" collapsed="false">
      <c r="A369" s="1" t="n">
        <f aca="false">1+A368</f>
        <v>368</v>
      </c>
      <c r="B369" s="1" t="n">
        <v>7.95742</v>
      </c>
    </row>
    <row r="370" customFormat="false" ht="13.8" hidden="false" customHeight="false" outlineLevel="0" collapsed="false">
      <c r="A370" s="1" t="n">
        <f aca="false">1+A369</f>
        <v>369</v>
      </c>
      <c r="B370" s="1" t="n">
        <v>7.92946</v>
      </c>
    </row>
    <row r="371" customFormat="false" ht="13.8" hidden="false" customHeight="false" outlineLevel="0" collapsed="false">
      <c r="A371" s="1" t="n">
        <f aca="false">1+A370</f>
        <v>370</v>
      </c>
      <c r="B371" s="1" t="n">
        <v>7.90631</v>
      </c>
    </row>
    <row r="372" customFormat="false" ht="13.8" hidden="false" customHeight="false" outlineLevel="0" collapsed="false">
      <c r="A372" s="1" t="n">
        <f aca="false">1+A371</f>
        <v>371</v>
      </c>
      <c r="B372" s="1" t="n">
        <v>7.88465</v>
      </c>
    </row>
    <row r="373" customFormat="false" ht="13.8" hidden="false" customHeight="false" outlineLevel="0" collapsed="false">
      <c r="A373" s="1" t="n">
        <f aca="false">1+A372</f>
        <v>372</v>
      </c>
      <c r="B373" s="1" t="n">
        <v>7.86108</v>
      </c>
    </row>
    <row r="374" customFormat="false" ht="13.8" hidden="false" customHeight="false" outlineLevel="0" collapsed="false">
      <c r="A374" s="1" t="n">
        <f aca="false">1+A373</f>
        <v>373</v>
      </c>
      <c r="B374" s="1" t="n">
        <v>7.83796</v>
      </c>
    </row>
    <row r="375" customFormat="false" ht="13.8" hidden="false" customHeight="false" outlineLevel="0" collapsed="false">
      <c r="A375" s="1" t="n">
        <f aca="false">1+A374</f>
        <v>374</v>
      </c>
      <c r="B375" s="1" t="n">
        <v>7.8264</v>
      </c>
    </row>
    <row r="376" customFormat="false" ht="13.8" hidden="false" customHeight="false" outlineLevel="0" collapsed="false">
      <c r="A376" s="1" t="n">
        <f aca="false">1+A375</f>
        <v>375</v>
      </c>
      <c r="B376" s="1" t="n">
        <v>7.80323</v>
      </c>
    </row>
    <row r="377" customFormat="false" ht="13.8" hidden="false" customHeight="false" outlineLevel="0" collapsed="false">
      <c r="A377" s="1" t="n">
        <f aca="false">1+A376</f>
        <v>376</v>
      </c>
      <c r="B377" s="1" t="n">
        <v>7.78326</v>
      </c>
    </row>
    <row r="378" customFormat="false" ht="13.8" hidden="false" customHeight="false" outlineLevel="0" collapsed="false">
      <c r="A378" s="1" t="n">
        <f aca="false">1+A377</f>
        <v>377</v>
      </c>
      <c r="B378" s="1" t="n">
        <v>7.76011</v>
      </c>
    </row>
    <row r="379" customFormat="false" ht="13.8" hidden="false" customHeight="false" outlineLevel="0" collapsed="false">
      <c r="A379" s="1" t="n">
        <f aca="false">1+A378</f>
        <v>378</v>
      </c>
      <c r="B379" s="1" t="n">
        <v>7.74184</v>
      </c>
    </row>
    <row r="380" customFormat="false" ht="13.8" hidden="false" customHeight="false" outlineLevel="0" collapsed="false">
      <c r="A380" s="1" t="n">
        <f aca="false">1+A379</f>
        <v>379</v>
      </c>
      <c r="B380" s="1" t="n">
        <v>7.72279</v>
      </c>
    </row>
    <row r="381" customFormat="false" ht="13.8" hidden="false" customHeight="false" outlineLevel="0" collapsed="false">
      <c r="A381" s="1" t="n">
        <f aca="false">1+A380</f>
        <v>380</v>
      </c>
      <c r="B381" s="1" t="n">
        <v>7.69622</v>
      </c>
    </row>
    <row r="382" customFormat="false" ht="13.8" hidden="false" customHeight="false" outlineLevel="0" collapsed="false">
      <c r="A382" s="1" t="n">
        <f aca="false">1+A381</f>
        <v>381</v>
      </c>
      <c r="B382" s="1" t="n">
        <v>7.67831</v>
      </c>
    </row>
    <row r="383" customFormat="false" ht="13.8" hidden="false" customHeight="false" outlineLevel="0" collapsed="false">
      <c r="A383" s="1" t="n">
        <f aca="false">1+A382</f>
        <v>382</v>
      </c>
      <c r="B383" s="1" t="n">
        <v>7.65359</v>
      </c>
    </row>
    <row r="384" customFormat="false" ht="13.8" hidden="false" customHeight="false" outlineLevel="0" collapsed="false">
      <c r="A384" s="1" t="n">
        <f aca="false">1+A383</f>
        <v>383</v>
      </c>
      <c r="B384" s="1" t="n">
        <v>7.6353</v>
      </c>
    </row>
    <row r="385" customFormat="false" ht="13.8" hidden="false" customHeight="false" outlineLevel="0" collapsed="false">
      <c r="A385" s="1" t="n">
        <f aca="false">1+A384</f>
        <v>384</v>
      </c>
      <c r="B385" s="1" t="n">
        <v>7.61595</v>
      </c>
    </row>
    <row r="386" customFormat="false" ht="13.8" hidden="false" customHeight="false" outlineLevel="0" collapsed="false">
      <c r="A386" s="1" t="n">
        <f aca="false">1+A385</f>
        <v>385</v>
      </c>
      <c r="B386" s="1" t="n">
        <v>7.58518</v>
      </c>
    </row>
    <row r="387" customFormat="false" ht="13.8" hidden="false" customHeight="false" outlineLevel="0" collapsed="false">
      <c r="A387" s="1" t="n">
        <f aca="false">1+A386</f>
        <v>386</v>
      </c>
      <c r="B387" s="1" t="n">
        <v>7.56044</v>
      </c>
    </row>
    <row r="388" customFormat="false" ht="13.8" hidden="false" customHeight="false" outlineLevel="0" collapsed="false">
      <c r="A388" s="1" t="n">
        <f aca="false">1+A387</f>
        <v>387</v>
      </c>
      <c r="B388" s="1" t="n">
        <v>7.54037</v>
      </c>
    </row>
    <row r="389" customFormat="false" ht="13.8" hidden="false" customHeight="false" outlineLevel="0" collapsed="false">
      <c r="A389" s="1" t="n">
        <f aca="false">1+A388</f>
        <v>388</v>
      </c>
      <c r="B389" s="1" t="n">
        <v>7.50505</v>
      </c>
    </row>
    <row r="390" customFormat="false" ht="13.8" hidden="false" customHeight="false" outlineLevel="0" collapsed="false">
      <c r="A390" s="1" t="n">
        <f aca="false">1+A389</f>
        <v>389</v>
      </c>
      <c r="B390" s="1" t="n">
        <v>7.48715</v>
      </c>
    </row>
    <row r="391" customFormat="false" ht="13.8" hidden="false" customHeight="false" outlineLevel="0" collapsed="false">
      <c r="A391" s="1" t="n">
        <f aca="false">1+A390</f>
        <v>390</v>
      </c>
      <c r="B391" s="1" t="n">
        <v>7.46165</v>
      </c>
    </row>
    <row r="392" customFormat="false" ht="13.8" hidden="false" customHeight="false" outlineLevel="0" collapsed="false">
      <c r="A392" s="1" t="n">
        <f aca="false">1+A391</f>
        <v>391</v>
      </c>
      <c r="B392" s="1" t="n">
        <v>7.4406</v>
      </c>
    </row>
    <row r="393" customFormat="false" ht="13.8" hidden="false" customHeight="false" outlineLevel="0" collapsed="false">
      <c r="A393" s="1" t="n">
        <f aca="false">1+A392</f>
        <v>392</v>
      </c>
      <c r="B393" s="1" t="n">
        <v>7.4147</v>
      </c>
    </row>
    <row r="394" customFormat="false" ht="13.8" hidden="false" customHeight="false" outlineLevel="0" collapsed="false">
      <c r="A394" s="1" t="n">
        <f aca="false">1+A393</f>
        <v>393</v>
      </c>
      <c r="B394" s="1" t="n">
        <v>7.39655</v>
      </c>
    </row>
    <row r="395" customFormat="false" ht="13.8" hidden="false" customHeight="false" outlineLevel="0" collapsed="false">
      <c r="A395" s="1" t="n">
        <f aca="false">1+A394</f>
        <v>394</v>
      </c>
      <c r="B395" s="1" t="n">
        <v>7.36886</v>
      </c>
    </row>
    <row r="396" customFormat="false" ht="13.8" hidden="false" customHeight="false" outlineLevel="0" collapsed="false">
      <c r="A396" s="1" t="n">
        <f aca="false">1+A395</f>
        <v>395</v>
      </c>
      <c r="B396" s="1" t="n">
        <v>7.34775</v>
      </c>
    </row>
    <row r="397" customFormat="false" ht="13.8" hidden="false" customHeight="false" outlineLevel="0" collapsed="false">
      <c r="A397" s="1" t="n">
        <f aca="false">1+A396</f>
        <v>396</v>
      </c>
      <c r="B397" s="1" t="n">
        <v>7.3282</v>
      </c>
    </row>
    <row r="398" customFormat="false" ht="13.8" hidden="false" customHeight="false" outlineLevel="0" collapsed="false">
      <c r="A398" s="1" t="n">
        <f aca="false">1+A397</f>
        <v>397</v>
      </c>
      <c r="B398" s="1" t="n">
        <v>7.30525</v>
      </c>
    </row>
    <row r="399" customFormat="false" ht="13.8" hidden="false" customHeight="false" outlineLevel="0" collapsed="false">
      <c r="A399" s="1" t="n">
        <f aca="false">1+A398</f>
        <v>398</v>
      </c>
      <c r="B399" s="1" t="n">
        <v>7.27797</v>
      </c>
    </row>
    <row r="400" customFormat="false" ht="13.8" hidden="false" customHeight="false" outlineLevel="0" collapsed="false">
      <c r="A400" s="1" t="n">
        <f aca="false">1+A399</f>
        <v>399</v>
      </c>
      <c r="B400" s="1" t="n">
        <v>7.24639</v>
      </c>
    </row>
    <row r="401" customFormat="false" ht="13.8" hidden="false" customHeight="false" outlineLevel="0" collapsed="false">
      <c r="A401" s="1" t="n">
        <f aca="false">1+A400</f>
        <v>400</v>
      </c>
      <c r="B401" s="1" t="n">
        <v>7.23017</v>
      </c>
    </row>
    <row r="402" customFormat="false" ht="13.8" hidden="false" customHeight="false" outlineLevel="0" collapsed="false">
      <c r="A402" s="1" t="n">
        <f aca="false">1+A401</f>
        <v>401</v>
      </c>
      <c r="B402" s="1" t="n">
        <v>7.21009</v>
      </c>
    </row>
    <row r="403" customFormat="false" ht="13.8" hidden="false" customHeight="false" outlineLevel="0" collapsed="false">
      <c r="A403" s="1" t="n">
        <f aca="false">1+A402</f>
        <v>402</v>
      </c>
      <c r="B403" s="1" t="n">
        <v>7.19459</v>
      </c>
    </row>
    <row r="404" customFormat="false" ht="13.8" hidden="false" customHeight="false" outlineLevel="0" collapsed="false">
      <c r="A404" s="1" t="n">
        <f aca="false">1+A403</f>
        <v>403</v>
      </c>
      <c r="B404" s="1" t="n">
        <v>7.17495</v>
      </c>
    </row>
    <row r="405" customFormat="false" ht="13.8" hidden="false" customHeight="false" outlineLevel="0" collapsed="false">
      <c r="A405" s="1" t="n">
        <f aca="false">1+A404</f>
        <v>404</v>
      </c>
      <c r="B405" s="1" t="n">
        <v>7.14769</v>
      </c>
    </row>
    <row r="406" customFormat="false" ht="13.8" hidden="false" customHeight="false" outlineLevel="0" collapsed="false">
      <c r="A406" s="1" t="n">
        <f aca="false">1+A405</f>
        <v>405</v>
      </c>
      <c r="B406" s="1" t="n">
        <v>7.14085</v>
      </c>
    </row>
    <row r="407" customFormat="false" ht="13.8" hidden="false" customHeight="false" outlineLevel="0" collapsed="false">
      <c r="A407" s="1" t="n">
        <f aca="false">1+A406</f>
        <v>406</v>
      </c>
      <c r="B407" s="1" t="n">
        <v>7.11367</v>
      </c>
    </row>
    <row r="408" customFormat="false" ht="13.8" hidden="false" customHeight="false" outlineLevel="0" collapsed="false">
      <c r="A408" s="1" t="n">
        <f aca="false">1+A407</f>
        <v>407</v>
      </c>
      <c r="B408" s="1" t="n">
        <v>7.09998</v>
      </c>
    </row>
    <row r="409" customFormat="false" ht="13.8" hidden="false" customHeight="false" outlineLevel="0" collapsed="false">
      <c r="A409" s="1" t="n">
        <f aca="false">1+A408</f>
        <v>408</v>
      </c>
      <c r="B409" s="1" t="n">
        <v>7.06788</v>
      </c>
    </row>
    <row r="410" customFormat="false" ht="13.8" hidden="false" customHeight="false" outlineLevel="0" collapsed="false">
      <c r="A410" s="1" t="n">
        <f aca="false">1+A409</f>
        <v>409</v>
      </c>
      <c r="B410" s="1" t="n">
        <v>7.04591</v>
      </c>
    </row>
    <row r="411" customFormat="false" ht="13.8" hidden="false" customHeight="false" outlineLevel="0" collapsed="false">
      <c r="A411" s="1" t="n">
        <f aca="false">1+A410</f>
        <v>410</v>
      </c>
      <c r="B411" s="1" t="n">
        <v>7.0143</v>
      </c>
    </row>
    <row r="412" customFormat="false" ht="13.8" hidden="false" customHeight="false" outlineLevel="0" collapsed="false">
      <c r="A412" s="1" t="n">
        <f aca="false">1+A411</f>
        <v>411</v>
      </c>
      <c r="B412" s="1" t="n">
        <v>6.98873</v>
      </c>
    </row>
    <row r="413" customFormat="false" ht="13.8" hidden="false" customHeight="false" outlineLevel="0" collapsed="false">
      <c r="A413" s="1" t="n">
        <f aca="false">1+A412</f>
        <v>412</v>
      </c>
      <c r="B413" s="1" t="n">
        <v>6.97664</v>
      </c>
    </row>
    <row r="414" customFormat="false" ht="13.8" hidden="false" customHeight="false" outlineLevel="0" collapsed="false">
      <c r="A414" s="1" t="n">
        <f aca="false">1+A413</f>
        <v>413</v>
      </c>
      <c r="B414" s="1" t="n">
        <v>6.95228</v>
      </c>
    </row>
    <row r="415" customFormat="false" ht="13.8" hidden="false" customHeight="false" outlineLevel="0" collapsed="false">
      <c r="A415" s="1" t="n">
        <f aca="false">1+A414</f>
        <v>414</v>
      </c>
      <c r="B415" s="1" t="n">
        <v>6.92795</v>
      </c>
    </row>
    <row r="416" customFormat="false" ht="13.8" hidden="false" customHeight="false" outlineLevel="0" collapsed="false">
      <c r="A416" s="1" t="n">
        <f aca="false">1+A415</f>
        <v>415</v>
      </c>
      <c r="B416" s="1" t="n">
        <v>6.90716</v>
      </c>
    </row>
    <row r="417" customFormat="false" ht="13.8" hidden="false" customHeight="false" outlineLevel="0" collapsed="false">
      <c r="A417" s="1" t="n">
        <f aca="false">1+A416</f>
        <v>416</v>
      </c>
      <c r="B417" s="1" t="n">
        <v>6.89342</v>
      </c>
    </row>
    <row r="418" customFormat="false" ht="13.8" hidden="false" customHeight="false" outlineLevel="0" collapsed="false">
      <c r="A418" s="1" t="n">
        <f aca="false">1+A417</f>
        <v>417</v>
      </c>
      <c r="B418" s="1" t="n">
        <v>6.88717</v>
      </c>
    </row>
    <row r="419" customFormat="false" ht="13.8" hidden="false" customHeight="false" outlineLevel="0" collapsed="false">
      <c r="A419" s="1" t="n">
        <f aca="false">1+A418</f>
        <v>418</v>
      </c>
      <c r="B419" s="1" t="n">
        <v>6.87643</v>
      </c>
    </row>
    <row r="420" customFormat="false" ht="13.8" hidden="false" customHeight="false" outlineLevel="0" collapsed="false">
      <c r="A420" s="1" t="n">
        <f aca="false">1+A419</f>
        <v>419</v>
      </c>
      <c r="B420" s="1" t="n">
        <v>6.86086</v>
      </c>
    </row>
    <row r="421" customFormat="false" ht="13.8" hidden="false" customHeight="false" outlineLevel="0" collapsed="false">
      <c r="A421" s="1" t="n">
        <f aca="false">1+A420</f>
        <v>420</v>
      </c>
      <c r="B421" s="1" t="n">
        <v>6.84551</v>
      </c>
    </row>
    <row r="422" customFormat="false" ht="13.8" hidden="false" customHeight="false" outlineLevel="0" collapsed="false">
      <c r="A422" s="1" t="n">
        <f aca="false">1+A421</f>
        <v>421</v>
      </c>
      <c r="B422" s="1" t="n">
        <v>6.82681</v>
      </c>
    </row>
    <row r="423" customFormat="false" ht="13.8" hidden="false" customHeight="false" outlineLevel="0" collapsed="false">
      <c r="A423" s="1" t="n">
        <f aca="false">1+A422</f>
        <v>422</v>
      </c>
      <c r="B423" s="1" t="n">
        <v>6.81449</v>
      </c>
    </row>
    <row r="424" customFormat="false" ht="13.8" hidden="false" customHeight="false" outlineLevel="0" collapsed="false">
      <c r="A424" s="1" t="n">
        <f aca="false">1+A423</f>
        <v>423</v>
      </c>
      <c r="B424" s="1" t="n">
        <v>6.79006</v>
      </c>
    </row>
    <row r="425" customFormat="false" ht="13.8" hidden="false" customHeight="false" outlineLevel="0" collapsed="false">
      <c r="A425" s="1" t="n">
        <f aca="false">1+A424</f>
        <v>424</v>
      </c>
      <c r="B425" s="1" t="n">
        <v>6.76744</v>
      </c>
    </row>
    <row r="426" customFormat="false" ht="13.8" hidden="false" customHeight="false" outlineLevel="0" collapsed="false">
      <c r="A426" s="1" t="n">
        <f aca="false">1+A425</f>
        <v>425</v>
      </c>
      <c r="B426" s="1" t="n">
        <v>6.75699</v>
      </c>
    </row>
    <row r="427" customFormat="false" ht="13.8" hidden="false" customHeight="false" outlineLevel="0" collapsed="false">
      <c r="A427" s="1" t="n">
        <f aca="false">1+A426</f>
        <v>426</v>
      </c>
      <c r="B427" s="1" t="n">
        <v>6.74259</v>
      </c>
    </row>
    <row r="428" customFormat="false" ht="13.8" hidden="false" customHeight="false" outlineLevel="0" collapsed="false">
      <c r="A428" s="1" t="n">
        <f aca="false">1+A427</f>
        <v>427</v>
      </c>
      <c r="B428" s="1" t="n">
        <v>6.72674</v>
      </c>
    </row>
    <row r="429" customFormat="false" ht="13.8" hidden="false" customHeight="false" outlineLevel="0" collapsed="false">
      <c r="A429" s="1" t="n">
        <f aca="false">1+A428</f>
        <v>428</v>
      </c>
      <c r="B429" s="1" t="n">
        <v>6.70646</v>
      </c>
    </row>
    <row r="430" customFormat="false" ht="13.8" hidden="false" customHeight="false" outlineLevel="0" collapsed="false">
      <c r="A430" s="1" t="n">
        <f aca="false">1+A429</f>
        <v>429</v>
      </c>
      <c r="B430" s="1" t="n">
        <v>6.6853</v>
      </c>
    </row>
    <row r="431" customFormat="false" ht="13.8" hidden="false" customHeight="false" outlineLevel="0" collapsed="false">
      <c r="A431" s="1" t="n">
        <f aca="false">1+A430</f>
        <v>430</v>
      </c>
      <c r="B431" s="1" t="n">
        <v>6.66703</v>
      </c>
    </row>
    <row r="432" customFormat="false" ht="13.8" hidden="false" customHeight="false" outlineLevel="0" collapsed="false">
      <c r="A432" s="1" t="n">
        <f aca="false">1+A431</f>
        <v>431</v>
      </c>
      <c r="B432" s="1" t="n">
        <v>6.65965</v>
      </c>
    </row>
    <row r="433" customFormat="false" ht="13.8" hidden="false" customHeight="false" outlineLevel="0" collapsed="false">
      <c r="A433" s="1" t="n">
        <f aca="false">1+A432</f>
        <v>432</v>
      </c>
      <c r="B433" s="1" t="n">
        <v>6.64958</v>
      </c>
    </row>
    <row r="434" customFormat="false" ht="13.8" hidden="false" customHeight="false" outlineLevel="0" collapsed="false">
      <c r="A434" s="1" t="n">
        <f aca="false">1+A433</f>
        <v>433</v>
      </c>
      <c r="B434" s="1" t="n">
        <v>6.6404</v>
      </c>
    </row>
    <row r="435" customFormat="false" ht="13.8" hidden="false" customHeight="false" outlineLevel="0" collapsed="false">
      <c r="A435" s="1" t="n">
        <f aca="false">1+A434</f>
        <v>434</v>
      </c>
      <c r="B435" s="1" t="n">
        <v>6.61792</v>
      </c>
    </row>
    <row r="436" customFormat="false" ht="13.8" hidden="false" customHeight="false" outlineLevel="0" collapsed="false">
      <c r="A436" s="1" t="n">
        <f aca="false">1+A435</f>
        <v>435</v>
      </c>
      <c r="B436" s="1" t="n">
        <v>6.60861</v>
      </c>
    </row>
    <row r="437" customFormat="false" ht="13.8" hidden="false" customHeight="false" outlineLevel="0" collapsed="false">
      <c r="A437" s="1" t="n">
        <f aca="false">1+A436</f>
        <v>436</v>
      </c>
      <c r="B437" s="1" t="n">
        <v>6.60096</v>
      </c>
    </row>
    <row r="438" customFormat="false" ht="13.8" hidden="false" customHeight="false" outlineLevel="0" collapsed="false">
      <c r="A438" s="1" t="n">
        <f aca="false">1+A437</f>
        <v>437</v>
      </c>
      <c r="B438" s="1" t="n">
        <v>6.57484</v>
      </c>
    </row>
    <row r="439" customFormat="false" ht="13.8" hidden="false" customHeight="false" outlineLevel="0" collapsed="false">
      <c r="A439" s="1" t="n">
        <f aca="false">1+A438</f>
        <v>438</v>
      </c>
      <c r="B439" s="1" t="n">
        <v>6.5607</v>
      </c>
    </row>
    <row r="440" customFormat="false" ht="13.8" hidden="false" customHeight="false" outlineLevel="0" collapsed="false">
      <c r="A440" s="1" t="n">
        <f aca="false">1+A439</f>
        <v>439</v>
      </c>
      <c r="B440" s="1" t="n">
        <v>6.53576</v>
      </c>
    </row>
    <row r="441" customFormat="false" ht="13.8" hidden="false" customHeight="false" outlineLevel="0" collapsed="false">
      <c r="A441" s="1" t="n">
        <f aca="false">1+A440</f>
        <v>440</v>
      </c>
      <c r="B441" s="1" t="n">
        <v>6.51509</v>
      </c>
    </row>
    <row r="442" customFormat="false" ht="13.8" hidden="false" customHeight="false" outlineLevel="0" collapsed="false">
      <c r="A442" s="1" t="n">
        <f aca="false">1+A441</f>
        <v>441</v>
      </c>
      <c r="B442" s="1" t="n">
        <v>6.50338</v>
      </c>
    </row>
    <row r="443" customFormat="false" ht="13.8" hidden="false" customHeight="false" outlineLevel="0" collapsed="false">
      <c r="A443" s="1" t="n">
        <f aca="false">1+A442</f>
        <v>442</v>
      </c>
      <c r="B443" s="1" t="n">
        <v>6.47617</v>
      </c>
    </row>
    <row r="444" customFormat="false" ht="13.8" hidden="false" customHeight="false" outlineLevel="0" collapsed="false">
      <c r="A444" s="1" t="n">
        <f aca="false">1+A443</f>
        <v>443</v>
      </c>
      <c r="B444" s="1" t="n">
        <v>6.4606</v>
      </c>
    </row>
    <row r="445" customFormat="false" ht="13.8" hidden="false" customHeight="false" outlineLevel="0" collapsed="false">
      <c r="A445" s="1" t="n">
        <f aca="false">1+A444</f>
        <v>444</v>
      </c>
      <c r="B445" s="1" t="n">
        <v>6.43795</v>
      </c>
    </row>
    <row r="446" customFormat="false" ht="13.8" hidden="false" customHeight="false" outlineLevel="0" collapsed="false">
      <c r="A446" s="1" t="n">
        <f aca="false">1+A445</f>
        <v>445</v>
      </c>
      <c r="B446" s="1" t="n">
        <v>6.42773</v>
      </c>
    </row>
    <row r="447" customFormat="false" ht="13.8" hidden="false" customHeight="false" outlineLevel="0" collapsed="false">
      <c r="A447" s="1" t="n">
        <f aca="false">1+A446</f>
        <v>446</v>
      </c>
      <c r="B447" s="1" t="n">
        <v>6.40966</v>
      </c>
    </row>
    <row r="448" customFormat="false" ht="13.8" hidden="false" customHeight="false" outlineLevel="0" collapsed="false">
      <c r="A448" s="1" t="n">
        <f aca="false">1+A447</f>
        <v>447</v>
      </c>
      <c r="B448" s="1" t="n">
        <v>6.40035</v>
      </c>
    </row>
    <row r="449" customFormat="false" ht="13.8" hidden="false" customHeight="false" outlineLevel="0" collapsed="false">
      <c r="A449" s="1" t="n">
        <f aca="false">1+A448</f>
        <v>448</v>
      </c>
      <c r="B449" s="1" t="n">
        <v>6.38698</v>
      </c>
    </row>
    <row r="450" customFormat="false" ht="13.8" hidden="false" customHeight="false" outlineLevel="0" collapsed="false">
      <c r="A450" s="1" t="n">
        <f aca="false">1+A449</f>
        <v>449</v>
      </c>
      <c r="B450" s="1" t="n">
        <v>6.37651</v>
      </c>
    </row>
    <row r="451" customFormat="false" ht="13.8" hidden="false" customHeight="false" outlineLevel="0" collapsed="false">
      <c r="A451" s="1" t="n">
        <f aca="false">1+A450</f>
        <v>450</v>
      </c>
      <c r="B451" s="1" t="n">
        <v>6.36847</v>
      </c>
    </row>
    <row r="452" customFormat="false" ht="13.8" hidden="false" customHeight="false" outlineLevel="0" collapsed="false">
      <c r="A452" s="1" t="n">
        <f aca="false">1+A451</f>
        <v>451</v>
      </c>
      <c r="B452" s="1" t="n">
        <v>6.34444</v>
      </c>
    </row>
    <row r="453" customFormat="false" ht="13.8" hidden="false" customHeight="false" outlineLevel="0" collapsed="false">
      <c r="A453" s="1" t="n">
        <f aca="false">1+A452</f>
        <v>452</v>
      </c>
      <c r="B453" s="1" t="n">
        <v>6.3289</v>
      </c>
    </row>
    <row r="454" customFormat="false" ht="13.8" hidden="false" customHeight="false" outlineLevel="0" collapsed="false">
      <c r="A454" s="1" t="n">
        <f aca="false">1+A453</f>
        <v>453</v>
      </c>
      <c r="B454" s="1" t="n">
        <v>6.30396</v>
      </c>
    </row>
    <row r="455" customFormat="false" ht="13.8" hidden="false" customHeight="false" outlineLevel="0" collapsed="false">
      <c r="A455" s="1" t="n">
        <f aca="false">1+A454</f>
        <v>454</v>
      </c>
      <c r="B455" s="1" t="n">
        <v>6.28627</v>
      </c>
    </row>
    <row r="456" customFormat="false" ht="13.8" hidden="false" customHeight="false" outlineLevel="0" collapsed="false">
      <c r="A456" s="1" t="n">
        <f aca="false">1+A455</f>
        <v>455</v>
      </c>
      <c r="B456" s="1" t="n">
        <v>6.26625</v>
      </c>
    </row>
    <row r="457" customFormat="false" ht="13.8" hidden="false" customHeight="false" outlineLevel="0" collapsed="false">
      <c r="A457" s="1" t="n">
        <f aca="false">1+A456</f>
        <v>456</v>
      </c>
      <c r="B457" s="1" t="n">
        <v>6.23939</v>
      </c>
    </row>
    <row r="458" customFormat="false" ht="13.8" hidden="false" customHeight="false" outlineLevel="0" collapsed="false">
      <c r="A458" s="1" t="n">
        <f aca="false">1+A457</f>
        <v>457</v>
      </c>
      <c r="B458" s="1" t="n">
        <v>6.22612</v>
      </c>
    </row>
    <row r="459" customFormat="false" ht="13.8" hidden="false" customHeight="false" outlineLevel="0" collapsed="false">
      <c r="A459" s="1" t="n">
        <f aca="false">1+A458</f>
        <v>458</v>
      </c>
      <c r="B459" s="1" t="n">
        <v>6.20821</v>
      </c>
    </row>
    <row r="460" customFormat="false" ht="13.8" hidden="false" customHeight="false" outlineLevel="0" collapsed="false">
      <c r="A460" s="1" t="n">
        <f aca="false">1+A459</f>
        <v>459</v>
      </c>
      <c r="B460" s="1" t="n">
        <v>6.18556</v>
      </c>
    </row>
    <row r="461" customFormat="false" ht="13.8" hidden="false" customHeight="false" outlineLevel="0" collapsed="false">
      <c r="A461" s="1" t="n">
        <f aca="false">1+A460</f>
        <v>460</v>
      </c>
      <c r="B461" s="1" t="n">
        <v>6.18032</v>
      </c>
    </row>
    <row r="462" customFormat="false" ht="13.8" hidden="false" customHeight="false" outlineLevel="0" collapsed="false">
      <c r="A462" s="1" t="n">
        <f aca="false">1+A461</f>
        <v>461</v>
      </c>
      <c r="B462" s="1" t="n">
        <v>6.16361</v>
      </c>
    </row>
    <row r="463" customFormat="false" ht="13.8" hidden="false" customHeight="false" outlineLevel="0" collapsed="false">
      <c r="A463" s="1" t="n">
        <f aca="false">1+A462</f>
        <v>462</v>
      </c>
      <c r="B463" s="1" t="n">
        <v>6.15232</v>
      </c>
    </row>
    <row r="464" customFormat="false" ht="13.8" hidden="false" customHeight="false" outlineLevel="0" collapsed="false">
      <c r="A464" s="1" t="n">
        <f aca="false">1+A463</f>
        <v>463</v>
      </c>
      <c r="B464" s="1" t="n">
        <v>6.1155</v>
      </c>
    </row>
    <row r="465" customFormat="false" ht="13.8" hidden="false" customHeight="false" outlineLevel="0" collapsed="false">
      <c r="A465" s="1" t="n">
        <f aca="false">1+A464</f>
        <v>464</v>
      </c>
      <c r="B465" s="1" t="n">
        <v>6.11252</v>
      </c>
    </row>
    <row r="466" customFormat="false" ht="13.8" hidden="false" customHeight="false" outlineLevel="0" collapsed="false">
      <c r="A466" s="1" t="n">
        <f aca="false">1+A465</f>
        <v>465</v>
      </c>
      <c r="B466" s="1" t="n">
        <v>6.0917</v>
      </c>
    </row>
    <row r="467" customFormat="false" ht="13.8" hidden="false" customHeight="false" outlineLevel="0" collapsed="false">
      <c r="A467" s="1" t="n">
        <f aca="false">1+A466</f>
        <v>466</v>
      </c>
      <c r="B467" s="1" t="n">
        <v>6.09275</v>
      </c>
    </row>
    <row r="468" customFormat="false" ht="13.8" hidden="false" customHeight="false" outlineLevel="0" collapsed="false">
      <c r="A468" s="1" t="n">
        <f aca="false">1+A467</f>
        <v>467</v>
      </c>
      <c r="B468" s="1" t="n">
        <v>6.07692</v>
      </c>
    </row>
    <row r="469" customFormat="false" ht="13.8" hidden="false" customHeight="false" outlineLevel="0" collapsed="false">
      <c r="A469" s="1" t="n">
        <f aca="false">1+A468</f>
        <v>468</v>
      </c>
      <c r="B469" s="1" t="n">
        <v>6.05772</v>
      </c>
    </row>
    <row r="470" customFormat="false" ht="13.8" hidden="false" customHeight="false" outlineLevel="0" collapsed="false">
      <c r="A470" s="1" t="n">
        <f aca="false">1+A469</f>
        <v>469</v>
      </c>
      <c r="B470" s="1" t="n">
        <v>6.04291</v>
      </c>
    </row>
    <row r="471" customFormat="false" ht="13.8" hidden="false" customHeight="false" outlineLevel="0" collapsed="false">
      <c r="A471" s="1" t="n">
        <f aca="false">1+A470</f>
        <v>470</v>
      </c>
      <c r="B471" s="1" t="n">
        <v>6.03092</v>
      </c>
    </row>
    <row r="472" customFormat="false" ht="13.8" hidden="false" customHeight="false" outlineLevel="0" collapsed="false">
      <c r="A472" s="1" t="n">
        <f aca="false">1+A471</f>
        <v>471</v>
      </c>
      <c r="B472" s="1" t="n">
        <v>6.01432</v>
      </c>
    </row>
    <row r="473" customFormat="false" ht="13.8" hidden="false" customHeight="false" outlineLevel="0" collapsed="false">
      <c r="A473" s="1" t="n">
        <f aca="false">1+A472</f>
        <v>472</v>
      </c>
      <c r="B473" s="1" t="n">
        <v>6.00321</v>
      </c>
    </row>
    <row r="474" customFormat="false" ht="13.8" hidden="false" customHeight="false" outlineLevel="0" collapsed="false">
      <c r="A474" s="1" t="n">
        <f aca="false">1+A473</f>
        <v>473</v>
      </c>
      <c r="B474" s="1" t="n">
        <v>5.99264</v>
      </c>
    </row>
    <row r="475" customFormat="false" ht="13.8" hidden="false" customHeight="false" outlineLevel="0" collapsed="false">
      <c r="A475" s="1" t="n">
        <f aca="false">1+A474</f>
        <v>474</v>
      </c>
      <c r="B475" s="1" t="n">
        <v>5.97193</v>
      </c>
    </row>
    <row r="476" customFormat="false" ht="13.8" hidden="false" customHeight="false" outlineLevel="0" collapsed="false">
      <c r="A476" s="1" t="n">
        <f aca="false">1+A475</f>
        <v>475</v>
      </c>
      <c r="B476" s="1" t="n">
        <v>5.96355</v>
      </c>
    </row>
    <row r="477" customFormat="false" ht="13.8" hidden="false" customHeight="false" outlineLevel="0" collapsed="false">
      <c r="A477" s="1" t="n">
        <f aca="false">1+A476</f>
        <v>476</v>
      </c>
      <c r="B477" s="1" t="n">
        <v>5.95874</v>
      </c>
    </row>
    <row r="478" customFormat="false" ht="13.8" hidden="false" customHeight="false" outlineLevel="0" collapsed="false">
      <c r="A478" s="1" t="n">
        <f aca="false">1+A477</f>
        <v>477</v>
      </c>
      <c r="B478" s="1" t="n">
        <v>5.93488</v>
      </c>
    </row>
    <row r="479" customFormat="false" ht="13.8" hidden="false" customHeight="false" outlineLevel="0" collapsed="false">
      <c r="A479" s="1" t="n">
        <f aca="false">1+A478</f>
        <v>478</v>
      </c>
      <c r="B479" s="1" t="n">
        <v>5.92969</v>
      </c>
    </row>
    <row r="480" customFormat="false" ht="13.8" hidden="false" customHeight="false" outlineLevel="0" collapsed="false">
      <c r="A480" s="1" t="n">
        <f aca="false">1+A479</f>
        <v>479</v>
      </c>
      <c r="B480" s="1" t="n">
        <v>5.903</v>
      </c>
    </row>
    <row r="481" customFormat="false" ht="13.8" hidden="false" customHeight="false" outlineLevel="0" collapsed="false">
      <c r="A481" s="1" t="n">
        <f aca="false">1+A480</f>
        <v>480</v>
      </c>
      <c r="B481" s="1" t="n">
        <v>5.87927</v>
      </c>
    </row>
    <row r="482" customFormat="false" ht="13.8" hidden="false" customHeight="false" outlineLevel="0" collapsed="false">
      <c r="A482" s="1" t="n">
        <f aca="false">1+A481</f>
        <v>481</v>
      </c>
      <c r="B482" s="1" t="n">
        <v>5.85976</v>
      </c>
    </row>
    <row r="483" customFormat="false" ht="13.8" hidden="false" customHeight="false" outlineLevel="0" collapsed="false">
      <c r="A483" s="1" t="n">
        <f aca="false">1+A482</f>
        <v>482</v>
      </c>
      <c r="B483" s="1" t="n">
        <v>5.84003</v>
      </c>
    </row>
    <row r="484" customFormat="false" ht="13.8" hidden="false" customHeight="false" outlineLevel="0" collapsed="false">
      <c r="A484" s="1" t="n">
        <f aca="false">1+A483</f>
        <v>483</v>
      </c>
      <c r="B484" s="1" t="n">
        <v>5.81578</v>
      </c>
    </row>
    <row r="485" customFormat="false" ht="13.8" hidden="false" customHeight="false" outlineLevel="0" collapsed="false">
      <c r="A485" s="1" t="n">
        <f aca="false">1+A484</f>
        <v>484</v>
      </c>
      <c r="B485" s="1" t="n">
        <v>5.80287</v>
      </c>
    </row>
    <row r="486" customFormat="false" ht="13.8" hidden="false" customHeight="false" outlineLevel="0" collapsed="false">
      <c r="A486" s="1" t="n">
        <f aca="false">1+A485</f>
        <v>485</v>
      </c>
      <c r="B486" s="1" t="n">
        <v>5.78323</v>
      </c>
    </row>
    <row r="487" customFormat="false" ht="13.8" hidden="false" customHeight="false" outlineLevel="0" collapsed="false">
      <c r="A487" s="1" t="n">
        <f aca="false">1+A486</f>
        <v>486</v>
      </c>
      <c r="B487" s="1" t="n">
        <v>5.7578</v>
      </c>
    </row>
    <row r="488" customFormat="false" ht="13.8" hidden="false" customHeight="false" outlineLevel="0" collapsed="false">
      <c r="A488" s="1" t="n">
        <f aca="false">1+A487</f>
        <v>487</v>
      </c>
      <c r="B488" s="1" t="n">
        <v>5.74683</v>
      </c>
    </row>
    <row r="489" customFormat="false" ht="13.8" hidden="false" customHeight="false" outlineLevel="0" collapsed="false">
      <c r="A489" s="1" t="n">
        <f aca="false">1+A488</f>
        <v>488</v>
      </c>
      <c r="B489" s="1" t="n">
        <v>5.73966</v>
      </c>
    </row>
    <row r="490" customFormat="false" ht="13.8" hidden="false" customHeight="false" outlineLevel="0" collapsed="false">
      <c r="A490" s="1" t="n">
        <f aca="false">1+A489</f>
        <v>489</v>
      </c>
      <c r="B490" s="1" t="n">
        <v>5.72717</v>
      </c>
    </row>
    <row r="491" customFormat="false" ht="13.8" hidden="false" customHeight="false" outlineLevel="0" collapsed="false">
      <c r="A491" s="1" t="n">
        <f aca="false">1+A490</f>
        <v>490</v>
      </c>
      <c r="B491" s="1" t="n">
        <v>5.71473</v>
      </c>
    </row>
    <row r="492" customFormat="false" ht="13.8" hidden="false" customHeight="false" outlineLevel="0" collapsed="false">
      <c r="A492" s="1" t="n">
        <f aca="false">1+A491</f>
        <v>491</v>
      </c>
      <c r="B492" s="1" t="n">
        <v>5.70345</v>
      </c>
    </row>
    <row r="493" customFormat="false" ht="13.8" hidden="false" customHeight="false" outlineLevel="0" collapsed="false">
      <c r="A493" s="1" t="n">
        <f aca="false">1+A492</f>
        <v>492</v>
      </c>
      <c r="B493" s="1" t="n">
        <v>5.67812</v>
      </c>
    </row>
    <row r="494" customFormat="false" ht="13.8" hidden="false" customHeight="false" outlineLevel="0" collapsed="false">
      <c r="A494" s="1" t="n">
        <f aca="false">1+A493</f>
        <v>493</v>
      </c>
      <c r="B494" s="1" t="n">
        <v>5.66633</v>
      </c>
    </row>
    <row r="495" customFormat="false" ht="13.8" hidden="false" customHeight="false" outlineLevel="0" collapsed="false">
      <c r="A495" s="1" t="n">
        <f aca="false">1+A494</f>
        <v>494</v>
      </c>
      <c r="B495" s="1" t="n">
        <v>5.62745</v>
      </c>
    </row>
    <row r="496" customFormat="false" ht="13.8" hidden="false" customHeight="false" outlineLevel="0" collapsed="false">
      <c r="A496" s="1" t="n">
        <f aca="false">1+A495</f>
        <v>495</v>
      </c>
      <c r="B496" s="1" t="n">
        <v>5.61684</v>
      </c>
    </row>
    <row r="497" customFormat="false" ht="13.8" hidden="false" customHeight="false" outlineLevel="0" collapsed="false">
      <c r="A497" s="1" t="n">
        <f aca="false">1+A496</f>
        <v>496</v>
      </c>
      <c r="B497" s="1" t="n">
        <v>5.60971</v>
      </c>
    </row>
    <row r="498" customFormat="false" ht="13.8" hidden="false" customHeight="false" outlineLevel="0" collapsed="false">
      <c r="A498" s="1" t="n">
        <f aca="false">1+A497</f>
        <v>497</v>
      </c>
      <c r="B498" s="1" t="n">
        <v>5.58555</v>
      </c>
    </row>
    <row r="499" customFormat="false" ht="13.8" hidden="false" customHeight="false" outlineLevel="0" collapsed="false">
      <c r="A499" s="1" t="n">
        <f aca="false">1+A498</f>
        <v>498</v>
      </c>
      <c r="B499" s="1" t="n">
        <v>5.57527</v>
      </c>
    </row>
    <row r="500" customFormat="false" ht="13.8" hidden="false" customHeight="false" outlineLevel="0" collapsed="false">
      <c r="A500" s="1" t="n">
        <f aca="false">1+A499</f>
        <v>499</v>
      </c>
      <c r="B500" s="1" t="n">
        <v>5.55065</v>
      </c>
    </row>
    <row r="501" customFormat="false" ht="13.8" hidden="false" customHeight="false" outlineLevel="0" collapsed="false">
      <c r="A501" s="1" t="n">
        <f aca="false">1+A500</f>
        <v>500</v>
      </c>
      <c r="B501" s="1" t="n">
        <v>5.54181</v>
      </c>
    </row>
    <row r="502" customFormat="false" ht="13.8" hidden="false" customHeight="false" outlineLevel="0" collapsed="false">
      <c r="A502" s="1" t="n">
        <f aca="false">1+A501</f>
        <v>501</v>
      </c>
      <c r="B502" s="1" t="n">
        <v>5.52837</v>
      </c>
    </row>
    <row r="503" customFormat="false" ht="13.8" hidden="false" customHeight="false" outlineLevel="0" collapsed="false">
      <c r="A503" s="1" t="n">
        <f aca="false">1+A502</f>
        <v>502</v>
      </c>
      <c r="B503" s="1" t="n">
        <v>5.5063</v>
      </c>
    </row>
    <row r="504" customFormat="false" ht="13.8" hidden="false" customHeight="false" outlineLevel="0" collapsed="false">
      <c r="A504" s="1" t="n">
        <f aca="false">1+A503</f>
        <v>503</v>
      </c>
      <c r="B504" s="1" t="n">
        <v>5.48358</v>
      </c>
    </row>
    <row r="505" customFormat="false" ht="13.8" hidden="false" customHeight="false" outlineLevel="0" collapsed="false">
      <c r="A505" s="1" t="n">
        <f aca="false">1+A504</f>
        <v>504</v>
      </c>
      <c r="B505" s="1" t="n">
        <v>5.45201</v>
      </c>
    </row>
    <row r="506" customFormat="false" ht="13.8" hidden="false" customHeight="false" outlineLevel="0" collapsed="false">
      <c r="A506" s="1" t="n">
        <f aca="false">1+A505</f>
        <v>505</v>
      </c>
      <c r="B506" s="1" t="n">
        <v>5.43527</v>
      </c>
    </row>
    <row r="507" customFormat="false" ht="13.8" hidden="false" customHeight="false" outlineLevel="0" collapsed="false">
      <c r="A507" s="1" t="n">
        <f aca="false">1+A506</f>
        <v>506</v>
      </c>
      <c r="B507" s="1" t="n">
        <v>5.3999</v>
      </c>
    </row>
    <row r="508" customFormat="false" ht="13.8" hidden="false" customHeight="false" outlineLevel="0" collapsed="false">
      <c r="A508" s="1" t="n">
        <f aca="false">1+A507</f>
        <v>507</v>
      </c>
      <c r="B508" s="1" t="n">
        <v>5.38761</v>
      </c>
    </row>
    <row r="509" customFormat="false" ht="13.8" hidden="false" customHeight="false" outlineLevel="0" collapsed="false">
      <c r="A509" s="1" t="n">
        <f aca="false">1+A508</f>
        <v>508</v>
      </c>
      <c r="B509" s="1" t="n">
        <v>5.38174</v>
      </c>
    </row>
    <row r="510" customFormat="false" ht="13.8" hidden="false" customHeight="false" outlineLevel="0" collapsed="false">
      <c r="A510" s="1" t="n">
        <f aca="false">1+A509</f>
        <v>509</v>
      </c>
      <c r="B510" s="1" t="n">
        <v>5.38183</v>
      </c>
    </row>
    <row r="511" customFormat="false" ht="13.8" hidden="false" customHeight="false" outlineLevel="0" collapsed="false">
      <c r="A511" s="1" t="n">
        <f aca="false">1+A510</f>
        <v>510</v>
      </c>
      <c r="B511" s="1" t="n">
        <v>5.37285</v>
      </c>
    </row>
    <row r="512" customFormat="false" ht="13.8" hidden="false" customHeight="false" outlineLevel="0" collapsed="false">
      <c r="A512" s="1" t="n">
        <f aca="false">1+A511</f>
        <v>511</v>
      </c>
      <c r="B512" s="1" t="n">
        <v>5.36091</v>
      </c>
    </row>
    <row r="513" customFormat="false" ht="13.8" hidden="false" customHeight="false" outlineLevel="0" collapsed="false">
      <c r="A513" s="1" t="n">
        <f aca="false">1+A512</f>
        <v>512</v>
      </c>
      <c r="B513" s="1" t="n">
        <v>5.35305</v>
      </c>
    </row>
    <row r="514" customFormat="false" ht="13.8" hidden="false" customHeight="false" outlineLevel="0" collapsed="false">
      <c r="A514" s="1" t="n">
        <f aca="false">1+A513</f>
        <v>513</v>
      </c>
      <c r="B514" s="1" t="n">
        <v>5.33075</v>
      </c>
    </row>
    <row r="515" customFormat="false" ht="13.8" hidden="false" customHeight="false" outlineLevel="0" collapsed="false">
      <c r="A515" s="1" t="n">
        <f aca="false">1+A514</f>
        <v>514</v>
      </c>
      <c r="B515" s="1" t="n">
        <v>5.31356</v>
      </c>
    </row>
    <row r="516" customFormat="false" ht="13.8" hidden="false" customHeight="false" outlineLevel="0" collapsed="false">
      <c r="A516" s="1" t="n">
        <f aca="false">1+A515</f>
        <v>515</v>
      </c>
      <c r="B516" s="1" t="n">
        <v>5.30088</v>
      </c>
    </row>
    <row r="517" customFormat="false" ht="13.8" hidden="false" customHeight="false" outlineLevel="0" collapsed="false">
      <c r="A517" s="1" t="n">
        <f aca="false">1+A516</f>
        <v>516</v>
      </c>
      <c r="B517" s="1" t="n">
        <v>5.29028</v>
      </c>
    </row>
    <row r="518" customFormat="false" ht="13.8" hidden="false" customHeight="false" outlineLevel="0" collapsed="false">
      <c r="A518" s="1" t="n">
        <f aca="false">1+A517</f>
        <v>517</v>
      </c>
      <c r="B518" s="1" t="n">
        <v>5.26808</v>
      </c>
    </row>
    <row r="519" customFormat="false" ht="13.8" hidden="false" customHeight="false" outlineLevel="0" collapsed="false">
      <c r="A519" s="1" t="n">
        <f aca="false">1+A518</f>
        <v>518</v>
      </c>
      <c r="B519" s="1" t="n">
        <v>5.25766</v>
      </c>
    </row>
    <row r="520" customFormat="false" ht="13.8" hidden="false" customHeight="false" outlineLevel="0" collapsed="false">
      <c r="A520" s="1" t="n">
        <f aca="false">1+A519</f>
        <v>519</v>
      </c>
      <c r="B520" s="1" t="n">
        <v>5.24525</v>
      </c>
    </row>
    <row r="521" customFormat="false" ht="13.8" hidden="false" customHeight="false" outlineLevel="0" collapsed="false">
      <c r="A521" s="1" t="n">
        <f aca="false">1+A520</f>
        <v>520</v>
      </c>
      <c r="B521" s="1" t="n">
        <v>5.22673</v>
      </c>
    </row>
    <row r="522" customFormat="false" ht="13.8" hidden="false" customHeight="false" outlineLevel="0" collapsed="false">
      <c r="A522" s="1" t="n">
        <f aca="false">1+A521</f>
        <v>521</v>
      </c>
      <c r="B522" s="1" t="n">
        <v>5.21624</v>
      </c>
    </row>
    <row r="523" customFormat="false" ht="13.8" hidden="false" customHeight="false" outlineLevel="0" collapsed="false">
      <c r="A523" s="1" t="n">
        <f aca="false">1+A522</f>
        <v>522</v>
      </c>
      <c r="B523" s="1" t="n">
        <v>5.1906</v>
      </c>
    </row>
    <row r="524" customFormat="false" ht="13.8" hidden="false" customHeight="false" outlineLevel="0" collapsed="false">
      <c r="A524" s="1" t="n">
        <f aca="false">1+A523</f>
        <v>523</v>
      </c>
      <c r="B524" s="1" t="n">
        <v>5.16267</v>
      </c>
    </row>
    <row r="525" customFormat="false" ht="13.8" hidden="false" customHeight="false" outlineLevel="0" collapsed="false">
      <c r="A525" s="1" t="n">
        <f aca="false">1+A524</f>
        <v>524</v>
      </c>
      <c r="B525" s="1" t="n">
        <v>5.15308</v>
      </c>
    </row>
    <row r="526" customFormat="false" ht="13.8" hidden="false" customHeight="false" outlineLevel="0" collapsed="false">
      <c r="A526" s="1" t="n">
        <f aca="false">1+A525</f>
        <v>525</v>
      </c>
      <c r="B526" s="1" t="n">
        <v>5.14952</v>
      </c>
    </row>
    <row r="527" customFormat="false" ht="13.8" hidden="false" customHeight="false" outlineLevel="0" collapsed="false">
      <c r="A527" s="1" t="n">
        <f aca="false">1+A526</f>
        <v>526</v>
      </c>
      <c r="B527" s="1" t="n">
        <v>5.1284</v>
      </c>
    </row>
    <row r="528" customFormat="false" ht="13.8" hidden="false" customHeight="false" outlineLevel="0" collapsed="false">
      <c r="A528" s="1" t="n">
        <f aca="false">1+A527</f>
        <v>527</v>
      </c>
      <c r="B528" s="1" t="n">
        <v>5.12498</v>
      </c>
    </row>
    <row r="529" customFormat="false" ht="13.8" hidden="false" customHeight="false" outlineLevel="0" collapsed="false">
      <c r="A529" s="1" t="n">
        <f aca="false">1+A528</f>
        <v>528</v>
      </c>
      <c r="B529" s="1" t="n">
        <v>5.10988</v>
      </c>
    </row>
    <row r="530" customFormat="false" ht="13.8" hidden="false" customHeight="false" outlineLevel="0" collapsed="false">
      <c r="A530" s="1" t="n">
        <f aca="false">1+A529</f>
        <v>529</v>
      </c>
      <c r="B530" s="1" t="n">
        <v>5.09138</v>
      </c>
    </row>
    <row r="531" customFormat="false" ht="13.8" hidden="false" customHeight="false" outlineLevel="0" collapsed="false">
      <c r="A531" s="1" t="n">
        <f aca="false">1+A530</f>
        <v>530</v>
      </c>
      <c r="B531" s="1" t="n">
        <v>5.08341</v>
      </c>
    </row>
    <row r="532" customFormat="false" ht="13.8" hidden="false" customHeight="false" outlineLevel="0" collapsed="false">
      <c r="A532" s="1" t="n">
        <f aca="false">1+A531</f>
        <v>531</v>
      </c>
      <c r="B532" s="1" t="n">
        <v>5.072</v>
      </c>
    </row>
    <row r="533" customFormat="false" ht="13.8" hidden="false" customHeight="false" outlineLevel="0" collapsed="false">
      <c r="A533" s="1" t="n">
        <f aca="false">1+A532</f>
        <v>532</v>
      </c>
      <c r="B533" s="1" t="n">
        <v>5.06547</v>
      </c>
    </row>
    <row r="534" customFormat="false" ht="13.8" hidden="false" customHeight="false" outlineLevel="0" collapsed="false">
      <c r="A534" s="1" t="n">
        <f aca="false">1+A533</f>
        <v>533</v>
      </c>
      <c r="B534" s="1" t="n">
        <v>5.05632</v>
      </c>
    </row>
    <row r="535" customFormat="false" ht="13.8" hidden="false" customHeight="false" outlineLevel="0" collapsed="false">
      <c r="A535" s="1" t="n">
        <f aca="false">1+A534</f>
        <v>534</v>
      </c>
      <c r="B535" s="1" t="n">
        <v>5.03917</v>
      </c>
    </row>
    <row r="536" customFormat="false" ht="13.8" hidden="false" customHeight="false" outlineLevel="0" collapsed="false">
      <c r="A536" s="1" t="n">
        <f aca="false">1+A535</f>
        <v>535</v>
      </c>
      <c r="B536" s="1" t="n">
        <v>5.03069</v>
      </c>
    </row>
    <row r="537" customFormat="false" ht="13.8" hidden="false" customHeight="false" outlineLevel="0" collapsed="false">
      <c r="A537" s="1" t="n">
        <f aca="false">1+A536</f>
        <v>536</v>
      </c>
      <c r="B537" s="1" t="n">
        <v>5.01979</v>
      </c>
    </row>
    <row r="538" customFormat="false" ht="13.8" hidden="false" customHeight="false" outlineLevel="0" collapsed="false">
      <c r="A538" s="1" t="n">
        <f aca="false">1+A537</f>
        <v>537</v>
      </c>
      <c r="B538" s="1" t="n">
        <v>5.00662</v>
      </c>
    </row>
    <row r="539" customFormat="false" ht="13.8" hidden="false" customHeight="false" outlineLevel="0" collapsed="false">
      <c r="A539" s="1" t="n">
        <f aca="false">1+A538</f>
        <v>538</v>
      </c>
      <c r="B539" s="1" t="n">
        <v>5.00129</v>
      </c>
    </row>
    <row r="540" customFormat="false" ht="13.8" hidden="false" customHeight="false" outlineLevel="0" collapsed="false">
      <c r="A540" s="1" t="n">
        <f aca="false">1+A539</f>
        <v>539</v>
      </c>
      <c r="B540" s="1" t="n">
        <v>4.99835</v>
      </c>
    </row>
    <row r="541" customFormat="false" ht="13.8" hidden="false" customHeight="false" outlineLevel="0" collapsed="false">
      <c r="A541" s="1" t="n">
        <f aca="false">1+A540</f>
        <v>540</v>
      </c>
      <c r="B541" s="1" t="n">
        <v>4.98865</v>
      </c>
    </row>
    <row r="542" customFormat="false" ht="13.8" hidden="false" customHeight="false" outlineLevel="0" collapsed="false">
      <c r="A542" s="1" t="n">
        <f aca="false">1+A541</f>
        <v>541</v>
      </c>
      <c r="B542" s="1" t="n">
        <v>4.97995</v>
      </c>
    </row>
    <row r="543" customFormat="false" ht="13.8" hidden="false" customHeight="false" outlineLevel="0" collapsed="false">
      <c r="A543" s="1" t="n">
        <f aca="false">1+A542</f>
        <v>542</v>
      </c>
      <c r="B543" s="1" t="n">
        <v>4.97074</v>
      </c>
    </row>
    <row r="544" customFormat="false" ht="13.8" hidden="false" customHeight="false" outlineLevel="0" collapsed="false">
      <c r="A544" s="1" t="n">
        <f aca="false">1+A543</f>
        <v>543</v>
      </c>
      <c r="B544" s="1" t="n">
        <v>4.95953</v>
      </c>
    </row>
    <row r="545" customFormat="false" ht="13.8" hidden="false" customHeight="false" outlineLevel="0" collapsed="false">
      <c r="A545" s="1" t="n">
        <f aca="false">1+A544</f>
        <v>544</v>
      </c>
      <c r="B545" s="1" t="n">
        <v>4.95011</v>
      </c>
    </row>
    <row r="546" customFormat="false" ht="13.8" hidden="false" customHeight="false" outlineLevel="0" collapsed="false">
      <c r="A546" s="1" t="n">
        <f aca="false">1+A545</f>
        <v>545</v>
      </c>
      <c r="B546" s="1" t="n">
        <v>4.9467</v>
      </c>
    </row>
    <row r="547" customFormat="false" ht="13.8" hidden="false" customHeight="false" outlineLevel="0" collapsed="false">
      <c r="A547" s="1" t="n">
        <f aca="false">1+A546</f>
        <v>546</v>
      </c>
      <c r="B547" s="1" t="n">
        <v>4.92936</v>
      </c>
    </row>
    <row r="548" customFormat="false" ht="13.8" hidden="false" customHeight="false" outlineLevel="0" collapsed="false">
      <c r="A548" s="1" t="n">
        <f aca="false">1+A547</f>
        <v>547</v>
      </c>
      <c r="B548" s="1" t="n">
        <v>4.91991</v>
      </c>
    </row>
    <row r="549" customFormat="false" ht="13.8" hidden="false" customHeight="false" outlineLevel="0" collapsed="false">
      <c r="A549" s="1" t="n">
        <f aca="false">1+A548</f>
        <v>548</v>
      </c>
      <c r="B549" s="1" t="n">
        <v>4.9134</v>
      </c>
    </row>
    <row r="550" customFormat="false" ht="13.8" hidden="false" customHeight="false" outlineLevel="0" collapsed="false">
      <c r="A550" s="1" t="n">
        <f aca="false">1+A549</f>
        <v>549</v>
      </c>
      <c r="B550" s="1" t="n">
        <v>4.90729</v>
      </c>
    </row>
    <row r="551" customFormat="false" ht="13.8" hidden="false" customHeight="false" outlineLevel="0" collapsed="false">
      <c r="A551" s="1" t="n">
        <f aca="false">1+A550</f>
        <v>550</v>
      </c>
      <c r="B551" s="1" t="n">
        <v>4.89309</v>
      </c>
    </row>
    <row r="552" customFormat="false" ht="13.8" hidden="false" customHeight="false" outlineLevel="0" collapsed="false">
      <c r="A552" s="1" t="n">
        <f aca="false">1+A551</f>
        <v>551</v>
      </c>
      <c r="B552" s="1" t="n">
        <v>4.88508</v>
      </c>
    </row>
    <row r="553" customFormat="false" ht="13.8" hidden="false" customHeight="false" outlineLevel="0" collapsed="false">
      <c r="A553" s="1" t="n">
        <f aca="false">1+A552</f>
        <v>552</v>
      </c>
      <c r="B553" s="1" t="n">
        <v>4.87092</v>
      </c>
    </row>
    <row r="554" customFormat="false" ht="13.8" hidden="false" customHeight="false" outlineLevel="0" collapsed="false">
      <c r="A554" s="1" t="n">
        <f aca="false">1+A553</f>
        <v>553</v>
      </c>
      <c r="B554" s="1" t="n">
        <v>4.86985</v>
      </c>
    </row>
    <row r="555" customFormat="false" ht="13.8" hidden="false" customHeight="false" outlineLevel="0" collapsed="false">
      <c r="A555" s="1" t="n">
        <f aca="false">1+A554</f>
        <v>554</v>
      </c>
      <c r="B555" s="1" t="n">
        <v>4.84313</v>
      </c>
    </row>
    <row r="556" customFormat="false" ht="13.8" hidden="false" customHeight="false" outlineLevel="0" collapsed="false">
      <c r="A556" s="1" t="n">
        <f aca="false">1+A555</f>
        <v>555</v>
      </c>
      <c r="B556" s="1" t="n">
        <v>4.83618</v>
      </c>
    </row>
    <row r="557" customFormat="false" ht="13.8" hidden="false" customHeight="false" outlineLevel="0" collapsed="false">
      <c r="A557" s="1" t="n">
        <f aca="false">1+A556</f>
        <v>556</v>
      </c>
      <c r="B557" s="1" t="n">
        <v>4.83379</v>
      </c>
    </row>
    <row r="558" customFormat="false" ht="13.8" hidden="false" customHeight="false" outlineLevel="0" collapsed="false">
      <c r="A558" s="1" t="n">
        <f aca="false">1+A557</f>
        <v>557</v>
      </c>
      <c r="B558" s="1" t="n">
        <v>4.82425</v>
      </c>
    </row>
    <row r="559" customFormat="false" ht="13.8" hidden="false" customHeight="false" outlineLevel="0" collapsed="false">
      <c r="A559" s="1" t="n">
        <f aca="false">1+A558</f>
        <v>558</v>
      </c>
      <c r="B559" s="1" t="n">
        <v>4.8071</v>
      </c>
    </row>
    <row r="560" customFormat="false" ht="13.8" hidden="false" customHeight="false" outlineLevel="0" collapsed="false">
      <c r="A560" s="1" t="n">
        <f aca="false">1+A559</f>
        <v>559</v>
      </c>
      <c r="B560" s="1" t="n">
        <v>4.78773</v>
      </c>
    </row>
    <row r="561" customFormat="false" ht="13.8" hidden="false" customHeight="false" outlineLevel="0" collapsed="false">
      <c r="A561" s="1" t="n">
        <f aca="false">1+A560</f>
        <v>560</v>
      </c>
      <c r="B561" s="1" t="n">
        <v>4.76184</v>
      </c>
    </row>
    <row r="562" customFormat="false" ht="13.8" hidden="false" customHeight="false" outlineLevel="0" collapsed="false">
      <c r="A562" s="1" t="n">
        <f aca="false">1+A561</f>
        <v>561</v>
      </c>
      <c r="B562" s="1" t="n">
        <v>4.74447</v>
      </c>
    </row>
    <row r="563" customFormat="false" ht="13.8" hidden="false" customHeight="false" outlineLevel="0" collapsed="false">
      <c r="A563" s="1" t="n">
        <f aca="false">1+A562</f>
        <v>562</v>
      </c>
      <c r="B563" s="1" t="n">
        <v>4.72554</v>
      </c>
    </row>
    <row r="564" customFormat="false" ht="13.8" hidden="false" customHeight="false" outlineLevel="0" collapsed="false">
      <c r="A564" s="1" t="n">
        <f aca="false">1+A563</f>
        <v>563</v>
      </c>
      <c r="B564" s="1" t="n">
        <v>4.71029</v>
      </c>
    </row>
    <row r="565" customFormat="false" ht="13.8" hidden="false" customHeight="false" outlineLevel="0" collapsed="false">
      <c r="A565" s="1" t="n">
        <f aca="false">1+A564</f>
        <v>564</v>
      </c>
      <c r="B565" s="1" t="n">
        <v>4.69461</v>
      </c>
    </row>
    <row r="566" customFormat="false" ht="13.8" hidden="false" customHeight="false" outlineLevel="0" collapsed="false">
      <c r="A566" s="1" t="n">
        <f aca="false">1+A565</f>
        <v>565</v>
      </c>
      <c r="B566" s="1" t="n">
        <v>4.68531</v>
      </c>
    </row>
    <row r="567" customFormat="false" ht="13.8" hidden="false" customHeight="false" outlineLevel="0" collapsed="false">
      <c r="A567" s="1" t="n">
        <f aca="false">1+A566</f>
        <v>566</v>
      </c>
      <c r="B567" s="1" t="n">
        <v>4.67033</v>
      </c>
    </row>
    <row r="568" customFormat="false" ht="13.8" hidden="false" customHeight="false" outlineLevel="0" collapsed="false">
      <c r="A568" s="1" t="n">
        <f aca="false">1+A567</f>
        <v>567</v>
      </c>
      <c r="B568" s="1" t="n">
        <v>4.66148</v>
      </c>
    </row>
    <row r="569" customFormat="false" ht="13.8" hidden="false" customHeight="false" outlineLevel="0" collapsed="false">
      <c r="A569" s="1" t="n">
        <f aca="false">1+A568</f>
        <v>568</v>
      </c>
      <c r="B569" s="1" t="n">
        <v>4.65015</v>
      </c>
    </row>
    <row r="570" customFormat="false" ht="13.8" hidden="false" customHeight="false" outlineLevel="0" collapsed="false">
      <c r="A570" s="1" t="n">
        <f aca="false">1+A569</f>
        <v>569</v>
      </c>
      <c r="B570" s="1" t="n">
        <v>4.63273</v>
      </c>
    </row>
    <row r="571" customFormat="false" ht="13.8" hidden="false" customHeight="false" outlineLevel="0" collapsed="false">
      <c r="A571" s="1" t="n">
        <f aca="false">1+A570</f>
        <v>570</v>
      </c>
      <c r="B571" s="1" t="n">
        <v>4.62857</v>
      </c>
    </row>
    <row r="572" customFormat="false" ht="13.8" hidden="false" customHeight="false" outlineLevel="0" collapsed="false">
      <c r="A572" s="1" t="n">
        <f aca="false">1+A571</f>
        <v>571</v>
      </c>
      <c r="B572" s="1" t="n">
        <v>4.61996</v>
      </c>
    </row>
    <row r="573" customFormat="false" ht="13.8" hidden="false" customHeight="false" outlineLevel="0" collapsed="false">
      <c r="A573" s="1" t="n">
        <f aca="false">1+A572</f>
        <v>572</v>
      </c>
      <c r="B573" s="1" t="n">
        <v>4.60481</v>
      </c>
    </row>
    <row r="574" customFormat="false" ht="13.8" hidden="false" customHeight="false" outlineLevel="0" collapsed="false">
      <c r="A574" s="1" t="n">
        <f aca="false">1+A573</f>
        <v>573</v>
      </c>
      <c r="B574" s="1" t="n">
        <v>4.59029</v>
      </c>
    </row>
    <row r="575" customFormat="false" ht="13.8" hidden="false" customHeight="false" outlineLevel="0" collapsed="false">
      <c r="A575" s="1" t="n">
        <f aca="false">1+A574</f>
        <v>574</v>
      </c>
      <c r="B575" s="1" t="n">
        <v>4.56895</v>
      </c>
    </row>
    <row r="576" customFormat="false" ht="13.8" hidden="false" customHeight="false" outlineLevel="0" collapsed="false">
      <c r="A576" s="1" t="n">
        <f aca="false">1+A575</f>
        <v>575</v>
      </c>
      <c r="B576" s="1" t="n">
        <v>4.56445</v>
      </c>
    </row>
    <row r="577" customFormat="false" ht="13.8" hidden="false" customHeight="false" outlineLevel="0" collapsed="false">
      <c r="A577" s="1" t="n">
        <f aca="false">1+A576</f>
        <v>576</v>
      </c>
      <c r="B577" s="1" t="n">
        <v>4.56602</v>
      </c>
    </row>
    <row r="578" customFormat="false" ht="13.8" hidden="false" customHeight="false" outlineLevel="0" collapsed="false">
      <c r="A578" s="1" t="n">
        <f aca="false">1+A577</f>
        <v>577</v>
      </c>
      <c r="B578" s="1" t="n">
        <v>4.56889</v>
      </c>
    </row>
    <row r="579" customFormat="false" ht="13.8" hidden="false" customHeight="false" outlineLevel="0" collapsed="false">
      <c r="A579" s="1" t="n">
        <f aca="false">1+A578</f>
        <v>578</v>
      </c>
      <c r="B579" s="1" t="n">
        <v>4.55596</v>
      </c>
    </row>
    <row r="580" customFormat="false" ht="13.8" hidden="false" customHeight="false" outlineLevel="0" collapsed="false">
      <c r="A580" s="1" t="n">
        <f aca="false">1+A579</f>
        <v>579</v>
      </c>
      <c r="B580" s="1" t="n">
        <v>4.54484</v>
      </c>
    </row>
    <row r="581" customFormat="false" ht="13.8" hidden="false" customHeight="false" outlineLevel="0" collapsed="false">
      <c r="A581" s="1" t="n">
        <f aca="false">1+A580</f>
        <v>580</v>
      </c>
      <c r="B581" s="1" t="n">
        <v>4.53776</v>
      </c>
    </row>
    <row r="582" customFormat="false" ht="13.8" hidden="false" customHeight="false" outlineLevel="0" collapsed="false">
      <c r="A582" s="1" t="n">
        <f aca="false">1+A581</f>
        <v>581</v>
      </c>
      <c r="B582" s="1" t="n">
        <v>4.52157</v>
      </c>
    </row>
    <row r="583" customFormat="false" ht="13.8" hidden="false" customHeight="false" outlineLevel="0" collapsed="false">
      <c r="A583" s="1" t="n">
        <f aca="false">1+A582</f>
        <v>582</v>
      </c>
      <c r="B583" s="1" t="n">
        <v>4.50789</v>
      </c>
    </row>
    <row r="584" customFormat="false" ht="13.8" hidden="false" customHeight="false" outlineLevel="0" collapsed="false">
      <c r="A584" s="1" t="n">
        <f aca="false">1+A583</f>
        <v>583</v>
      </c>
      <c r="B584" s="1" t="n">
        <v>4.49091</v>
      </c>
    </row>
    <row r="585" customFormat="false" ht="13.8" hidden="false" customHeight="false" outlineLevel="0" collapsed="false">
      <c r="A585" s="1" t="n">
        <f aca="false">1+A584</f>
        <v>584</v>
      </c>
      <c r="B585" s="1" t="n">
        <v>4.48303</v>
      </c>
    </row>
    <row r="586" customFormat="false" ht="13.8" hidden="false" customHeight="false" outlineLevel="0" collapsed="false">
      <c r="A586" s="1" t="n">
        <f aca="false">1+A585</f>
        <v>585</v>
      </c>
      <c r="B586" s="1" t="n">
        <v>4.47221</v>
      </c>
    </row>
    <row r="587" customFormat="false" ht="13.8" hidden="false" customHeight="false" outlineLevel="0" collapsed="false">
      <c r="A587" s="1" t="n">
        <f aca="false">1+A586</f>
        <v>586</v>
      </c>
      <c r="B587" s="1" t="n">
        <v>4.46104</v>
      </c>
    </row>
    <row r="588" customFormat="false" ht="13.8" hidden="false" customHeight="false" outlineLevel="0" collapsed="false">
      <c r="A588" s="1" t="n">
        <f aca="false">1+A587</f>
        <v>587</v>
      </c>
      <c r="B588" s="1" t="n">
        <v>4.4481</v>
      </c>
    </row>
    <row r="589" customFormat="false" ht="13.8" hidden="false" customHeight="false" outlineLevel="0" collapsed="false">
      <c r="A589" s="1" t="n">
        <f aca="false">1+A588</f>
        <v>588</v>
      </c>
      <c r="B589" s="1" t="n">
        <v>4.44221</v>
      </c>
    </row>
    <row r="590" customFormat="false" ht="13.8" hidden="false" customHeight="false" outlineLevel="0" collapsed="false">
      <c r="A590" s="1" t="n">
        <f aca="false">1+A589</f>
        <v>589</v>
      </c>
      <c r="B590" s="1" t="n">
        <v>4.43358</v>
      </c>
    </row>
    <row r="591" customFormat="false" ht="13.8" hidden="false" customHeight="false" outlineLevel="0" collapsed="false">
      <c r="A591" s="1" t="n">
        <f aca="false">1+A590</f>
        <v>590</v>
      </c>
      <c r="B591" s="1" t="n">
        <v>4.42481</v>
      </c>
    </row>
    <row r="592" customFormat="false" ht="13.8" hidden="false" customHeight="false" outlineLevel="0" collapsed="false">
      <c r="A592" s="1" t="n">
        <f aca="false">1+A591</f>
        <v>591</v>
      </c>
      <c r="B592" s="1" t="n">
        <v>4.4096</v>
      </c>
    </row>
    <row r="593" customFormat="false" ht="13.8" hidden="false" customHeight="false" outlineLevel="0" collapsed="false">
      <c r="A593" s="1" t="n">
        <f aca="false">1+A592</f>
        <v>592</v>
      </c>
      <c r="B593" s="1" t="n">
        <v>4.39506</v>
      </c>
    </row>
    <row r="594" customFormat="false" ht="13.8" hidden="false" customHeight="false" outlineLevel="0" collapsed="false">
      <c r="A594" s="1" t="n">
        <f aca="false">1+A593</f>
        <v>593</v>
      </c>
      <c r="B594" s="1" t="n">
        <v>4.39813</v>
      </c>
    </row>
    <row r="595" customFormat="false" ht="13.8" hidden="false" customHeight="false" outlineLevel="0" collapsed="false">
      <c r="A595" s="1" t="n">
        <f aca="false">1+A594</f>
        <v>594</v>
      </c>
      <c r="B595" s="1" t="n">
        <v>4.37622</v>
      </c>
    </row>
    <row r="596" customFormat="false" ht="13.8" hidden="false" customHeight="false" outlineLevel="0" collapsed="false">
      <c r="A596" s="1" t="n">
        <f aca="false">1+A595</f>
        <v>595</v>
      </c>
      <c r="B596" s="1" t="n">
        <v>4.36107</v>
      </c>
    </row>
    <row r="597" customFormat="false" ht="13.8" hidden="false" customHeight="false" outlineLevel="0" collapsed="false">
      <c r="A597" s="1" t="n">
        <f aca="false">1+A596</f>
        <v>596</v>
      </c>
      <c r="B597" s="1" t="n">
        <v>4.35277</v>
      </c>
    </row>
    <row r="598" customFormat="false" ht="13.8" hidden="false" customHeight="false" outlineLevel="0" collapsed="false">
      <c r="A598" s="1" t="n">
        <f aca="false">1+A597</f>
        <v>597</v>
      </c>
      <c r="B598" s="1" t="n">
        <v>4.34674</v>
      </c>
    </row>
    <row r="599" customFormat="false" ht="13.8" hidden="false" customHeight="false" outlineLevel="0" collapsed="false">
      <c r="A599" s="1" t="n">
        <f aca="false">1+A598</f>
        <v>598</v>
      </c>
      <c r="B599" s="1" t="n">
        <v>4.34608</v>
      </c>
    </row>
    <row r="600" customFormat="false" ht="13.8" hidden="false" customHeight="false" outlineLevel="0" collapsed="false">
      <c r="A600" s="1" t="n">
        <f aca="false">1+A599</f>
        <v>599</v>
      </c>
      <c r="B600" s="1" t="n">
        <v>4.3303</v>
      </c>
    </row>
    <row r="601" customFormat="false" ht="13.8" hidden="false" customHeight="false" outlineLevel="0" collapsed="false">
      <c r="A601" s="1" t="n">
        <f aca="false">1+A600</f>
        <v>600</v>
      </c>
      <c r="B601" s="1" t="n">
        <v>4.33908</v>
      </c>
    </row>
    <row r="602" customFormat="false" ht="13.8" hidden="false" customHeight="false" outlineLevel="0" collapsed="false">
      <c r="A602" s="1" t="n">
        <f aca="false">1+A601</f>
        <v>601</v>
      </c>
      <c r="B602" s="1" t="n">
        <v>4.33675</v>
      </c>
    </row>
    <row r="603" customFormat="false" ht="13.8" hidden="false" customHeight="false" outlineLevel="0" collapsed="false">
      <c r="A603" s="1" t="n">
        <f aca="false">1+A602</f>
        <v>602</v>
      </c>
      <c r="B603" s="1" t="n">
        <v>4.3288</v>
      </c>
    </row>
    <row r="604" customFormat="false" ht="13.8" hidden="false" customHeight="false" outlineLevel="0" collapsed="false">
      <c r="A604" s="1" t="n">
        <f aca="false">1+A603</f>
        <v>603</v>
      </c>
      <c r="B604" s="1" t="n">
        <v>4.31261</v>
      </c>
    </row>
    <row r="605" customFormat="false" ht="13.8" hidden="false" customHeight="false" outlineLevel="0" collapsed="false">
      <c r="A605" s="1" t="n">
        <f aca="false">1+A604</f>
        <v>604</v>
      </c>
      <c r="B605" s="1" t="n">
        <v>4.31173</v>
      </c>
    </row>
    <row r="606" customFormat="false" ht="13.8" hidden="false" customHeight="false" outlineLevel="0" collapsed="false">
      <c r="A606" s="1" t="n">
        <f aca="false">1+A605</f>
        <v>605</v>
      </c>
      <c r="B606" s="1" t="n">
        <v>4.27881</v>
      </c>
    </row>
    <row r="607" customFormat="false" ht="13.8" hidden="false" customHeight="false" outlineLevel="0" collapsed="false">
      <c r="A607" s="1" t="n">
        <f aca="false">1+A606</f>
        <v>606</v>
      </c>
      <c r="B607" s="1" t="n">
        <v>4.27672</v>
      </c>
    </row>
    <row r="608" customFormat="false" ht="13.8" hidden="false" customHeight="false" outlineLevel="0" collapsed="false">
      <c r="A608" s="1" t="n">
        <f aca="false">1+A607</f>
        <v>607</v>
      </c>
      <c r="B608" s="1" t="n">
        <v>4.25843</v>
      </c>
    </row>
    <row r="609" customFormat="false" ht="13.8" hidden="false" customHeight="false" outlineLevel="0" collapsed="false">
      <c r="A609" s="1" t="n">
        <f aca="false">1+A608</f>
        <v>608</v>
      </c>
      <c r="B609" s="1" t="n">
        <v>4.25287</v>
      </c>
    </row>
    <row r="610" customFormat="false" ht="13.8" hidden="false" customHeight="false" outlineLevel="0" collapsed="false">
      <c r="A610" s="1" t="n">
        <f aca="false">1+A609</f>
        <v>609</v>
      </c>
      <c r="B610" s="1" t="n">
        <v>4.23543</v>
      </c>
    </row>
    <row r="611" customFormat="false" ht="13.8" hidden="false" customHeight="false" outlineLevel="0" collapsed="false">
      <c r="A611" s="1" t="n">
        <f aca="false">1+A610</f>
        <v>610</v>
      </c>
      <c r="B611" s="1" t="n">
        <v>4.22891</v>
      </c>
    </row>
    <row r="612" customFormat="false" ht="13.8" hidden="false" customHeight="false" outlineLevel="0" collapsed="false">
      <c r="A612" s="1" t="n">
        <f aca="false">1+A611</f>
        <v>611</v>
      </c>
      <c r="B612" s="1" t="n">
        <v>4.22269</v>
      </c>
    </row>
    <row r="613" customFormat="false" ht="13.8" hidden="false" customHeight="false" outlineLevel="0" collapsed="false">
      <c r="A613" s="1" t="n">
        <f aca="false">1+A612</f>
        <v>612</v>
      </c>
      <c r="B613" s="1" t="n">
        <v>4.21407</v>
      </c>
    </row>
    <row r="614" customFormat="false" ht="13.8" hidden="false" customHeight="false" outlineLevel="0" collapsed="false">
      <c r="A614" s="1" t="n">
        <f aca="false">1+A613</f>
        <v>613</v>
      </c>
      <c r="B614" s="1" t="n">
        <v>4.19468</v>
      </c>
    </row>
    <row r="615" customFormat="false" ht="13.8" hidden="false" customHeight="false" outlineLevel="0" collapsed="false">
      <c r="A615" s="1" t="n">
        <f aca="false">1+A614</f>
        <v>614</v>
      </c>
      <c r="B615" s="1" t="n">
        <v>4.18675</v>
      </c>
    </row>
    <row r="616" customFormat="false" ht="13.8" hidden="false" customHeight="false" outlineLevel="0" collapsed="false">
      <c r="A616" s="1" t="n">
        <f aca="false">1+A615</f>
        <v>615</v>
      </c>
      <c r="B616" s="1" t="n">
        <v>4.17788</v>
      </c>
    </row>
    <row r="617" customFormat="false" ht="13.8" hidden="false" customHeight="false" outlineLevel="0" collapsed="false">
      <c r="A617" s="1" t="n">
        <f aca="false">1+A616</f>
        <v>616</v>
      </c>
      <c r="B617" s="1" t="n">
        <v>4.16921</v>
      </c>
    </row>
    <row r="618" customFormat="false" ht="13.8" hidden="false" customHeight="false" outlineLevel="0" collapsed="false">
      <c r="A618" s="1" t="n">
        <f aca="false">1+A617</f>
        <v>617</v>
      </c>
      <c r="B618" s="1" t="n">
        <v>4.15797</v>
      </c>
    </row>
    <row r="619" customFormat="false" ht="13.8" hidden="false" customHeight="false" outlineLevel="0" collapsed="false">
      <c r="A619" s="1" t="n">
        <f aca="false">1+A618</f>
        <v>618</v>
      </c>
      <c r="B619" s="1" t="n">
        <v>4.15995</v>
      </c>
    </row>
    <row r="620" customFormat="false" ht="13.8" hidden="false" customHeight="false" outlineLevel="0" collapsed="false">
      <c r="A620" s="1" t="n">
        <f aca="false">1+A619</f>
        <v>619</v>
      </c>
      <c r="B620" s="1" t="n">
        <v>4.16415</v>
      </c>
    </row>
    <row r="621" customFormat="false" ht="13.8" hidden="false" customHeight="false" outlineLevel="0" collapsed="false">
      <c r="A621" s="1" t="n">
        <f aca="false">1+A620</f>
        <v>620</v>
      </c>
      <c r="B621" s="1" t="n">
        <v>4.15371</v>
      </c>
    </row>
    <row r="622" customFormat="false" ht="13.8" hidden="false" customHeight="false" outlineLevel="0" collapsed="false">
      <c r="A622" s="1" t="n">
        <f aca="false">1+A621</f>
        <v>621</v>
      </c>
      <c r="B622" s="1" t="n">
        <v>4.14997</v>
      </c>
    </row>
    <row r="623" customFormat="false" ht="13.8" hidden="false" customHeight="false" outlineLevel="0" collapsed="false">
      <c r="A623" s="1" t="n">
        <f aca="false">1+A622</f>
        <v>622</v>
      </c>
      <c r="B623" s="1" t="n">
        <v>4.13796</v>
      </c>
    </row>
    <row r="624" customFormat="false" ht="13.8" hidden="false" customHeight="false" outlineLevel="0" collapsed="false">
      <c r="A624" s="1" t="n">
        <f aca="false">1+A623</f>
        <v>623</v>
      </c>
      <c r="B624" s="1" t="n">
        <v>4.12178</v>
      </c>
    </row>
    <row r="625" customFormat="false" ht="13.8" hidden="false" customHeight="false" outlineLevel="0" collapsed="false">
      <c r="A625" s="1" t="n">
        <f aca="false">1+A624</f>
        <v>624</v>
      </c>
      <c r="B625" s="1" t="n">
        <v>4.11821</v>
      </c>
    </row>
    <row r="626" customFormat="false" ht="13.8" hidden="false" customHeight="false" outlineLevel="0" collapsed="false">
      <c r="A626" s="1" t="n">
        <f aca="false">1+A625</f>
        <v>625</v>
      </c>
      <c r="B626" s="1" t="n">
        <v>4.10363</v>
      </c>
    </row>
    <row r="627" customFormat="false" ht="13.8" hidden="false" customHeight="false" outlineLevel="0" collapsed="false">
      <c r="A627" s="1" t="n">
        <f aca="false">1+A626</f>
        <v>626</v>
      </c>
      <c r="B627" s="1" t="n">
        <v>4.09371</v>
      </c>
    </row>
    <row r="628" customFormat="false" ht="13.8" hidden="false" customHeight="false" outlineLevel="0" collapsed="false">
      <c r="A628" s="1" t="n">
        <f aca="false">1+A627</f>
        <v>627</v>
      </c>
      <c r="B628" s="1" t="n">
        <v>4.07296</v>
      </c>
    </row>
    <row r="629" customFormat="false" ht="13.8" hidden="false" customHeight="false" outlineLevel="0" collapsed="false">
      <c r="A629" s="1" t="n">
        <f aca="false">1+A628</f>
        <v>628</v>
      </c>
      <c r="B629" s="1" t="n">
        <v>4.0633</v>
      </c>
    </row>
    <row r="630" customFormat="false" ht="13.8" hidden="false" customHeight="false" outlineLevel="0" collapsed="false">
      <c r="A630" s="1" t="n">
        <f aca="false">1+A629</f>
        <v>629</v>
      </c>
      <c r="B630" s="1" t="n">
        <v>4.04951</v>
      </c>
    </row>
    <row r="631" customFormat="false" ht="13.8" hidden="false" customHeight="false" outlineLevel="0" collapsed="false">
      <c r="A631" s="1" t="n">
        <f aca="false">1+A630</f>
        <v>630</v>
      </c>
      <c r="B631" s="1" t="n">
        <v>4.0345</v>
      </c>
    </row>
    <row r="632" customFormat="false" ht="13.8" hidden="false" customHeight="false" outlineLevel="0" collapsed="false">
      <c r="A632" s="1" t="n">
        <f aca="false">1+A631</f>
        <v>631</v>
      </c>
      <c r="B632" s="1" t="n">
        <v>4.02409</v>
      </c>
    </row>
    <row r="633" customFormat="false" ht="13.8" hidden="false" customHeight="false" outlineLevel="0" collapsed="false">
      <c r="A633" s="1" t="n">
        <f aca="false">1+A632</f>
        <v>632</v>
      </c>
      <c r="B633" s="1" t="n">
        <v>4.01813</v>
      </c>
    </row>
    <row r="634" customFormat="false" ht="13.8" hidden="false" customHeight="false" outlineLevel="0" collapsed="false">
      <c r="A634" s="1" t="n">
        <f aca="false">1+A633</f>
        <v>633</v>
      </c>
      <c r="B634" s="1" t="n">
        <v>4.00728</v>
      </c>
    </row>
    <row r="635" customFormat="false" ht="13.8" hidden="false" customHeight="false" outlineLevel="0" collapsed="false">
      <c r="A635" s="1" t="n">
        <f aca="false">1+A634</f>
        <v>634</v>
      </c>
      <c r="B635" s="1" t="n">
        <v>3.98322</v>
      </c>
    </row>
    <row r="636" customFormat="false" ht="13.8" hidden="false" customHeight="false" outlineLevel="0" collapsed="false">
      <c r="A636" s="1" t="n">
        <f aca="false">1+A635</f>
        <v>635</v>
      </c>
      <c r="B636" s="1" t="n">
        <v>3.97536</v>
      </c>
    </row>
    <row r="637" customFormat="false" ht="13.8" hidden="false" customHeight="false" outlineLevel="0" collapsed="false">
      <c r="A637" s="1" t="n">
        <f aca="false">1+A636</f>
        <v>636</v>
      </c>
      <c r="B637" s="1" t="n">
        <v>3.95582</v>
      </c>
    </row>
    <row r="638" customFormat="false" ht="13.8" hidden="false" customHeight="false" outlineLevel="0" collapsed="false">
      <c r="A638" s="1" t="n">
        <f aca="false">1+A637</f>
        <v>637</v>
      </c>
      <c r="B638" s="1" t="n">
        <v>3.94252</v>
      </c>
    </row>
    <row r="639" customFormat="false" ht="13.8" hidden="false" customHeight="false" outlineLevel="0" collapsed="false">
      <c r="A639" s="1" t="n">
        <f aca="false">1+A638</f>
        <v>638</v>
      </c>
      <c r="B639" s="1" t="n">
        <v>3.93845</v>
      </c>
    </row>
    <row r="640" customFormat="false" ht="13.8" hidden="false" customHeight="false" outlineLevel="0" collapsed="false">
      <c r="A640" s="1" t="n">
        <f aca="false">1+A639</f>
        <v>639</v>
      </c>
      <c r="B640" s="1" t="n">
        <v>3.94233</v>
      </c>
    </row>
    <row r="641" customFormat="false" ht="13.8" hidden="false" customHeight="false" outlineLevel="0" collapsed="false">
      <c r="A641" s="1" t="n">
        <f aca="false">1+A640</f>
        <v>640</v>
      </c>
      <c r="B641" s="1" t="n">
        <v>3.93627</v>
      </c>
    </row>
    <row r="642" customFormat="false" ht="13.8" hidden="false" customHeight="false" outlineLevel="0" collapsed="false">
      <c r="A642" s="1" t="n">
        <f aca="false">1+A641</f>
        <v>641</v>
      </c>
      <c r="B642" s="1" t="n">
        <v>3.93215</v>
      </c>
    </row>
    <row r="643" customFormat="false" ht="13.8" hidden="false" customHeight="false" outlineLevel="0" collapsed="false">
      <c r="A643" s="1" t="n">
        <f aca="false">1+A642</f>
        <v>642</v>
      </c>
      <c r="B643" s="1" t="n">
        <v>3.91219</v>
      </c>
    </row>
    <row r="644" customFormat="false" ht="13.8" hidden="false" customHeight="false" outlineLevel="0" collapsed="false">
      <c r="A644" s="1" t="n">
        <f aca="false">1+A643</f>
        <v>643</v>
      </c>
      <c r="B644" s="1" t="n">
        <v>3.91392</v>
      </c>
    </row>
    <row r="645" customFormat="false" ht="13.8" hidden="false" customHeight="false" outlineLevel="0" collapsed="false">
      <c r="A645" s="1" t="n">
        <f aca="false">1+A644</f>
        <v>644</v>
      </c>
      <c r="B645" s="1" t="n">
        <v>3.88608</v>
      </c>
    </row>
    <row r="646" customFormat="false" ht="13.8" hidden="false" customHeight="false" outlineLevel="0" collapsed="false">
      <c r="A646" s="1" t="n">
        <f aca="false">1+A645</f>
        <v>645</v>
      </c>
      <c r="B646" s="1" t="n">
        <v>3.87105</v>
      </c>
    </row>
    <row r="647" customFormat="false" ht="13.8" hidden="false" customHeight="false" outlineLevel="0" collapsed="false">
      <c r="A647" s="1" t="n">
        <f aca="false">1+A646</f>
        <v>646</v>
      </c>
      <c r="B647" s="1" t="n">
        <v>3.86595</v>
      </c>
    </row>
    <row r="648" customFormat="false" ht="13.8" hidden="false" customHeight="false" outlineLevel="0" collapsed="false">
      <c r="A648" s="1" t="n">
        <f aca="false">1+A647</f>
        <v>647</v>
      </c>
      <c r="B648" s="1" t="n">
        <v>3.86495</v>
      </c>
    </row>
    <row r="649" customFormat="false" ht="13.8" hidden="false" customHeight="false" outlineLevel="0" collapsed="false">
      <c r="A649" s="1" t="n">
        <f aca="false">1+A648</f>
        <v>648</v>
      </c>
      <c r="B649" s="1" t="n">
        <v>3.86764</v>
      </c>
    </row>
    <row r="650" customFormat="false" ht="13.8" hidden="false" customHeight="false" outlineLevel="0" collapsed="false">
      <c r="A650" s="1" t="n">
        <f aca="false">1+A649</f>
        <v>649</v>
      </c>
      <c r="B650" s="1" t="n">
        <v>3.85505</v>
      </c>
    </row>
    <row r="651" customFormat="false" ht="13.8" hidden="false" customHeight="false" outlineLevel="0" collapsed="false">
      <c r="A651" s="1" t="n">
        <f aca="false">1+A650</f>
        <v>650</v>
      </c>
      <c r="B651" s="1" t="n">
        <v>3.85441</v>
      </c>
    </row>
    <row r="652" customFormat="false" ht="13.8" hidden="false" customHeight="false" outlineLevel="0" collapsed="false">
      <c r="A652" s="1" t="n">
        <f aca="false">1+A651</f>
        <v>651</v>
      </c>
      <c r="B652" s="1" t="n">
        <v>3.85272</v>
      </c>
    </row>
    <row r="653" customFormat="false" ht="13.8" hidden="false" customHeight="false" outlineLevel="0" collapsed="false">
      <c r="A653" s="1" t="n">
        <f aca="false">1+A652</f>
        <v>652</v>
      </c>
      <c r="B653" s="1" t="n">
        <v>3.84175</v>
      </c>
    </row>
    <row r="654" customFormat="false" ht="13.8" hidden="false" customHeight="false" outlineLevel="0" collapsed="false">
      <c r="A654" s="1" t="n">
        <f aca="false">1+A653</f>
        <v>653</v>
      </c>
      <c r="B654" s="1" t="n">
        <v>3.83711</v>
      </c>
    </row>
    <row r="655" customFormat="false" ht="13.8" hidden="false" customHeight="false" outlineLevel="0" collapsed="false">
      <c r="A655" s="1" t="n">
        <f aca="false">1+A654</f>
        <v>654</v>
      </c>
      <c r="B655" s="1" t="n">
        <v>3.81709</v>
      </c>
    </row>
    <row r="656" customFormat="false" ht="13.8" hidden="false" customHeight="false" outlineLevel="0" collapsed="false">
      <c r="A656" s="1" t="n">
        <f aca="false">1+A655</f>
        <v>655</v>
      </c>
      <c r="B656" s="1" t="n">
        <v>3.80526</v>
      </c>
    </row>
    <row r="657" customFormat="false" ht="13.8" hidden="false" customHeight="false" outlineLevel="0" collapsed="false">
      <c r="A657" s="1" t="n">
        <f aca="false">1+A656</f>
        <v>656</v>
      </c>
      <c r="B657" s="1" t="n">
        <v>3.8034</v>
      </c>
    </row>
    <row r="658" customFormat="false" ht="13.8" hidden="false" customHeight="false" outlineLevel="0" collapsed="false">
      <c r="A658" s="1" t="n">
        <f aca="false">1+A657</f>
        <v>657</v>
      </c>
      <c r="B658" s="1" t="n">
        <v>3.80589</v>
      </c>
    </row>
    <row r="659" customFormat="false" ht="13.8" hidden="false" customHeight="false" outlineLevel="0" collapsed="false">
      <c r="A659" s="1" t="n">
        <f aca="false">1+A658</f>
        <v>658</v>
      </c>
      <c r="B659" s="1" t="n">
        <v>3.79189</v>
      </c>
    </row>
    <row r="660" customFormat="false" ht="13.8" hidden="false" customHeight="false" outlineLevel="0" collapsed="false">
      <c r="A660" s="1" t="n">
        <f aca="false">1+A659</f>
        <v>659</v>
      </c>
      <c r="B660" s="1" t="n">
        <v>3.777</v>
      </c>
    </row>
    <row r="661" customFormat="false" ht="13.8" hidden="false" customHeight="false" outlineLevel="0" collapsed="false">
      <c r="A661" s="1" t="n">
        <f aca="false">1+A660</f>
        <v>660</v>
      </c>
      <c r="B661" s="1" t="n">
        <v>3.76427</v>
      </c>
    </row>
    <row r="662" customFormat="false" ht="13.8" hidden="false" customHeight="false" outlineLevel="0" collapsed="false">
      <c r="A662" s="1" t="n">
        <f aca="false">1+A661</f>
        <v>661</v>
      </c>
      <c r="B662" s="1" t="n">
        <v>3.75238</v>
      </c>
    </row>
    <row r="663" customFormat="false" ht="13.8" hidden="false" customHeight="false" outlineLevel="0" collapsed="false">
      <c r="A663" s="1" t="n">
        <f aca="false">1+A662</f>
        <v>662</v>
      </c>
      <c r="B663" s="1" t="n">
        <v>3.72886</v>
      </c>
    </row>
    <row r="664" customFormat="false" ht="13.8" hidden="false" customHeight="false" outlineLevel="0" collapsed="false">
      <c r="A664" s="1" t="n">
        <f aca="false">1+A663</f>
        <v>663</v>
      </c>
      <c r="B664" s="1" t="n">
        <v>3.72395</v>
      </c>
    </row>
    <row r="665" customFormat="false" ht="13.8" hidden="false" customHeight="false" outlineLevel="0" collapsed="false">
      <c r="A665" s="1" t="n">
        <f aca="false">1+A664</f>
        <v>664</v>
      </c>
      <c r="B665" s="1" t="n">
        <v>3.71752</v>
      </c>
    </row>
    <row r="666" customFormat="false" ht="13.8" hidden="false" customHeight="false" outlineLevel="0" collapsed="false">
      <c r="A666" s="1" t="n">
        <f aca="false">1+A665</f>
        <v>665</v>
      </c>
      <c r="B666" s="1" t="n">
        <v>3.70782</v>
      </c>
    </row>
    <row r="667" customFormat="false" ht="13.8" hidden="false" customHeight="false" outlineLevel="0" collapsed="false">
      <c r="A667" s="1" t="n">
        <f aca="false">1+A666</f>
        <v>666</v>
      </c>
      <c r="B667" s="1" t="n">
        <v>3.68477</v>
      </c>
    </row>
    <row r="668" customFormat="false" ht="13.8" hidden="false" customHeight="false" outlineLevel="0" collapsed="false">
      <c r="A668" s="1" t="n">
        <f aca="false">1+A667</f>
        <v>667</v>
      </c>
      <c r="B668" s="1" t="n">
        <v>3.67293</v>
      </c>
    </row>
    <row r="669" customFormat="false" ht="13.8" hidden="false" customHeight="false" outlineLevel="0" collapsed="false">
      <c r="A669" s="1" t="n">
        <f aca="false">1+A668</f>
        <v>668</v>
      </c>
      <c r="B669" s="1" t="n">
        <v>3.67477</v>
      </c>
    </row>
    <row r="670" customFormat="false" ht="13.8" hidden="false" customHeight="false" outlineLevel="0" collapsed="false">
      <c r="A670" s="1" t="n">
        <f aca="false">1+A669</f>
        <v>669</v>
      </c>
      <c r="B670" s="1" t="n">
        <v>3.66248</v>
      </c>
    </row>
    <row r="671" customFormat="false" ht="13.8" hidden="false" customHeight="false" outlineLevel="0" collapsed="false">
      <c r="A671" s="1" t="n">
        <f aca="false">1+A670</f>
        <v>670</v>
      </c>
      <c r="B671" s="1" t="n">
        <v>3.6452</v>
      </c>
    </row>
    <row r="672" customFormat="false" ht="13.8" hidden="false" customHeight="false" outlineLevel="0" collapsed="false">
      <c r="A672" s="1" t="n">
        <f aca="false">1+A671</f>
        <v>671</v>
      </c>
      <c r="B672" s="1" t="n">
        <v>3.61264</v>
      </c>
    </row>
    <row r="673" customFormat="false" ht="13.8" hidden="false" customHeight="false" outlineLevel="0" collapsed="false">
      <c r="A673" s="1" t="n">
        <f aca="false">1+A672</f>
        <v>672</v>
      </c>
      <c r="B673" s="1" t="n">
        <v>3.61343</v>
      </c>
    </row>
    <row r="674" customFormat="false" ht="13.8" hidden="false" customHeight="false" outlineLevel="0" collapsed="false">
      <c r="A674" s="1" t="n">
        <f aca="false">1+A673</f>
        <v>673</v>
      </c>
      <c r="B674" s="1" t="n">
        <v>3.60279</v>
      </c>
    </row>
    <row r="675" customFormat="false" ht="13.8" hidden="false" customHeight="false" outlineLevel="0" collapsed="false">
      <c r="A675" s="1" t="n">
        <f aca="false">1+A674</f>
        <v>674</v>
      </c>
      <c r="B675" s="1" t="n">
        <v>3.58743</v>
      </c>
    </row>
    <row r="676" customFormat="false" ht="13.8" hidden="false" customHeight="false" outlineLevel="0" collapsed="false">
      <c r="A676" s="1" t="n">
        <f aca="false">1+A675</f>
        <v>675</v>
      </c>
      <c r="B676" s="1" t="n">
        <v>3.57789</v>
      </c>
    </row>
    <row r="677" customFormat="false" ht="13.8" hidden="false" customHeight="false" outlineLevel="0" collapsed="false">
      <c r="A677" s="1" t="n">
        <f aca="false">1+A676</f>
        <v>676</v>
      </c>
      <c r="B677" s="1" t="n">
        <v>3.55806</v>
      </c>
    </row>
    <row r="678" customFormat="false" ht="13.8" hidden="false" customHeight="false" outlineLevel="0" collapsed="false">
      <c r="A678" s="1" t="n">
        <f aca="false">1+A677</f>
        <v>677</v>
      </c>
      <c r="B678" s="1" t="n">
        <v>3.54151</v>
      </c>
    </row>
    <row r="679" customFormat="false" ht="13.8" hidden="false" customHeight="false" outlineLevel="0" collapsed="false">
      <c r="A679" s="1" t="n">
        <f aca="false">1+A678</f>
        <v>678</v>
      </c>
      <c r="B679" s="1" t="n">
        <v>3.53449</v>
      </c>
    </row>
    <row r="680" customFormat="false" ht="13.8" hidden="false" customHeight="false" outlineLevel="0" collapsed="false">
      <c r="A680" s="1" t="n">
        <f aca="false">1+A679</f>
        <v>679</v>
      </c>
      <c r="B680" s="1" t="n">
        <v>3.52651</v>
      </c>
    </row>
    <row r="681" customFormat="false" ht="13.8" hidden="false" customHeight="false" outlineLevel="0" collapsed="false">
      <c r="A681" s="1" t="n">
        <f aca="false">1+A680</f>
        <v>680</v>
      </c>
      <c r="B681" s="1" t="n">
        <v>3.51573</v>
      </c>
    </row>
    <row r="682" customFormat="false" ht="13.8" hidden="false" customHeight="false" outlineLevel="0" collapsed="false">
      <c r="A682" s="1" t="n">
        <f aca="false">1+A681</f>
        <v>681</v>
      </c>
      <c r="B682" s="1" t="n">
        <v>3.50587</v>
      </c>
    </row>
    <row r="683" customFormat="false" ht="13.8" hidden="false" customHeight="false" outlineLevel="0" collapsed="false">
      <c r="A683" s="1" t="n">
        <f aca="false">1+A682</f>
        <v>682</v>
      </c>
      <c r="B683" s="1" t="n">
        <v>3.50542</v>
      </c>
    </row>
    <row r="684" customFormat="false" ht="13.8" hidden="false" customHeight="false" outlineLevel="0" collapsed="false">
      <c r="A684" s="1" t="n">
        <f aca="false">1+A683</f>
        <v>683</v>
      </c>
      <c r="B684" s="1" t="n">
        <v>3.49334</v>
      </c>
    </row>
    <row r="685" customFormat="false" ht="13.8" hidden="false" customHeight="false" outlineLevel="0" collapsed="false">
      <c r="A685" s="1" t="n">
        <f aca="false">1+A684</f>
        <v>684</v>
      </c>
      <c r="B685" s="1" t="n">
        <v>3.48837</v>
      </c>
    </row>
    <row r="686" customFormat="false" ht="13.8" hidden="false" customHeight="false" outlineLevel="0" collapsed="false">
      <c r="A686" s="1" t="n">
        <f aca="false">1+A685</f>
        <v>685</v>
      </c>
      <c r="B686" s="1" t="n">
        <v>3.47657</v>
      </c>
    </row>
    <row r="687" customFormat="false" ht="13.8" hidden="false" customHeight="false" outlineLevel="0" collapsed="false">
      <c r="A687" s="1" t="n">
        <f aca="false">1+A686</f>
        <v>686</v>
      </c>
      <c r="B687" s="1" t="n">
        <v>3.47559</v>
      </c>
    </row>
    <row r="688" customFormat="false" ht="13.8" hidden="false" customHeight="false" outlineLevel="0" collapsed="false">
      <c r="A688" s="1" t="n">
        <f aca="false">1+A687</f>
        <v>687</v>
      </c>
      <c r="B688" s="1" t="n">
        <v>3.45534</v>
      </c>
    </row>
    <row r="689" customFormat="false" ht="13.8" hidden="false" customHeight="false" outlineLevel="0" collapsed="false">
      <c r="A689" s="1" t="n">
        <f aca="false">1+A688</f>
        <v>688</v>
      </c>
      <c r="B689" s="1" t="n">
        <v>3.45772</v>
      </c>
    </row>
    <row r="690" customFormat="false" ht="13.8" hidden="false" customHeight="false" outlineLevel="0" collapsed="false">
      <c r="A690" s="1" t="n">
        <f aca="false">1+A689</f>
        <v>689</v>
      </c>
      <c r="B690" s="1" t="n">
        <v>3.45004</v>
      </c>
    </row>
    <row r="691" customFormat="false" ht="13.8" hidden="false" customHeight="false" outlineLevel="0" collapsed="false">
      <c r="A691" s="1" t="n">
        <f aca="false">1+A690</f>
        <v>690</v>
      </c>
      <c r="B691" s="1" t="n">
        <v>3.44217</v>
      </c>
    </row>
    <row r="692" customFormat="false" ht="13.8" hidden="false" customHeight="false" outlineLevel="0" collapsed="false">
      <c r="A692" s="1" t="n">
        <f aca="false">1+A691</f>
        <v>691</v>
      </c>
      <c r="B692" s="1" t="n">
        <v>3.43491</v>
      </c>
    </row>
    <row r="693" customFormat="false" ht="13.8" hidden="false" customHeight="false" outlineLevel="0" collapsed="false">
      <c r="A693" s="1" t="n">
        <f aca="false">1+A692</f>
        <v>692</v>
      </c>
      <c r="B693" s="1" t="n">
        <v>3.43234</v>
      </c>
    </row>
    <row r="694" customFormat="false" ht="13.8" hidden="false" customHeight="false" outlineLevel="0" collapsed="false">
      <c r="A694" s="1" t="n">
        <f aca="false">1+A693</f>
        <v>693</v>
      </c>
      <c r="B694" s="1" t="n">
        <v>3.4153</v>
      </c>
    </row>
    <row r="695" customFormat="false" ht="13.8" hidden="false" customHeight="false" outlineLevel="0" collapsed="false">
      <c r="A695" s="1" t="n">
        <f aca="false">1+A694</f>
        <v>694</v>
      </c>
      <c r="B695" s="1" t="n">
        <v>3.4163</v>
      </c>
    </row>
    <row r="696" customFormat="false" ht="13.8" hidden="false" customHeight="false" outlineLevel="0" collapsed="false">
      <c r="A696" s="1" t="n">
        <f aca="false">1+A695</f>
        <v>695</v>
      </c>
      <c r="B696" s="1" t="n">
        <v>3.40779</v>
      </c>
    </row>
    <row r="697" customFormat="false" ht="13.8" hidden="false" customHeight="false" outlineLevel="0" collapsed="false">
      <c r="A697" s="1" t="n">
        <f aca="false">1+A696</f>
        <v>696</v>
      </c>
      <c r="B697" s="1" t="n">
        <v>3.40468</v>
      </c>
    </row>
    <row r="698" customFormat="false" ht="13.8" hidden="false" customHeight="false" outlineLevel="0" collapsed="false">
      <c r="A698" s="1" t="n">
        <f aca="false">1+A697</f>
        <v>697</v>
      </c>
      <c r="B698" s="1" t="n">
        <v>3.40033</v>
      </c>
    </row>
    <row r="699" customFormat="false" ht="13.8" hidden="false" customHeight="false" outlineLevel="0" collapsed="false">
      <c r="A699" s="1" t="n">
        <f aca="false">1+A698</f>
        <v>698</v>
      </c>
      <c r="B699" s="1" t="n">
        <v>3.41185</v>
      </c>
    </row>
    <row r="700" customFormat="false" ht="13.8" hidden="false" customHeight="false" outlineLevel="0" collapsed="false">
      <c r="A700" s="1" t="n">
        <f aca="false">1+A699</f>
        <v>699</v>
      </c>
      <c r="B700" s="1" t="n">
        <v>3.38723</v>
      </c>
    </row>
    <row r="701" customFormat="false" ht="13.8" hidden="false" customHeight="false" outlineLevel="0" collapsed="false">
      <c r="A701" s="1" t="n">
        <f aca="false">1+A700</f>
        <v>700</v>
      </c>
      <c r="B701" s="1" t="n">
        <v>3.36704</v>
      </c>
    </row>
    <row r="702" customFormat="false" ht="13.8" hidden="false" customHeight="false" outlineLevel="0" collapsed="false">
      <c r="A702" s="1" t="n">
        <f aca="false">1+A701</f>
        <v>701</v>
      </c>
      <c r="B702" s="1" t="n">
        <v>3.35405</v>
      </c>
    </row>
    <row r="703" customFormat="false" ht="13.8" hidden="false" customHeight="false" outlineLevel="0" collapsed="false">
      <c r="A703" s="1" t="n">
        <f aca="false">1+A702</f>
        <v>702</v>
      </c>
      <c r="B703" s="1" t="n">
        <v>3.36132</v>
      </c>
    </row>
    <row r="704" customFormat="false" ht="13.8" hidden="false" customHeight="false" outlineLevel="0" collapsed="false">
      <c r="A704" s="1" t="n">
        <f aca="false">1+A703</f>
        <v>703</v>
      </c>
      <c r="B704" s="1" t="n">
        <v>3.35438</v>
      </c>
    </row>
    <row r="705" customFormat="false" ht="13.8" hidden="false" customHeight="false" outlineLevel="0" collapsed="false">
      <c r="A705" s="1" t="n">
        <f aca="false">1+A704</f>
        <v>704</v>
      </c>
      <c r="B705" s="1" t="n">
        <v>3.34283</v>
      </c>
    </row>
    <row r="706" customFormat="false" ht="13.8" hidden="false" customHeight="false" outlineLevel="0" collapsed="false">
      <c r="A706" s="1" t="n">
        <f aca="false">1+A705</f>
        <v>705</v>
      </c>
      <c r="B706" s="1" t="n">
        <v>3.34092</v>
      </c>
    </row>
    <row r="707" customFormat="false" ht="13.8" hidden="false" customHeight="false" outlineLevel="0" collapsed="false">
      <c r="A707" s="1" t="n">
        <f aca="false">1+A706</f>
        <v>706</v>
      </c>
      <c r="B707" s="1" t="n">
        <v>3.34954</v>
      </c>
    </row>
    <row r="708" customFormat="false" ht="13.8" hidden="false" customHeight="false" outlineLevel="0" collapsed="false">
      <c r="A708" s="1" t="n">
        <f aca="false">1+A707</f>
        <v>707</v>
      </c>
      <c r="B708" s="1" t="n">
        <v>3.32407</v>
      </c>
    </row>
    <row r="709" customFormat="false" ht="13.8" hidden="false" customHeight="false" outlineLevel="0" collapsed="false">
      <c r="A709" s="1" t="n">
        <f aca="false">1+A708</f>
        <v>708</v>
      </c>
      <c r="B709" s="1" t="n">
        <v>3.32752</v>
      </c>
    </row>
    <row r="710" customFormat="false" ht="13.8" hidden="false" customHeight="false" outlineLevel="0" collapsed="false">
      <c r="A710" s="1" t="n">
        <f aca="false">1+A709</f>
        <v>709</v>
      </c>
      <c r="B710" s="1" t="n">
        <v>3.32855</v>
      </c>
    </row>
    <row r="711" customFormat="false" ht="13.8" hidden="false" customHeight="false" outlineLevel="0" collapsed="false">
      <c r="A711" s="1" t="n">
        <f aca="false">1+A710</f>
        <v>710</v>
      </c>
      <c r="B711" s="1" t="n">
        <v>3.32436</v>
      </c>
    </row>
    <row r="712" customFormat="false" ht="13.8" hidden="false" customHeight="false" outlineLevel="0" collapsed="false">
      <c r="A712" s="1" t="n">
        <f aca="false">1+A711</f>
        <v>711</v>
      </c>
      <c r="B712" s="1" t="n">
        <v>3.31431</v>
      </c>
    </row>
    <row r="713" customFormat="false" ht="13.8" hidden="false" customHeight="false" outlineLevel="0" collapsed="false">
      <c r="A713" s="1" t="n">
        <f aca="false">1+A712</f>
        <v>712</v>
      </c>
      <c r="B713" s="1" t="n">
        <v>3.30415</v>
      </c>
    </row>
    <row r="714" customFormat="false" ht="13.8" hidden="false" customHeight="false" outlineLevel="0" collapsed="false">
      <c r="A714" s="1" t="n">
        <f aca="false">1+A713</f>
        <v>713</v>
      </c>
      <c r="B714" s="1" t="n">
        <v>3.30985</v>
      </c>
    </row>
    <row r="715" customFormat="false" ht="13.8" hidden="false" customHeight="false" outlineLevel="0" collapsed="false">
      <c r="A715" s="1" t="n">
        <f aca="false">1+A714</f>
        <v>714</v>
      </c>
      <c r="B715" s="1" t="n">
        <v>3.30622</v>
      </c>
    </row>
    <row r="716" customFormat="false" ht="13.8" hidden="false" customHeight="false" outlineLevel="0" collapsed="false">
      <c r="A716" s="1" t="n">
        <f aca="false">1+A715</f>
        <v>715</v>
      </c>
      <c r="B716" s="1" t="n">
        <v>3.2916</v>
      </c>
    </row>
    <row r="717" customFormat="false" ht="13.8" hidden="false" customHeight="false" outlineLevel="0" collapsed="false">
      <c r="A717" s="1" t="n">
        <f aca="false">1+A716</f>
        <v>716</v>
      </c>
      <c r="B717" s="1" t="n">
        <v>3.28184</v>
      </c>
    </row>
    <row r="718" customFormat="false" ht="13.8" hidden="false" customHeight="false" outlineLevel="0" collapsed="false">
      <c r="A718" s="1" t="n">
        <f aca="false">1+A717</f>
        <v>717</v>
      </c>
      <c r="B718" s="1" t="n">
        <v>3.26688</v>
      </c>
    </row>
    <row r="719" customFormat="false" ht="13.8" hidden="false" customHeight="false" outlineLevel="0" collapsed="false">
      <c r="A719" s="1" t="n">
        <f aca="false">1+A718</f>
        <v>718</v>
      </c>
      <c r="B719" s="1" t="n">
        <v>3.26499</v>
      </c>
    </row>
    <row r="720" customFormat="false" ht="13.8" hidden="false" customHeight="false" outlineLevel="0" collapsed="false">
      <c r="A720" s="1" t="n">
        <f aca="false">1+A719</f>
        <v>719</v>
      </c>
      <c r="B720" s="1" t="n">
        <v>3.25936</v>
      </c>
    </row>
    <row r="721" customFormat="false" ht="13.8" hidden="false" customHeight="false" outlineLevel="0" collapsed="false">
      <c r="A721" s="1" t="n">
        <f aca="false">1+A720</f>
        <v>720</v>
      </c>
      <c r="B721" s="1" t="n">
        <v>3.25397</v>
      </c>
    </row>
    <row r="722" customFormat="false" ht="13.8" hidden="false" customHeight="false" outlineLevel="0" collapsed="false">
      <c r="A722" s="1" t="n">
        <f aca="false">1+A721</f>
        <v>721</v>
      </c>
      <c r="B722" s="1" t="n">
        <v>3.24278</v>
      </c>
    </row>
    <row r="723" customFormat="false" ht="13.8" hidden="false" customHeight="false" outlineLevel="0" collapsed="false">
      <c r="A723" s="1" t="n">
        <f aca="false">1+A722</f>
        <v>722</v>
      </c>
      <c r="B723" s="1" t="n">
        <v>3.22237</v>
      </c>
    </row>
    <row r="724" customFormat="false" ht="13.8" hidden="false" customHeight="false" outlineLevel="0" collapsed="false">
      <c r="A724" s="1" t="n">
        <f aca="false">1+A723</f>
        <v>723</v>
      </c>
      <c r="B724" s="1" t="n">
        <v>3.20796</v>
      </c>
    </row>
    <row r="725" customFormat="false" ht="13.8" hidden="false" customHeight="false" outlineLevel="0" collapsed="false">
      <c r="A725" s="1" t="n">
        <f aca="false">1+A724</f>
        <v>724</v>
      </c>
      <c r="B725" s="1" t="n">
        <v>3.2007</v>
      </c>
    </row>
    <row r="726" customFormat="false" ht="13.8" hidden="false" customHeight="false" outlineLevel="0" collapsed="false">
      <c r="A726" s="1" t="n">
        <f aca="false">1+A725</f>
        <v>725</v>
      </c>
      <c r="B726" s="1" t="n">
        <v>3.19175</v>
      </c>
    </row>
    <row r="727" customFormat="false" ht="13.8" hidden="false" customHeight="false" outlineLevel="0" collapsed="false">
      <c r="A727" s="1" t="n">
        <f aca="false">1+A726</f>
        <v>726</v>
      </c>
      <c r="B727" s="1" t="n">
        <v>3.18135</v>
      </c>
    </row>
    <row r="728" customFormat="false" ht="13.8" hidden="false" customHeight="false" outlineLevel="0" collapsed="false">
      <c r="A728" s="1" t="n">
        <f aca="false">1+A727</f>
        <v>727</v>
      </c>
      <c r="B728" s="1" t="n">
        <v>3.17539</v>
      </c>
    </row>
    <row r="729" customFormat="false" ht="13.8" hidden="false" customHeight="false" outlineLevel="0" collapsed="false">
      <c r="A729" s="1" t="n">
        <f aca="false">1+A728</f>
        <v>728</v>
      </c>
      <c r="B729" s="1" t="n">
        <v>3.18532</v>
      </c>
    </row>
    <row r="730" customFormat="false" ht="13.8" hidden="false" customHeight="false" outlineLevel="0" collapsed="false">
      <c r="A730" s="1" t="n">
        <f aca="false">1+A729</f>
        <v>729</v>
      </c>
      <c r="B730" s="1" t="n">
        <v>3.1594</v>
      </c>
    </row>
    <row r="731" customFormat="false" ht="13.8" hidden="false" customHeight="false" outlineLevel="0" collapsed="false">
      <c r="A731" s="1" t="n">
        <f aca="false">1+A730</f>
        <v>730</v>
      </c>
      <c r="B731" s="1" t="n">
        <v>3.15309</v>
      </c>
    </row>
    <row r="732" customFormat="false" ht="13.8" hidden="false" customHeight="false" outlineLevel="0" collapsed="false">
      <c r="A732" s="1" t="n">
        <f aca="false">1+A731</f>
        <v>731</v>
      </c>
      <c r="B732" s="1" t="n">
        <v>3.15462</v>
      </c>
    </row>
    <row r="733" customFormat="false" ht="13.8" hidden="false" customHeight="false" outlineLevel="0" collapsed="false">
      <c r="A733" s="1" t="n">
        <f aca="false">1+A732</f>
        <v>732</v>
      </c>
      <c r="B733" s="1" t="n">
        <v>3.15173</v>
      </c>
    </row>
    <row r="734" customFormat="false" ht="13.8" hidden="false" customHeight="false" outlineLevel="0" collapsed="false">
      <c r="A734" s="1" t="n">
        <f aca="false">1+A733</f>
        <v>733</v>
      </c>
      <c r="B734" s="1" t="n">
        <v>3.15393</v>
      </c>
    </row>
    <row r="735" customFormat="false" ht="13.8" hidden="false" customHeight="false" outlineLevel="0" collapsed="false">
      <c r="A735" s="1" t="n">
        <f aca="false">1+A734</f>
        <v>734</v>
      </c>
      <c r="B735" s="1" t="n">
        <v>3.12282</v>
      </c>
    </row>
    <row r="736" customFormat="false" ht="13.8" hidden="false" customHeight="false" outlineLevel="0" collapsed="false">
      <c r="A736" s="1" t="n">
        <f aca="false">1+A735</f>
        <v>735</v>
      </c>
      <c r="B736" s="1" t="n">
        <v>3.12107</v>
      </c>
    </row>
    <row r="737" customFormat="false" ht="13.8" hidden="false" customHeight="false" outlineLevel="0" collapsed="false">
      <c r="A737" s="1" t="n">
        <f aca="false">1+A736</f>
        <v>736</v>
      </c>
      <c r="B737" s="1" t="n">
        <v>3.09827</v>
      </c>
    </row>
    <row r="738" customFormat="false" ht="13.8" hidden="false" customHeight="false" outlineLevel="0" collapsed="false">
      <c r="A738" s="1" t="n">
        <f aca="false">1+A737</f>
        <v>737</v>
      </c>
      <c r="B738" s="1" t="n">
        <v>3.09016</v>
      </c>
    </row>
    <row r="739" customFormat="false" ht="13.8" hidden="false" customHeight="false" outlineLevel="0" collapsed="false">
      <c r="A739" s="1" t="n">
        <f aca="false">1+A738</f>
        <v>738</v>
      </c>
      <c r="B739" s="1" t="n">
        <v>3.07773</v>
      </c>
    </row>
    <row r="740" customFormat="false" ht="13.8" hidden="false" customHeight="false" outlineLevel="0" collapsed="false">
      <c r="A740" s="1" t="n">
        <f aca="false">1+A739</f>
        <v>739</v>
      </c>
      <c r="B740" s="1" t="n">
        <v>3.07797</v>
      </c>
    </row>
    <row r="741" customFormat="false" ht="13.8" hidden="false" customHeight="false" outlineLevel="0" collapsed="false">
      <c r="A741" s="1" t="n">
        <f aca="false">1+A740</f>
        <v>740</v>
      </c>
      <c r="B741" s="1" t="n">
        <v>3.06914</v>
      </c>
    </row>
    <row r="742" customFormat="false" ht="13.8" hidden="false" customHeight="false" outlineLevel="0" collapsed="false">
      <c r="A742" s="1" t="n">
        <f aca="false">1+A741</f>
        <v>741</v>
      </c>
      <c r="B742" s="1" t="n">
        <v>3.05186</v>
      </c>
    </row>
    <row r="743" customFormat="false" ht="13.8" hidden="false" customHeight="false" outlineLevel="0" collapsed="false">
      <c r="A743" s="1" t="n">
        <f aca="false">1+A742</f>
        <v>742</v>
      </c>
      <c r="B743" s="1" t="n">
        <v>3.02949</v>
      </c>
    </row>
    <row r="744" customFormat="false" ht="13.8" hidden="false" customHeight="false" outlineLevel="0" collapsed="false">
      <c r="A744" s="1" t="n">
        <f aca="false">1+A743</f>
        <v>743</v>
      </c>
      <c r="B744" s="1" t="n">
        <v>3.0303</v>
      </c>
    </row>
    <row r="745" customFormat="false" ht="13.8" hidden="false" customHeight="false" outlineLevel="0" collapsed="false">
      <c r="A745" s="1" t="n">
        <f aca="false">1+A744</f>
        <v>744</v>
      </c>
      <c r="B745" s="1" t="n">
        <v>3.03207</v>
      </c>
    </row>
    <row r="746" customFormat="false" ht="13.8" hidden="false" customHeight="false" outlineLevel="0" collapsed="false">
      <c r="A746" s="1" t="n">
        <f aca="false">1+A745</f>
        <v>745</v>
      </c>
      <c r="B746" s="1" t="n">
        <v>3.0354</v>
      </c>
    </row>
    <row r="747" customFormat="false" ht="13.8" hidden="false" customHeight="false" outlineLevel="0" collapsed="false">
      <c r="A747" s="1" t="n">
        <f aca="false">1+A746</f>
        <v>746</v>
      </c>
      <c r="B747" s="1" t="n">
        <v>3.03221</v>
      </c>
    </row>
    <row r="748" customFormat="false" ht="13.8" hidden="false" customHeight="false" outlineLevel="0" collapsed="false">
      <c r="A748" s="1" t="n">
        <f aca="false">1+A747</f>
        <v>747</v>
      </c>
      <c r="B748" s="1" t="n">
        <v>3.02191</v>
      </c>
    </row>
    <row r="749" customFormat="false" ht="13.8" hidden="false" customHeight="false" outlineLevel="0" collapsed="false">
      <c r="A749" s="1" t="n">
        <f aca="false">1+A748</f>
        <v>748</v>
      </c>
      <c r="B749" s="1" t="n">
        <v>3.01765</v>
      </c>
    </row>
    <row r="750" customFormat="false" ht="13.8" hidden="false" customHeight="false" outlineLevel="0" collapsed="false">
      <c r="A750" s="1" t="n">
        <f aca="false">1+A749</f>
        <v>749</v>
      </c>
      <c r="B750" s="1" t="n">
        <v>2.9908</v>
      </c>
    </row>
    <row r="751" customFormat="false" ht="13.8" hidden="false" customHeight="false" outlineLevel="0" collapsed="false">
      <c r="A751" s="1" t="n">
        <f aca="false">1+A750</f>
        <v>750</v>
      </c>
      <c r="B751" s="1" t="n">
        <v>2.98501</v>
      </c>
    </row>
    <row r="752" customFormat="false" ht="13.8" hidden="false" customHeight="false" outlineLevel="0" collapsed="false">
      <c r="A752" s="1" t="n">
        <f aca="false">1+A751</f>
        <v>751</v>
      </c>
      <c r="B752" s="1" t="n">
        <v>2.98767</v>
      </c>
    </row>
    <row r="753" customFormat="false" ht="13.8" hidden="false" customHeight="false" outlineLevel="0" collapsed="false">
      <c r="A753" s="1" t="n">
        <f aca="false">1+A752</f>
        <v>752</v>
      </c>
      <c r="B753" s="1" t="n">
        <v>2.97287</v>
      </c>
    </row>
    <row r="754" customFormat="false" ht="13.8" hidden="false" customHeight="false" outlineLevel="0" collapsed="false">
      <c r="A754" s="1" t="n">
        <f aca="false">1+A753</f>
        <v>753</v>
      </c>
      <c r="B754" s="1" t="n">
        <v>2.96811</v>
      </c>
    </row>
    <row r="755" customFormat="false" ht="13.8" hidden="false" customHeight="false" outlineLevel="0" collapsed="false">
      <c r="A755" s="1" t="n">
        <f aca="false">1+A754</f>
        <v>754</v>
      </c>
      <c r="B755" s="1" t="n">
        <v>2.96403</v>
      </c>
    </row>
    <row r="756" customFormat="false" ht="13.8" hidden="false" customHeight="false" outlineLevel="0" collapsed="false">
      <c r="A756" s="1" t="n">
        <f aca="false">1+A755</f>
        <v>755</v>
      </c>
      <c r="B756" s="1" t="n">
        <v>2.9486</v>
      </c>
    </row>
    <row r="757" customFormat="false" ht="13.8" hidden="false" customHeight="false" outlineLevel="0" collapsed="false">
      <c r="A757" s="1" t="n">
        <f aca="false">1+A756</f>
        <v>756</v>
      </c>
      <c r="B757" s="1" t="n">
        <v>2.938</v>
      </c>
    </row>
    <row r="758" customFormat="false" ht="13.8" hidden="false" customHeight="false" outlineLevel="0" collapsed="false">
      <c r="A758" s="1" t="n">
        <f aca="false">1+A757</f>
        <v>757</v>
      </c>
      <c r="B758" s="1" t="n">
        <v>2.94081</v>
      </c>
    </row>
    <row r="759" customFormat="false" ht="13.8" hidden="false" customHeight="false" outlineLevel="0" collapsed="false">
      <c r="A759" s="1" t="n">
        <f aca="false">1+A758</f>
        <v>758</v>
      </c>
      <c r="B759" s="1" t="n">
        <v>2.9167</v>
      </c>
    </row>
    <row r="760" customFormat="false" ht="13.8" hidden="false" customHeight="false" outlineLevel="0" collapsed="false">
      <c r="A760" s="1" t="n">
        <f aca="false">1+A759</f>
        <v>759</v>
      </c>
      <c r="B760" s="1" t="n">
        <v>2.90663</v>
      </c>
    </row>
    <row r="761" customFormat="false" ht="13.8" hidden="false" customHeight="false" outlineLevel="0" collapsed="false">
      <c r="A761" s="1" t="n">
        <f aca="false">1+A760</f>
        <v>760</v>
      </c>
      <c r="B761" s="1" t="n">
        <v>2.90502</v>
      </c>
    </row>
    <row r="762" customFormat="false" ht="13.8" hidden="false" customHeight="false" outlineLevel="0" collapsed="false">
      <c r="A762" s="1" t="n">
        <f aca="false">1+A761</f>
        <v>761</v>
      </c>
      <c r="B762" s="1" t="n">
        <v>2.89148</v>
      </c>
    </row>
    <row r="763" customFormat="false" ht="13.8" hidden="false" customHeight="false" outlineLevel="0" collapsed="false">
      <c r="A763" s="1" t="n">
        <f aca="false">1+A762</f>
        <v>762</v>
      </c>
      <c r="B763" s="1" t="n">
        <v>2.86513</v>
      </c>
    </row>
    <row r="764" customFormat="false" ht="13.8" hidden="false" customHeight="false" outlineLevel="0" collapsed="false">
      <c r="A764" s="1" t="n">
        <f aca="false">1+A763</f>
        <v>763</v>
      </c>
      <c r="B764" s="1" t="n">
        <v>2.85072</v>
      </c>
    </row>
    <row r="765" customFormat="false" ht="13.8" hidden="false" customHeight="false" outlineLevel="0" collapsed="false">
      <c r="A765" s="1" t="n">
        <f aca="false">1+A764</f>
        <v>764</v>
      </c>
      <c r="B765" s="1" t="n">
        <v>2.85615</v>
      </c>
    </row>
    <row r="766" customFormat="false" ht="13.8" hidden="false" customHeight="false" outlineLevel="0" collapsed="false">
      <c r="A766" s="1" t="n">
        <f aca="false">1+A765</f>
        <v>765</v>
      </c>
      <c r="B766" s="1" t="n">
        <v>2.83279</v>
      </c>
    </row>
    <row r="767" customFormat="false" ht="13.8" hidden="false" customHeight="false" outlineLevel="0" collapsed="false">
      <c r="A767" s="1" t="n">
        <f aca="false">1+A766</f>
        <v>766</v>
      </c>
      <c r="B767" s="1" t="n">
        <v>2.82724</v>
      </c>
    </row>
    <row r="768" customFormat="false" ht="13.8" hidden="false" customHeight="false" outlineLevel="0" collapsed="false">
      <c r="A768" s="1" t="n">
        <f aca="false">1+A767</f>
        <v>767</v>
      </c>
      <c r="B768" s="1" t="n">
        <v>2.83002</v>
      </c>
    </row>
    <row r="769" customFormat="false" ht="13.8" hidden="false" customHeight="false" outlineLevel="0" collapsed="false">
      <c r="A769" s="1" t="n">
        <f aca="false">1+A768</f>
        <v>768</v>
      </c>
      <c r="B769" s="1" t="n">
        <v>2.81896</v>
      </c>
    </row>
    <row r="770" customFormat="false" ht="13.8" hidden="false" customHeight="false" outlineLevel="0" collapsed="false">
      <c r="A770" s="1" t="n">
        <f aca="false">1+A769</f>
        <v>769</v>
      </c>
      <c r="B770" s="1" t="n">
        <v>2.81571</v>
      </c>
    </row>
    <row r="771" customFormat="false" ht="13.8" hidden="false" customHeight="false" outlineLevel="0" collapsed="false">
      <c r="A771" s="1" t="n">
        <f aca="false">1+A770</f>
        <v>770</v>
      </c>
      <c r="B771" s="1" t="n">
        <v>2.81279</v>
      </c>
    </row>
    <row r="772" customFormat="false" ht="13.8" hidden="false" customHeight="false" outlineLevel="0" collapsed="false">
      <c r="A772" s="1" t="n">
        <f aca="false">1+A771</f>
        <v>771</v>
      </c>
      <c r="B772" s="1" t="n">
        <v>2.80795</v>
      </c>
    </row>
    <row r="773" customFormat="false" ht="13.8" hidden="false" customHeight="false" outlineLevel="0" collapsed="false">
      <c r="A773" s="1" t="n">
        <f aca="false">1+A772</f>
        <v>772</v>
      </c>
      <c r="B773" s="1" t="n">
        <v>2.80848</v>
      </c>
    </row>
    <row r="774" customFormat="false" ht="13.8" hidden="false" customHeight="false" outlineLevel="0" collapsed="false">
      <c r="A774" s="1" t="n">
        <f aca="false">1+A773</f>
        <v>773</v>
      </c>
      <c r="B774" s="1" t="n">
        <v>2.80715</v>
      </c>
    </row>
    <row r="775" customFormat="false" ht="13.8" hidden="false" customHeight="false" outlineLevel="0" collapsed="false">
      <c r="A775" s="1" t="n">
        <f aca="false">1+A774</f>
        <v>774</v>
      </c>
      <c r="B775" s="1" t="n">
        <v>2.79929</v>
      </c>
    </row>
    <row r="776" customFormat="false" ht="13.8" hidden="false" customHeight="false" outlineLevel="0" collapsed="false">
      <c r="A776" s="1" t="n">
        <f aca="false">1+A775</f>
        <v>775</v>
      </c>
      <c r="B776" s="1" t="n">
        <v>2.77957</v>
      </c>
    </row>
    <row r="777" customFormat="false" ht="13.8" hidden="false" customHeight="false" outlineLevel="0" collapsed="false">
      <c r="A777" s="1" t="n">
        <f aca="false">1+A776</f>
        <v>776</v>
      </c>
      <c r="B777" s="1" t="n">
        <v>2.77083</v>
      </c>
    </row>
    <row r="778" customFormat="false" ht="13.8" hidden="false" customHeight="false" outlineLevel="0" collapsed="false">
      <c r="A778" s="1" t="n">
        <f aca="false">1+A777</f>
        <v>777</v>
      </c>
      <c r="B778" s="1" t="n">
        <v>2.78413</v>
      </c>
    </row>
    <row r="779" customFormat="false" ht="13.8" hidden="false" customHeight="false" outlineLevel="0" collapsed="false">
      <c r="A779" s="1" t="n">
        <f aca="false">1+A778</f>
        <v>778</v>
      </c>
      <c r="B779" s="1" t="n">
        <v>2.75315</v>
      </c>
    </row>
    <row r="780" customFormat="false" ht="13.8" hidden="false" customHeight="false" outlineLevel="0" collapsed="false">
      <c r="A780" s="1" t="n">
        <f aca="false">1+A779</f>
        <v>779</v>
      </c>
      <c r="B780" s="1" t="n">
        <v>2.7394</v>
      </c>
    </row>
    <row r="781" customFormat="false" ht="13.8" hidden="false" customHeight="false" outlineLevel="0" collapsed="false">
      <c r="A781" s="1" t="n">
        <f aca="false">1+A780</f>
        <v>780</v>
      </c>
      <c r="B781" s="1" t="n">
        <v>2.72999</v>
      </c>
    </row>
    <row r="782" customFormat="false" ht="13.8" hidden="false" customHeight="false" outlineLevel="0" collapsed="false">
      <c r="A782" s="1" t="n">
        <f aca="false">1+A781</f>
        <v>781</v>
      </c>
      <c r="B782" s="1" t="n">
        <v>2.70541</v>
      </c>
    </row>
    <row r="783" customFormat="false" ht="13.8" hidden="false" customHeight="false" outlineLevel="0" collapsed="false">
      <c r="A783" s="1" t="n">
        <f aca="false">1+A782</f>
        <v>782</v>
      </c>
      <c r="B783" s="1" t="n">
        <v>2.70555</v>
      </c>
    </row>
    <row r="784" customFormat="false" ht="13.8" hidden="false" customHeight="false" outlineLevel="0" collapsed="false">
      <c r="A784" s="1" t="n">
        <f aca="false">1+A783</f>
        <v>783</v>
      </c>
      <c r="B784" s="1" t="n">
        <v>2.7126</v>
      </c>
    </row>
    <row r="785" customFormat="false" ht="13.8" hidden="false" customHeight="false" outlineLevel="0" collapsed="false">
      <c r="A785" s="1" t="n">
        <f aca="false">1+A784</f>
        <v>784</v>
      </c>
      <c r="B785" s="1" t="n">
        <v>2.70532</v>
      </c>
    </row>
    <row r="786" customFormat="false" ht="13.8" hidden="false" customHeight="false" outlineLevel="0" collapsed="false">
      <c r="A786" s="1" t="n">
        <f aca="false">1+A785</f>
        <v>785</v>
      </c>
      <c r="B786" s="1" t="n">
        <v>2.68849</v>
      </c>
    </row>
    <row r="787" customFormat="false" ht="13.8" hidden="false" customHeight="false" outlineLevel="0" collapsed="false">
      <c r="A787" s="1" t="n">
        <f aca="false">1+A786</f>
        <v>786</v>
      </c>
      <c r="B787" s="1" t="n">
        <v>2.66432</v>
      </c>
    </row>
    <row r="788" customFormat="false" ht="13.8" hidden="false" customHeight="false" outlineLevel="0" collapsed="false">
      <c r="A788" s="1" t="n">
        <f aca="false">1+A787</f>
        <v>787</v>
      </c>
      <c r="B788" s="1" t="n">
        <v>2.65012</v>
      </c>
    </row>
    <row r="789" customFormat="false" ht="13.8" hidden="false" customHeight="false" outlineLevel="0" collapsed="false">
      <c r="A789" s="1" t="n">
        <f aca="false">1+A788</f>
        <v>788</v>
      </c>
      <c r="B789" s="1" t="n">
        <v>2.61176</v>
      </c>
    </row>
    <row r="790" customFormat="false" ht="13.8" hidden="false" customHeight="false" outlineLevel="0" collapsed="false">
      <c r="A790" s="1" t="n">
        <f aca="false">1+A789</f>
        <v>789</v>
      </c>
      <c r="B790" s="1" t="n">
        <v>2.5941</v>
      </c>
    </row>
    <row r="791" customFormat="false" ht="13.8" hidden="false" customHeight="false" outlineLevel="0" collapsed="false">
      <c r="A791" s="1" t="n">
        <f aca="false">1+A790</f>
        <v>790</v>
      </c>
      <c r="B791" s="1" t="n">
        <v>2.58452</v>
      </c>
    </row>
    <row r="792" customFormat="false" ht="13.8" hidden="false" customHeight="false" outlineLevel="0" collapsed="false">
      <c r="A792" s="1" t="n">
        <f aca="false">1+A791</f>
        <v>791</v>
      </c>
      <c r="B792" s="1" t="n">
        <v>2.57818</v>
      </c>
    </row>
    <row r="793" customFormat="false" ht="13.8" hidden="false" customHeight="false" outlineLevel="0" collapsed="false">
      <c r="A793" s="1" t="n">
        <f aca="false">1+A792</f>
        <v>792</v>
      </c>
      <c r="B793" s="1" t="n">
        <v>2.55956</v>
      </c>
    </row>
    <row r="794" customFormat="false" ht="13.8" hidden="false" customHeight="false" outlineLevel="0" collapsed="false">
      <c r="A794" s="1" t="n">
        <f aca="false">1+A793</f>
        <v>793</v>
      </c>
      <c r="B794" s="1" t="n">
        <v>2.53621</v>
      </c>
    </row>
    <row r="795" customFormat="false" ht="13.8" hidden="false" customHeight="false" outlineLevel="0" collapsed="false">
      <c r="A795" s="1" t="n">
        <f aca="false">1+A794</f>
        <v>794</v>
      </c>
      <c r="B795" s="1" t="n">
        <v>2.53527</v>
      </c>
    </row>
    <row r="796" customFormat="false" ht="13.8" hidden="false" customHeight="false" outlineLevel="0" collapsed="false">
      <c r="A796" s="1" t="n">
        <f aca="false">1+A795</f>
        <v>795</v>
      </c>
      <c r="B796" s="1" t="n">
        <v>2.51504</v>
      </c>
    </row>
    <row r="797" customFormat="false" ht="13.8" hidden="false" customHeight="false" outlineLevel="0" collapsed="false">
      <c r="A797" s="1" t="n">
        <f aca="false">1+A796</f>
        <v>796</v>
      </c>
      <c r="B797" s="1" t="n">
        <v>2.51862</v>
      </c>
    </row>
    <row r="798" customFormat="false" ht="13.8" hidden="false" customHeight="false" outlineLevel="0" collapsed="false">
      <c r="A798" s="1" t="n">
        <f aca="false">1+A797</f>
        <v>797</v>
      </c>
      <c r="B798" s="1" t="n">
        <v>2.49948</v>
      </c>
    </row>
    <row r="799" customFormat="false" ht="13.8" hidden="false" customHeight="false" outlineLevel="0" collapsed="false">
      <c r="A799" s="1" t="n">
        <f aca="false">1+A798</f>
        <v>798</v>
      </c>
      <c r="B799" s="1" t="n">
        <v>2.5081</v>
      </c>
    </row>
    <row r="800" customFormat="false" ht="13.8" hidden="false" customHeight="false" outlineLevel="0" collapsed="false">
      <c r="A800" s="1" t="n">
        <f aca="false">1+A799</f>
        <v>799</v>
      </c>
      <c r="B800" s="1" t="n">
        <v>2.5021</v>
      </c>
    </row>
    <row r="801" customFormat="false" ht="13.8" hidden="false" customHeight="false" outlineLevel="0" collapsed="false">
      <c r="A801" s="1" t="n">
        <f aca="false">1+A800</f>
        <v>800</v>
      </c>
      <c r="B801" s="1" t="n">
        <v>2.50198</v>
      </c>
    </row>
    <row r="802" customFormat="false" ht="13.8" hidden="false" customHeight="false" outlineLevel="0" collapsed="false">
      <c r="A802" s="1" t="n">
        <f aca="false">1+A801</f>
        <v>801</v>
      </c>
      <c r="B802" s="1" t="n">
        <v>2.47714</v>
      </c>
    </row>
    <row r="803" customFormat="false" ht="13.8" hidden="false" customHeight="false" outlineLevel="0" collapsed="false">
      <c r="A803" s="1" t="n">
        <f aca="false">1+A802</f>
        <v>802</v>
      </c>
      <c r="B803" s="1" t="n">
        <v>2.47131</v>
      </c>
    </row>
    <row r="804" customFormat="false" ht="13.8" hidden="false" customHeight="false" outlineLevel="0" collapsed="false">
      <c r="A804" s="1" t="n">
        <f aca="false">1+A803</f>
        <v>803</v>
      </c>
      <c r="B804" s="1" t="n">
        <v>2.45893</v>
      </c>
    </row>
    <row r="805" customFormat="false" ht="13.8" hidden="false" customHeight="false" outlineLevel="0" collapsed="false">
      <c r="A805" s="1" t="n">
        <f aca="false">1+A804</f>
        <v>804</v>
      </c>
      <c r="B805" s="1" t="n">
        <v>2.45402</v>
      </c>
    </row>
    <row r="806" customFormat="false" ht="13.8" hidden="false" customHeight="false" outlineLevel="0" collapsed="false">
      <c r="A806" s="1" t="n">
        <f aca="false">1+A805</f>
        <v>805</v>
      </c>
      <c r="B806" s="1" t="n">
        <v>2.43889</v>
      </c>
    </row>
    <row r="807" customFormat="false" ht="13.8" hidden="false" customHeight="false" outlineLevel="0" collapsed="false">
      <c r="A807" s="1" t="n">
        <f aca="false">1+A806</f>
        <v>806</v>
      </c>
      <c r="B807" s="1" t="n">
        <v>2.42695</v>
      </c>
    </row>
    <row r="808" customFormat="false" ht="13.8" hidden="false" customHeight="false" outlineLevel="0" collapsed="false">
      <c r="A808" s="1" t="n">
        <f aca="false">1+A807</f>
        <v>807</v>
      </c>
      <c r="B808" s="1" t="n">
        <v>2.4194</v>
      </c>
    </row>
    <row r="809" customFormat="false" ht="13.8" hidden="false" customHeight="false" outlineLevel="0" collapsed="false">
      <c r="A809" s="1" t="n">
        <f aca="false">1+A808</f>
        <v>808</v>
      </c>
      <c r="B809" s="1" t="n">
        <v>2.39877</v>
      </c>
    </row>
    <row r="810" customFormat="false" ht="13.8" hidden="false" customHeight="false" outlineLevel="0" collapsed="false">
      <c r="A810" s="1" t="n">
        <f aca="false">1+A809</f>
        <v>809</v>
      </c>
      <c r="B810" s="1" t="n">
        <v>2.38293</v>
      </c>
    </row>
    <row r="811" customFormat="false" ht="13.8" hidden="false" customHeight="false" outlineLevel="0" collapsed="false">
      <c r="A811" s="1" t="n">
        <f aca="false">1+A810</f>
        <v>810</v>
      </c>
      <c r="B811" s="1" t="n">
        <v>2.38995</v>
      </c>
    </row>
    <row r="812" customFormat="false" ht="13.8" hidden="false" customHeight="false" outlineLevel="0" collapsed="false">
      <c r="A812" s="1" t="n">
        <f aca="false">1+A811</f>
        <v>811</v>
      </c>
      <c r="B812" s="1" t="n">
        <v>2.39611</v>
      </c>
    </row>
    <row r="813" customFormat="false" ht="13.8" hidden="false" customHeight="false" outlineLevel="0" collapsed="false">
      <c r="A813" s="1" t="n">
        <f aca="false">1+A812</f>
        <v>812</v>
      </c>
      <c r="B813" s="1" t="n">
        <v>2.38122</v>
      </c>
    </row>
    <row r="814" customFormat="false" ht="13.8" hidden="false" customHeight="false" outlineLevel="0" collapsed="false">
      <c r="A814" s="1" t="n">
        <f aca="false">1+A813</f>
        <v>813</v>
      </c>
      <c r="B814" s="1" t="n">
        <v>2.37181</v>
      </c>
    </row>
    <row r="815" customFormat="false" ht="13.8" hidden="false" customHeight="false" outlineLevel="0" collapsed="false">
      <c r="A815" s="1" t="n">
        <f aca="false">1+A814</f>
        <v>814</v>
      </c>
      <c r="B815" s="1" t="n">
        <v>2.36283</v>
      </c>
    </row>
    <row r="816" customFormat="false" ht="13.8" hidden="false" customHeight="false" outlineLevel="0" collapsed="false">
      <c r="A816" s="1" t="n">
        <f aca="false">1+A815</f>
        <v>815</v>
      </c>
      <c r="B816" s="1" t="n">
        <v>2.34736</v>
      </c>
    </row>
    <row r="817" customFormat="false" ht="13.8" hidden="false" customHeight="false" outlineLevel="0" collapsed="false">
      <c r="A817" s="1" t="n">
        <f aca="false">1+A816</f>
        <v>816</v>
      </c>
      <c r="B817" s="1" t="n">
        <v>2.33307</v>
      </c>
    </row>
    <row r="818" customFormat="false" ht="13.8" hidden="false" customHeight="false" outlineLevel="0" collapsed="false">
      <c r="A818" s="1" t="n">
        <f aca="false">1+A817</f>
        <v>817</v>
      </c>
      <c r="B818" s="1" t="n">
        <v>2.33351</v>
      </c>
    </row>
    <row r="819" customFormat="false" ht="13.8" hidden="false" customHeight="false" outlineLevel="0" collapsed="false">
      <c r="A819" s="1" t="n">
        <f aca="false">1+A818</f>
        <v>818</v>
      </c>
      <c r="B819" s="1" t="n">
        <v>2.3195</v>
      </c>
    </row>
    <row r="820" customFormat="false" ht="13.8" hidden="false" customHeight="false" outlineLevel="0" collapsed="false">
      <c r="A820" s="1" t="n">
        <f aca="false">1+A819</f>
        <v>819</v>
      </c>
      <c r="B820" s="1" t="n">
        <v>2.30724</v>
      </c>
    </row>
    <row r="821" customFormat="false" ht="13.8" hidden="false" customHeight="false" outlineLevel="0" collapsed="false">
      <c r="A821" s="1" t="n">
        <f aca="false">1+A820</f>
        <v>820</v>
      </c>
      <c r="B821" s="1" t="n">
        <v>2.31221</v>
      </c>
    </row>
    <row r="822" customFormat="false" ht="13.8" hidden="false" customHeight="false" outlineLevel="0" collapsed="false">
      <c r="A822" s="1" t="n">
        <f aca="false">1+A821</f>
        <v>821</v>
      </c>
      <c r="B822" s="1" t="n">
        <v>2.30774</v>
      </c>
    </row>
    <row r="823" customFormat="false" ht="13.8" hidden="false" customHeight="false" outlineLevel="0" collapsed="false">
      <c r="A823" s="1" t="n">
        <f aca="false">1+A822</f>
        <v>822</v>
      </c>
      <c r="B823" s="1" t="n">
        <v>2.30349</v>
      </c>
    </row>
    <row r="824" customFormat="false" ht="13.8" hidden="false" customHeight="false" outlineLevel="0" collapsed="false">
      <c r="A824" s="1" t="n">
        <f aca="false">1+A823</f>
        <v>823</v>
      </c>
      <c r="B824" s="1" t="n">
        <v>2.25712</v>
      </c>
    </row>
    <row r="825" customFormat="false" ht="13.8" hidden="false" customHeight="false" outlineLevel="0" collapsed="false">
      <c r="A825" s="1" t="n">
        <f aca="false">1+A824</f>
        <v>824</v>
      </c>
      <c r="B825" s="1" t="n">
        <v>2.26304</v>
      </c>
    </row>
    <row r="826" customFormat="false" ht="13.8" hidden="false" customHeight="false" outlineLevel="0" collapsed="false">
      <c r="A826" s="1" t="n">
        <f aca="false">1+A825</f>
        <v>825</v>
      </c>
      <c r="B826" s="1" t="n">
        <v>2.25805</v>
      </c>
    </row>
    <row r="827" customFormat="false" ht="13.8" hidden="false" customHeight="false" outlineLevel="0" collapsed="false">
      <c r="A827" s="1" t="n">
        <f aca="false">1+A826</f>
        <v>826</v>
      </c>
      <c r="B827" s="1" t="n">
        <v>2.25026</v>
      </c>
    </row>
    <row r="828" customFormat="false" ht="13.8" hidden="false" customHeight="false" outlineLevel="0" collapsed="false">
      <c r="A828" s="1" t="n">
        <f aca="false">1+A827</f>
        <v>827</v>
      </c>
      <c r="B828" s="1" t="n">
        <v>2.25875</v>
      </c>
    </row>
    <row r="829" customFormat="false" ht="13.8" hidden="false" customHeight="false" outlineLevel="0" collapsed="false">
      <c r="A829" s="1" t="n">
        <f aca="false">1+A828</f>
        <v>828</v>
      </c>
      <c r="B829" s="1" t="n">
        <v>2.25242</v>
      </c>
    </row>
    <row r="830" customFormat="false" ht="13.8" hidden="false" customHeight="false" outlineLevel="0" collapsed="false">
      <c r="A830" s="1" t="n">
        <f aca="false">1+A829</f>
        <v>829</v>
      </c>
      <c r="B830" s="1" t="n">
        <v>2.25693</v>
      </c>
    </row>
    <row r="831" customFormat="false" ht="13.8" hidden="false" customHeight="false" outlineLevel="0" collapsed="false">
      <c r="A831" s="1" t="n">
        <f aca="false">1+A830</f>
        <v>830</v>
      </c>
      <c r="B831" s="1" t="n">
        <v>2.23433</v>
      </c>
    </row>
    <row r="832" customFormat="false" ht="13.8" hidden="false" customHeight="false" outlineLevel="0" collapsed="false">
      <c r="A832" s="1" t="n">
        <f aca="false">1+A831</f>
        <v>831</v>
      </c>
      <c r="B832" s="1" t="n">
        <v>2.22167</v>
      </c>
    </row>
    <row r="833" customFormat="false" ht="13.8" hidden="false" customHeight="false" outlineLevel="0" collapsed="false">
      <c r="A833" s="1" t="n">
        <f aca="false">1+A832</f>
        <v>832</v>
      </c>
      <c r="B833" s="1" t="n">
        <v>2.20832</v>
      </c>
    </row>
    <row r="834" customFormat="false" ht="13.8" hidden="false" customHeight="false" outlineLevel="0" collapsed="false">
      <c r="A834" s="1" t="n">
        <f aca="false">1+A833</f>
        <v>833</v>
      </c>
      <c r="B834" s="1" t="n">
        <v>2.213</v>
      </c>
    </row>
    <row r="835" customFormat="false" ht="13.8" hidden="false" customHeight="false" outlineLevel="0" collapsed="false">
      <c r="A835" s="1" t="n">
        <f aca="false">1+A834</f>
        <v>834</v>
      </c>
      <c r="B835" s="1" t="n">
        <v>2.18065</v>
      </c>
    </row>
    <row r="836" customFormat="false" ht="13.8" hidden="false" customHeight="false" outlineLevel="0" collapsed="false">
      <c r="A836" s="1" t="n">
        <f aca="false">1+A835</f>
        <v>835</v>
      </c>
      <c r="B836" s="1" t="n">
        <v>2.15791</v>
      </c>
    </row>
    <row r="837" customFormat="false" ht="13.8" hidden="false" customHeight="false" outlineLevel="0" collapsed="false">
      <c r="A837" s="1" t="n">
        <f aca="false">1+A836</f>
        <v>836</v>
      </c>
      <c r="B837" s="1" t="n">
        <v>2.15506</v>
      </c>
    </row>
    <row r="838" customFormat="false" ht="13.8" hidden="false" customHeight="false" outlineLevel="0" collapsed="false">
      <c r="A838" s="1" t="n">
        <f aca="false">1+A837</f>
        <v>837</v>
      </c>
      <c r="B838" s="1" t="n">
        <v>2.14482</v>
      </c>
    </row>
    <row r="839" customFormat="false" ht="13.8" hidden="false" customHeight="false" outlineLevel="0" collapsed="false">
      <c r="A839" s="1" t="n">
        <f aca="false">1+A838</f>
        <v>838</v>
      </c>
      <c r="B839" s="1" t="n">
        <v>2.12287</v>
      </c>
    </row>
    <row r="840" customFormat="false" ht="13.8" hidden="false" customHeight="false" outlineLevel="0" collapsed="false">
      <c r="A840" s="1" t="n">
        <f aca="false">1+A839</f>
        <v>839</v>
      </c>
      <c r="B840" s="1" t="n">
        <v>2.11363</v>
      </c>
    </row>
    <row r="841" customFormat="false" ht="13.8" hidden="false" customHeight="false" outlineLevel="0" collapsed="false">
      <c r="A841" s="1" t="n">
        <f aca="false">1+A840</f>
        <v>840</v>
      </c>
      <c r="B841" s="1" t="n">
        <v>2.09526</v>
      </c>
    </row>
    <row r="842" customFormat="false" ht="13.8" hidden="false" customHeight="false" outlineLevel="0" collapsed="false">
      <c r="A842" s="1" t="n">
        <f aca="false">1+A841</f>
        <v>841</v>
      </c>
      <c r="B842" s="1" t="n">
        <v>2.09232</v>
      </c>
    </row>
    <row r="843" customFormat="false" ht="13.8" hidden="false" customHeight="false" outlineLevel="0" collapsed="false">
      <c r="A843" s="1" t="n">
        <f aca="false">1+A842</f>
        <v>842</v>
      </c>
      <c r="B843" s="1" t="n">
        <v>2.08649</v>
      </c>
    </row>
    <row r="844" customFormat="false" ht="13.8" hidden="false" customHeight="false" outlineLevel="0" collapsed="false">
      <c r="A844" s="1" t="n">
        <f aca="false">1+A843</f>
        <v>843</v>
      </c>
      <c r="B844" s="1" t="n">
        <v>2.09725</v>
      </c>
    </row>
    <row r="845" customFormat="false" ht="13.8" hidden="false" customHeight="false" outlineLevel="0" collapsed="false">
      <c r="A845" s="1" t="n">
        <f aca="false">1+A844</f>
        <v>844</v>
      </c>
      <c r="B845" s="1" t="n">
        <v>2.08735</v>
      </c>
    </row>
    <row r="846" customFormat="false" ht="13.8" hidden="false" customHeight="false" outlineLevel="0" collapsed="false">
      <c r="A846" s="1" t="n">
        <f aca="false">1+A845</f>
        <v>845</v>
      </c>
      <c r="B846" s="1" t="n">
        <v>2.09267</v>
      </c>
    </row>
    <row r="847" customFormat="false" ht="13.8" hidden="false" customHeight="false" outlineLevel="0" collapsed="false">
      <c r="A847" s="1" t="n">
        <f aca="false">1+A846</f>
        <v>846</v>
      </c>
      <c r="B847" s="1" t="n">
        <v>2.1018</v>
      </c>
    </row>
    <row r="848" customFormat="false" ht="13.8" hidden="false" customHeight="false" outlineLevel="0" collapsed="false">
      <c r="A848" s="1" t="n">
        <f aca="false">1+A847</f>
        <v>847</v>
      </c>
      <c r="B848" s="1" t="n">
        <v>2.07771</v>
      </c>
    </row>
    <row r="849" customFormat="false" ht="13.8" hidden="false" customHeight="false" outlineLevel="0" collapsed="false">
      <c r="A849" s="1" t="n">
        <f aca="false">1+A848</f>
        <v>848</v>
      </c>
      <c r="B849" s="1" t="n">
        <v>2.07303</v>
      </c>
    </row>
    <row r="850" customFormat="false" ht="13.8" hidden="false" customHeight="false" outlineLevel="0" collapsed="false">
      <c r="A850" s="1" t="n">
        <f aca="false">1+A849</f>
        <v>849</v>
      </c>
      <c r="B850" s="1" t="n">
        <v>2.06972</v>
      </c>
    </row>
    <row r="851" customFormat="false" ht="13.8" hidden="false" customHeight="false" outlineLevel="0" collapsed="false">
      <c r="A851" s="1" t="n">
        <f aca="false">1+A850</f>
        <v>850</v>
      </c>
      <c r="B851" s="1" t="n">
        <v>2.04823</v>
      </c>
    </row>
    <row r="852" customFormat="false" ht="13.8" hidden="false" customHeight="false" outlineLevel="0" collapsed="false">
      <c r="A852" s="1" t="n">
        <f aca="false">1+A851</f>
        <v>851</v>
      </c>
      <c r="B852" s="1" t="n">
        <v>2.0168</v>
      </c>
    </row>
    <row r="853" customFormat="false" ht="13.8" hidden="false" customHeight="false" outlineLevel="0" collapsed="false">
      <c r="A853" s="1" t="n">
        <f aca="false">1+A852</f>
        <v>852</v>
      </c>
      <c r="B853" s="1" t="n">
        <v>2.0195</v>
      </c>
    </row>
    <row r="854" customFormat="false" ht="13.8" hidden="false" customHeight="false" outlineLevel="0" collapsed="false">
      <c r="A854" s="1" t="n">
        <f aca="false">1+A853</f>
        <v>853</v>
      </c>
      <c r="B854" s="1" t="n">
        <v>1.99708</v>
      </c>
    </row>
    <row r="855" customFormat="false" ht="13.8" hidden="false" customHeight="false" outlineLevel="0" collapsed="false">
      <c r="A855" s="1" t="n">
        <f aca="false">1+A854</f>
        <v>854</v>
      </c>
      <c r="B855" s="1" t="n">
        <v>2.00266</v>
      </c>
    </row>
    <row r="856" customFormat="false" ht="13.8" hidden="false" customHeight="false" outlineLevel="0" collapsed="false">
      <c r="A856" s="1" t="n">
        <f aca="false">1+A855</f>
        <v>855</v>
      </c>
      <c r="B856" s="1" t="n">
        <v>2.00478</v>
      </c>
    </row>
    <row r="857" customFormat="false" ht="13.8" hidden="false" customHeight="false" outlineLevel="0" collapsed="false">
      <c r="A857" s="1" t="n">
        <f aca="false">1+A856</f>
        <v>856</v>
      </c>
      <c r="B857" s="1" t="n">
        <v>2.00721</v>
      </c>
    </row>
    <row r="858" customFormat="false" ht="13.8" hidden="false" customHeight="false" outlineLevel="0" collapsed="false">
      <c r="A858" s="1" t="n">
        <f aca="false">1+A857</f>
        <v>857</v>
      </c>
      <c r="B858" s="1" t="n">
        <v>1.98963</v>
      </c>
    </row>
    <row r="859" customFormat="false" ht="13.8" hidden="false" customHeight="false" outlineLevel="0" collapsed="false">
      <c r="A859" s="1" t="n">
        <f aca="false">1+A858</f>
        <v>858</v>
      </c>
      <c r="B859" s="1" t="n">
        <v>1.986</v>
      </c>
    </row>
    <row r="860" customFormat="false" ht="13.8" hidden="false" customHeight="false" outlineLevel="0" collapsed="false">
      <c r="A860" s="1" t="n">
        <f aca="false">1+A859</f>
        <v>859</v>
      </c>
      <c r="B860" s="1" t="n">
        <v>1.96768</v>
      </c>
    </row>
    <row r="861" customFormat="false" ht="13.8" hidden="false" customHeight="false" outlineLevel="0" collapsed="false">
      <c r="A861" s="1" t="n">
        <f aca="false">1+A860</f>
        <v>860</v>
      </c>
      <c r="B861" s="1" t="n">
        <v>1.95555</v>
      </c>
    </row>
    <row r="862" customFormat="false" ht="13.8" hidden="false" customHeight="false" outlineLevel="0" collapsed="false">
      <c r="A862" s="1" t="n">
        <f aca="false">1+A861</f>
        <v>861</v>
      </c>
      <c r="B862" s="1" t="n">
        <v>1.92768</v>
      </c>
    </row>
    <row r="863" customFormat="false" ht="13.8" hidden="false" customHeight="false" outlineLevel="0" collapsed="false">
      <c r="A863" s="1" t="n">
        <f aca="false">1+A862</f>
        <v>862</v>
      </c>
      <c r="B863" s="1" t="n">
        <v>1.92294</v>
      </c>
    </row>
    <row r="864" customFormat="false" ht="13.8" hidden="false" customHeight="false" outlineLevel="0" collapsed="false">
      <c r="A864" s="1" t="n">
        <f aca="false">1+A863</f>
        <v>863</v>
      </c>
      <c r="B864" s="1" t="n">
        <v>1.91055</v>
      </c>
    </row>
    <row r="865" customFormat="false" ht="13.8" hidden="false" customHeight="false" outlineLevel="0" collapsed="false">
      <c r="A865" s="1" t="n">
        <f aca="false">1+A864</f>
        <v>864</v>
      </c>
      <c r="B865" s="1" t="n">
        <v>1.8936</v>
      </c>
    </row>
    <row r="866" customFormat="false" ht="13.8" hidden="false" customHeight="false" outlineLevel="0" collapsed="false">
      <c r="A866" s="1" t="n">
        <f aca="false">1+A865</f>
        <v>865</v>
      </c>
      <c r="B866" s="1" t="n">
        <v>1.88749</v>
      </c>
    </row>
    <row r="867" customFormat="false" ht="13.8" hidden="false" customHeight="false" outlineLevel="0" collapsed="false">
      <c r="A867" s="1" t="n">
        <f aca="false">1+A866</f>
        <v>866</v>
      </c>
      <c r="B867" s="1" t="n">
        <v>1.8816</v>
      </c>
    </row>
    <row r="868" customFormat="false" ht="13.8" hidden="false" customHeight="false" outlineLevel="0" collapsed="false">
      <c r="A868" s="1" t="n">
        <f aca="false">1+A867</f>
        <v>867</v>
      </c>
      <c r="B868" s="1" t="n">
        <v>1.88468</v>
      </c>
    </row>
    <row r="869" customFormat="false" ht="13.8" hidden="false" customHeight="false" outlineLevel="0" collapsed="false">
      <c r="A869" s="1" t="n">
        <f aca="false">1+A868</f>
        <v>868</v>
      </c>
      <c r="B869" s="1" t="n">
        <v>1.8773</v>
      </c>
    </row>
    <row r="870" customFormat="false" ht="13.8" hidden="false" customHeight="false" outlineLevel="0" collapsed="false">
      <c r="A870" s="1" t="n">
        <f aca="false">1+A869</f>
        <v>869</v>
      </c>
      <c r="B870" s="1" t="n">
        <v>1.87995</v>
      </c>
    </row>
    <row r="871" customFormat="false" ht="13.8" hidden="false" customHeight="false" outlineLevel="0" collapsed="false">
      <c r="A871" s="1" t="n">
        <f aca="false">1+A870</f>
        <v>870</v>
      </c>
      <c r="B871" s="1" t="n">
        <v>1.85157</v>
      </c>
    </row>
    <row r="872" customFormat="false" ht="13.8" hidden="false" customHeight="false" outlineLevel="0" collapsed="false">
      <c r="A872" s="1" t="n">
        <f aca="false">1+A871</f>
        <v>871</v>
      </c>
      <c r="B872" s="1" t="n">
        <v>1.84592</v>
      </c>
    </row>
    <row r="873" customFormat="false" ht="13.8" hidden="false" customHeight="false" outlineLevel="0" collapsed="false">
      <c r="A873" s="1" t="n">
        <f aca="false">1+A872</f>
        <v>872</v>
      </c>
      <c r="B873" s="1" t="n">
        <v>1.82613</v>
      </c>
    </row>
    <row r="874" customFormat="false" ht="13.8" hidden="false" customHeight="false" outlineLevel="0" collapsed="false">
      <c r="A874" s="1" t="n">
        <f aca="false">1+A873</f>
        <v>873</v>
      </c>
      <c r="B874" s="1" t="n">
        <v>1.82211</v>
      </c>
    </row>
    <row r="875" customFormat="false" ht="13.8" hidden="false" customHeight="false" outlineLevel="0" collapsed="false">
      <c r="A875" s="1" t="n">
        <f aca="false">1+A874</f>
        <v>874</v>
      </c>
      <c r="B875" s="1" t="n">
        <v>1.80718</v>
      </c>
    </row>
    <row r="876" customFormat="false" ht="13.8" hidden="false" customHeight="false" outlineLevel="0" collapsed="false">
      <c r="A876" s="1" t="n">
        <f aca="false">1+A875</f>
        <v>875</v>
      </c>
      <c r="B876" s="1" t="n">
        <v>1.78544</v>
      </c>
    </row>
    <row r="877" customFormat="false" ht="13.8" hidden="false" customHeight="false" outlineLevel="0" collapsed="false">
      <c r="A877" s="1" t="n">
        <f aca="false">1+A876</f>
        <v>876</v>
      </c>
      <c r="B877" s="1" t="n">
        <v>1.78669</v>
      </c>
    </row>
    <row r="878" customFormat="false" ht="13.8" hidden="false" customHeight="false" outlineLevel="0" collapsed="false">
      <c r="A878" s="1" t="n">
        <f aca="false">1+A877</f>
        <v>877</v>
      </c>
      <c r="B878" s="1" t="n">
        <v>1.79754</v>
      </c>
    </row>
    <row r="879" customFormat="false" ht="13.8" hidden="false" customHeight="false" outlineLevel="0" collapsed="false">
      <c r="A879" s="1" t="n">
        <f aca="false">1+A878</f>
        <v>878</v>
      </c>
      <c r="B879" s="1" t="n">
        <v>1.79138</v>
      </c>
    </row>
    <row r="880" customFormat="false" ht="13.8" hidden="false" customHeight="false" outlineLevel="0" collapsed="false">
      <c r="A880" s="1" t="n">
        <f aca="false">1+A879</f>
        <v>879</v>
      </c>
      <c r="B880" s="1" t="n">
        <v>1.76794</v>
      </c>
    </row>
    <row r="881" customFormat="false" ht="13.8" hidden="false" customHeight="false" outlineLevel="0" collapsed="false">
      <c r="A881" s="1" t="n">
        <f aca="false">1+A880</f>
        <v>880</v>
      </c>
      <c r="B881" s="1" t="n">
        <v>1.76099</v>
      </c>
    </row>
    <row r="882" customFormat="false" ht="13.8" hidden="false" customHeight="false" outlineLevel="0" collapsed="false">
      <c r="A882" s="1" t="n">
        <f aca="false">1+A881</f>
        <v>881</v>
      </c>
      <c r="B882" s="1" t="n">
        <v>1.73899</v>
      </c>
    </row>
    <row r="883" customFormat="false" ht="13.8" hidden="false" customHeight="false" outlineLevel="0" collapsed="false">
      <c r="A883" s="1" t="n">
        <f aca="false">1+A882</f>
        <v>882</v>
      </c>
      <c r="B883" s="1" t="n">
        <v>1.7385</v>
      </c>
    </row>
    <row r="884" customFormat="false" ht="13.8" hidden="false" customHeight="false" outlineLevel="0" collapsed="false">
      <c r="A884" s="1" t="n">
        <f aca="false">1+A883</f>
        <v>883</v>
      </c>
      <c r="B884" s="1" t="n">
        <v>1.7404</v>
      </c>
    </row>
    <row r="885" customFormat="false" ht="13.8" hidden="false" customHeight="false" outlineLevel="0" collapsed="false">
      <c r="A885" s="1" t="n">
        <f aca="false">1+A884</f>
        <v>884</v>
      </c>
      <c r="B885" s="1" t="n">
        <v>1.74922</v>
      </c>
    </row>
    <row r="886" customFormat="false" ht="13.8" hidden="false" customHeight="false" outlineLevel="0" collapsed="false">
      <c r="A886" s="1" t="n">
        <f aca="false">1+A885</f>
        <v>885</v>
      </c>
      <c r="B886" s="1" t="n">
        <v>1.73477</v>
      </c>
    </row>
    <row r="887" customFormat="false" ht="13.8" hidden="false" customHeight="false" outlineLevel="0" collapsed="false">
      <c r="A887" s="1" t="n">
        <f aca="false">1+A886</f>
        <v>886</v>
      </c>
      <c r="B887" s="1" t="n">
        <v>1.73539</v>
      </c>
    </row>
    <row r="888" customFormat="false" ht="13.8" hidden="false" customHeight="false" outlineLevel="0" collapsed="false">
      <c r="A888" s="1" t="n">
        <f aca="false">1+A887</f>
        <v>887</v>
      </c>
      <c r="B888" s="1" t="n">
        <v>1.72801</v>
      </c>
    </row>
    <row r="889" customFormat="false" ht="13.8" hidden="false" customHeight="false" outlineLevel="0" collapsed="false">
      <c r="A889" s="1" t="n">
        <f aca="false">1+A888</f>
        <v>888</v>
      </c>
      <c r="B889" s="1" t="n">
        <v>1.72716</v>
      </c>
    </row>
    <row r="890" customFormat="false" ht="13.8" hidden="false" customHeight="false" outlineLevel="0" collapsed="false">
      <c r="A890" s="1" t="n">
        <f aca="false">1+A889</f>
        <v>889</v>
      </c>
      <c r="B890" s="1" t="n">
        <v>1.73309</v>
      </c>
    </row>
    <row r="891" customFormat="false" ht="13.8" hidden="false" customHeight="false" outlineLevel="0" collapsed="false">
      <c r="A891" s="1" t="n">
        <f aca="false">1+A890</f>
        <v>890</v>
      </c>
      <c r="B891" s="1" t="n">
        <v>1.74169</v>
      </c>
    </row>
    <row r="892" customFormat="false" ht="13.8" hidden="false" customHeight="false" outlineLevel="0" collapsed="false">
      <c r="A892" s="1" t="n">
        <f aca="false">1+A891</f>
        <v>891</v>
      </c>
      <c r="B892" s="1" t="n">
        <v>1.72501</v>
      </c>
    </row>
    <row r="893" customFormat="false" ht="13.8" hidden="false" customHeight="false" outlineLevel="0" collapsed="false">
      <c r="A893" s="1" t="n">
        <f aca="false">1+A892</f>
        <v>892</v>
      </c>
      <c r="B893" s="1" t="n">
        <v>1.72341</v>
      </c>
    </row>
    <row r="894" customFormat="false" ht="13.8" hidden="false" customHeight="false" outlineLevel="0" collapsed="false">
      <c r="A894" s="1" t="n">
        <f aca="false">1+A893</f>
        <v>893</v>
      </c>
      <c r="B894" s="1" t="n">
        <v>1.72311</v>
      </c>
    </row>
    <row r="895" customFormat="false" ht="13.8" hidden="false" customHeight="false" outlineLevel="0" collapsed="false">
      <c r="A895" s="1" t="n">
        <f aca="false">1+A894</f>
        <v>894</v>
      </c>
      <c r="B895" s="1" t="n">
        <v>1.70523</v>
      </c>
    </row>
    <row r="896" customFormat="false" ht="13.8" hidden="false" customHeight="false" outlineLevel="0" collapsed="false">
      <c r="A896" s="1" t="n">
        <f aca="false">1+A895</f>
        <v>895</v>
      </c>
      <c r="B896" s="1" t="n">
        <v>1.7133</v>
      </c>
    </row>
    <row r="897" customFormat="false" ht="13.8" hidden="false" customHeight="false" outlineLevel="0" collapsed="false">
      <c r="A897" s="1" t="n">
        <f aca="false">1+A896</f>
        <v>896</v>
      </c>
      <c r="B897" s="1" t="n">
        <v>1.70533</v>
      </c>
    </row>
    <row r="898" customFormat="false" ht="13.8" hidden="false" customHeight="false" outlineLevel="0" collapsed="false">
      <c r="A898" s="1" t="n">
        <f aca="false">1+A897</f>
        <v>897</v>
      </c>
      <c r="B898" s="1" t="n">
        <v>1.70583</v>
      </c>
    </row>
    <row r="899" customFormat="false" ht="13.8" hidden="false" customHeight="false" outlineLevel="0" collapsed="false">
      <c r="A899" s="1" t="n">
        <f aca="false">1+A898</f>
        <v>898</v>
      </c>
      <c r="B899" s="1" t="n">
        <v>1.70261</v>
      </c>
    </row>
    <row r="900" customFormat="false" ht="13.8" hidden="false" customHeight="false" outlineLevel="0" collapsed="false">
      <c r="A900" s="1" t="n">
        <f aca="false">1+A899</f>
        <v>899</v>
      </c>
      <c r="B900" s="1" t="n">
        <v>1.70161</v>
      </c>
    </row>
    <row r="901" customFormat="false" ht="13.8" hidden="false" customHeight="false" outlineLevel="0" collapsed="false">
      <c r="A901" s="1" t="n">
        <f aca="false">1+A900</f>
        <v>900</v>
      </c>
      <c r="B901" s="1" t="n">
        <v>1.68534</v>
      </c>
    </row>
    <row r="902" customFormat="false" ht="13.8" hidden="false" customHeight="false" outlineLevel="0" collapsed="false">
      <c r="A902" s="1" t="n">
        <f aca="false">1+A901</f>
        <v>901</v>
      </c>
      <c r="B902" s="1" t="n">
        <v>1.68529</v>
      </c>
    </row>
    <row r="903" customFormat="false" ht="13.8" hidden="false" customHeight="false" outlineLevel="0" collapsed="false">
      <c r="A903" s="1" t="n">
        <f aca="false">1+A902</f>
        <v>902</v>
      </c>
      <c r="B903" s="1" t="n">
        <v>1.67498</v>
      </c>
    </row>
    <row r="904" customFormat="false" ht="13.8" hidden="false" customHeight="false" outlineLevel="0" collapsed="false">
      <c r="A904" s="1" t="n">
        <f aca="false">1+A903</f>
        <v>903</v>
      </c>
      <c r="B904" s="1" t="n">
        <v>1.67473</v>
      </c>
    </row>
    <row r="905" customFormat="false" ht="13.8" hidden="false" customHeight="false" outlineLevel="0" collapsed="false">
      <c r="A905" s="1" t="n">
        <f aca="false">1+A904</f>
        <v>904</v>
      </c>
      <c r="B905" s="1" t="n">
        <v>1.68423</v>
      </c>
    </row>
    <row r="906" customFormat="false" ht="13.8" hidden="false" customHeight="false" outlineLevel="0" collapsed="false">
      <c r="A906" s="1" t="n">
        <f aca="false">1+A905</f>
        <v>905</v>
      </c>
      <c r="B906" s="1" t="n">
        <v>1.66576</v>
      </c>
    </row>
    <row r="907" customFormat="false" ht="13.8" hidden="false" customHeight="false" outlineLevel="0" collapsed="false">
      <c r="A907" s="1" t="n">
        <f aca="false">1+A906</f>
        <v>906</v>
      </c>
      <c r="B907" s="1" t="n">
        <v>1.65575</v>
      </c>
    </row>
    <row r="908" customFormat="false" ht="13.8" hidden="false" customHeight="false" outlineLevel="0" collapsed="false">
      <c r="A908" s="1" t="n">
        <f aca="false">1+A907</f>
        <v>907</v>
      </c>
      <c r="B908" s="1" t="n">
        <v>1.6566</v>
      </c>
    </row>
    <row r="909" customFormat="false" ht="13.8" hidden="false" customHeight="false" outlineLevel="0" collapsed="false">
      <c r="A909" s="1" t="n">
        <f aca="false">1+A908</f>
        <v>908</v>
      </c>
      <c r="B909" s="1" t="n">
        <v>1.65259</v>
      </c>
    </row>
    <row r="910" customFormat="false" ht="13.8" hidden="false" customHeight="false" outlineLevel="0" collapsed="false">
      <c r="A910" s="1" t="n">
        <f aca="false">1+A909</f>
        <v>909</v>
      </c>
      <c r="B910" s="1" t="n">
        <v>1.64055</v>
      </c>
    </row>
    <row r="911" customFormat="false" ht="13.8" hidden="false" customHeight="false" outlineLevel="0" collapsed="false">
      <c r="A911" s="1" t="n">
        <f aca="false">1+A910</f>
        <v>910</v>
      </c>
      <c r="B911" s="1" t="n">
        <v>1.63023</v>
      </c>
    </row>
    <row r="912" customFormat="false" ht="13.8" hidden="false" customHeight="false" outlineLevel="0" collapsed="false">
      <c r="A912" s="1" t="n">
        <f aca="false">1+A911</f>
        <v>911</v>
      </c>
      <c r="B912" s="1" t="n">
        <v>1.63721</v>
      </c>
    </row>
    <row r="913" customFormat="false" ht="13.8" hidden="false" customHeight="false" outlineLevel="0" collapsed="false">
      <c r="A913" s="1" t="n">
        <f aca="false">1+A912</f>
        <v>912</v>
      </c>
      <c r="B913" s="1" t="n">
        <v>1.63582</v>
      </c>
    </row>
    <row r="914" customFormat="false" ht="13.8" hidden="false" customHeight="false" outlineLevel="0" collapsed="false">
      <c r="A914" s="1" t="n">
        <f aca="false">1+A913</f>
        <v>913</v>
      </c>
      <c r="B914" s="1" t="n">
        <v>1.64551</v>
      </c>
    </row>
    <row r="915" customFormat="false" ht="13.8" hidden="false" customHeight="false" outlineLevel="0" collapsed="false">
      <c r="A915" s="1" t="n">
        <f aca="false">1+A914</f>
        <v>914</v>
      </c>
      <c r="B915" s="1" t="n">
        <v>1.6429</v>
      </c>
    </row>
    <row r="916" customFormat="false" ht="13.8" hidden="false" customHeight="false" outlineLevel="0" collapsed="false">
      <c r="A916" s="1" t="n">
        <f aca="false">1+A915</f>
        <v>915</v>
      </c>
      <c r="B916" s="1" t="n">
        <v>1.63141</v>
      </c>
    </row>
    <row r="917" customFormat="false" ht="13.8" hidden="false" customHeight="false" outlineLevel="0" collapsed="false">
      <c r="A917" s="1" t="n">
        <f aca="false">1+A916</f>
        <v>916</v>
      </c>
      <c r="B917" s="1" t="n">
        <v>1.63043</v>
      </c>
    </row>
    <row r="918" customFormat="false" ht="13.8" hidden="false" customHeight="false" outlineLevel="0" collapsed="false">
      <c r="A918" s="1" t="n">
        <f aca="false">1+A917</f>
        <v>917</v>
      </c>
      <c r="B918" s="1" t="n">
        <v>1.63982</v>
      </c>
    </row>
    <row r="919" customFormat="false" ht="13.8" hidden="false" customHeight="false" outlineLevel="0" collapsed="false">
      <c r="A919" s="1" t="n">
        <f aca="false">1+A918</f>
        <v>918</v>
      </c>
      <c r="B919" s="1" t="n">
        <v>1.63934</v>
      </c>
    </row>
    <row r="920" customFormat="false" ht="13.8" hidden="false" customHeight="false" outlineLevel="0" collapsed="false">
      <c r="A920" s="1" t="n">
        <f aca="false">1+A919</f>
        <v>919</v>
      </c>
      <c r="B920" s="1" t="n">
        <v>1.63744</v>
      </c>
    </row>
    <row r="921" customFormat="false" ht="13.8" hidden="false" customHeight="false" outlineLevel="0" collapsed="false">
      <c r="A921" s="1" t="n">
        <f aca="false">1+A920</f>
        <v>920</v>
      </c>
      <c r="B921" s="1" t="n">
        <v>1.63775</v>
      </c>
    </row>
    <row r="922" customFormat="false" ht="13.8" hidden="false" customHeight="false" outlineLevel="0" collapsed="false">
      <c r="A922" s="1" t="n">
        <f aca="false">1+A921</f>
        <v>921</v>
      </c>
      <c r="B922" s="1" t="n">
        <v>1.64609</v>
      </c>
    </row>
    <row r="923" customFormat="false" ht="13.8" hidden="false" customHeight="false" outlineLevel="0" collapsed="false">
      <c r="A923" s="1" t="n">
        <f aca="false">1+A922</f>
        <v>922</v>
      </c>
      <c r="B923" s="1" t="n">
        <v>1.64597</v>
      </c>
    </row>
    <row r="924" customFormat="false" ht="13.8" hidden="false" customHeight="false" outlineLevel="0" collapsed="false">
      <c r="A924" s="1" t="n">
        <f aca="false">1+A923</f>
        <v>923</v>
      </c>
      <c r="B924" s="1" t="n">
        <v>1.65543</v>
      </c>
    </row>
    <row r="925" customFormat="false" ht="13.8" hidden="false" customHeight="false" outlineLevel="0" collapsed="false">
      <c r="A925" s="1" t="n">
        <f aca="false">1+A924</f>
        <v>924</v>
      </c>
      <c r="B925" s="1" t="n">
        <v>1.65322</v>
      </c>
    </row>
    <row r="926" customFormat="false" ht="13.8" hidden="false" customHeight="false" outlineLevel="0" collapsed="false">
      <c r="A926" s="1" t="n">
        <f aca="false">1+A925</f>
        <v>925</v>
      </c>
      <c r="B926" s="1" t="n">
        <v>1.66199</v>
      </c>
    </row>
    <row r="927" customFormat="false" ht="13.8" hidden="false" customHeight="false" outlineLevel="0" collapsed="false">
      <c r="A927" s="1" t="n">
        <f aca="false">1+A926</f>
        <v>926</v>
      </c>
      <c r="B927" s="1" t="n">
        <v>1.65007</v>
      </c>
    </row>
    <row r="928" customFormat="false" ht="13.8" hidden="false" customHeight="false" outlineLevel="0" collapsed="false">
      <c r="A928" s="1" t="n">
        <f aca="false">1+A927</f>
        <v>927</v>
      </c>
      <c r="B928" s="1" t="n">
        <v>1.63636</v>
      </c>
    </row>
    <row r="929" customFormat="false" ht="13.8" hidden="false" customHeight="false" outlineLevel="0" collapsed="false">
      <c r="A929" s="1" t="n">
        <f aca="false">1+A928</f>
        <v>928</v>
      </c>
      <c r="B929" s="1" t="n">
        <v>1.63535</v>
      </c>
    </row>
    <row r="930" customFormat="false" ht="13.8" hidden="false" customHeight="false" outlineLevel="0" collapsed="false">
      <c r="A930" s="1" t="n">
        <f aca="false">1+A929</f>
        <v>929</v>
      </c>
      <c r="B930" s="1" t="n">
        <v>1.62328</v>
      </c>
    </row>
    <row r="931" customFormat="false" ht="13.8" hidden="false" customHeight="false" outlineLevel="0" collapsed="false">
      <c r="A931" s="1" t="n">
        <f aca="false">1+A930</f>
        <v>930</v>
      </c>
      <c r="B931" s="1" t="n">
        <v>1.63094</v>
      </c>
    </row>
    <row r="932" customFormat="false" ht="13.8" hidden="false" customHeight="false" outlineLevel="0" collapsed="false">
      <c r="A932" s="1" t="n">
        <f aca="false">1+A931</f>
        <v>931</v>
      </c>
      <c r="B932" s="1" t="n">
        <v>1.61906</v>
      </c>
    </row>
    <row r="933" customFormat="false" ht="13.8" hidden="false" customHeight="false" outlineLevel="0" collapsed="false">
      <c r="A933" s="1" t="n">
        <f aca="false">1+A932</f>
        <v>932</v>
      </c>
      <c r="B933" s="1" t="n">
        <v>1.62728</v>
      </c>
    </row>
    <row r="934" customFormat="false" ht="13.8" hidden="false" customHeight="false" outlineLevel="0" collapsed="false">
      <c r="A934" s="1" t="n">
        <f aca="false">1+A933</f>
        <v>933</v>
      </c>
      <c r="B934" s="1" t="n">
        <v>1.61307</v>
      </c>
    </row>
    <row r="935" customFormat="false" ht="13.8" hidden="false" customHeight="false" outlineLevel="0" collapsed="false">
      <c r="A935" s="1" t="n">
        <f aca="false">1+A934</f>
        <v>934</v>
      </c>
      <c r="B935" s="1" t="n">
        <v>1.6031</v>
      </c>
    </row>
    <row r="936" customFormat="false" ht="13.8" hidden="false" customHeight="false" outlineLevel="0" collapsed="false">
      <c r="A936" s="1" t="n">
        <f aca="false">1+A935</f>
        <v>935</v>
      </c>
      <c r="B936" s="1" t="n">
        <v>1.59014</v>
      </c>
    </row>
    <row r="937" customFormat="false" ht="13.8" hidden="false" customHeight="false" outlineLevel="0" collapsed="false">
      <c r="A937" s="1" t="n">
        <f aca="false">1+A936</f>
        <v>936</v>
      </c>
      <c r="B937" s="1" t="n">
        <v>1.58831</v>
      </c>
    </row>
    <row r="938" customFormat="false" ht="13.8" hidden="false" customHeight="false" outlineLevel="0" collapsed="false">
      <c r="A938" s="1" t="n">
        <f aca="false">1+A937</f>
        <v>937</v>
      </c>
      <c r="B938" s="1" t="n">
        <v>1.59761</v>
      </c>
    </row>
    <row r="939" customFormat="false" ht="13.8" hidden="false" customHeight="false" outlineLevel="0" collapsed="false">
      <c r="A939" s="1" t="n">
        <f aca="false">1+A938</f>
        <v>938</v>
      </c>
      <c r="B939" s="1" t="n">
        <v>1.60703</v>
      </c>
    </row>
    <row r="940" customFormat="false" ht="13.8" hidden="false" customHeight="false" outlineLevel="0" collapsed="false">
      <c r="A940" s="1" t="n">
        <f aca="false">1+A939</f>
        <v>939</v>
      </c>
      <c r="B940" s="1" t="n">
        <v>1.60353</v>
      </c>
    </row>
    <row r="941" customFormat="false" ht="13.8" hidden="false" customHeight="false" outlineLevel="0" collapsed="false">
      <c r="A941" s="1" t="n">
        <f aca="false">1+A940</f>
        <v>940</v>
      </c>
      <c r="B941" s="1" t="n">
        <v>1.59005</v>
      </c>
    </row>
    <row r="942" customFormat="false" ht="13.8" hidden="false" customHeight="false" outlineLevel="0" collapsed="false">
      <c r="A942" s="1" t="n">
        <f aca="false">1+A941</f>
        <v>941</v>
      </c>
      <c r="B942" s="1" t="n">
        <v>1.58523</v>
      </c>
    </row>
    <row r="943" customFormat="false" ht="13.8" hidden="false" customHeight="false" outlineLevel="0" collapsed="false">
      <c r="A943" s="1" t="n">
        <f aca="false">1+A942</f>
        <v>942</v>
      </c>
      <c r="B943" s="1" t="n">
        <v>1.59145</v>
      </c>
    </row>
    <row r="944" customFormat="false" ht="13.8" hidden="false" customHeight="false" outlineLevel="0" collapsed="false">
      <c r="A944" s="1" t="n">
        <f aca="false">1+A943</f>
        <v>943</v>
      </c>
      <c r="B944" s="1" t="n">
        <v>1.57722</v>
      </c>
    </row>
    <row r="945" customFormat="false" ht="13.8" hidden="false" customHeight="false" outlineLevel="0" collapsed="false">
      <c r="A945" s="1" t="n">
        <f aca="false">1+A944</f>
        <v>944</v>
      </c>
      <c r="B945" s="1" t="n">
        <v>1.58608</v>
      </c>
    </row>
    <row r="946" customFormat="false" ht="13.8" hidden="false" customHeight="false" outlineLevel="0" collapsed="false">
      <c r="A946" s="1" t="n">
        <f aca="false">1+A945</f>
        <v>945</v>
      </c>
      <c r="B946" s="1" t="n">
        <v>1.59239</v>
      </c>
    </row>
    <row r="947" customFormat="false" ht="13.8" hidden="false" customHeight="false" outlineLevel="0" collapsed="false">
      <c r="A947" s="1" t="n">
        <f aca="false">1+A946</f>
        <v>946</v>
      </c>
      <c r="B947" s="1" t="n">
        <v>1.60018</v>
      </c>
    </row>
    <row r="948" customFormat="false" ht="13.8" hidden="false" customHeight="false" outlineLevel="0" collapsed="false">
      <c r="A948" s="1" t="n">
        <f aca="false">1+A947</f>
        <v>947</v>
      </c>
      <c r="B948" s="1" t="n">
        <v>1.59723</v>
      </c>
    </row>
    <row r="949" customFormat="false" ht="13.8" hidden="false" customHeight="false" outlineLevel="0" collapsed="false">
      <c r="A949" s="1" t="n">
        <f aca="false">1+A948</f>
        <v>948</v>
      </c>
      <c r="B949" s="1" t="n">
        <v>1.58267</v>
      </c>
    </row>
    <row r="950" customFormat="false" ht="13.8" hidden="false" customHeight="false" outlineLevel="0" collapsed="false">
      <c r="A950" s="1" t="n">
        <f aca="false">1+A949</f>
        <v>949</v>
      </c>
      <c r="B950" s="1" t="n">
        <v>1.57764</v>
      </c>
    </row>
    <row r="951" customFormat="false" ht="13.8" hidden="false" customHeight="false" outlineLevel="0" collapsed="false">
      <c r="A951" s="1" t="n">
        <f aca="false">1+A950</f>
        <v>950</v>
      </c>
      <c r="B951" s="1" t="n">
        <v>1.56268</v>
      </c>
    </row>
    <row r="952" customFormat="false" ht="13.8" hidden="false" customHeight="false" outlineLevel="0" collapsed="false">
      <c r="A952" s="1" t="n">
        <f aca="false">1+A951</f>
        <v>951</v>
      </c>
      <c r="B952" s="1" t="n">
        <v>1.56943</v>
      </c>
    </row>
    <row r="953" customFormat="false" ht="13.8" hidden="false" customHeight="false" outlineLevel="0" collapsed="false">
      <c r="A953" s="1" t="n">
        <f aca="false">1+A952</f>
        <v>952</v>
      </c>
      <c r="B953" s="1" t="n">
        <v>1.55571</v>
      </c>
    </row>
    <row r="954" customFormat="false" ht="13.8" hidden="false" customHeight="false" outlineLevel="0" collapsed="false">
      <c r="A954" s="1" t="n">
        <f aca="false">1+A953</f>
        <v>953</v>
      </c>
      <c r="B954" s="1" t="n">
        <v>1.54888</v>
      </c>
    </row>
    <row r="955" customFormat="false" ht="13.8" hidden="false" customHeight="false" outlineLevel="0" collapsed="false">
      <c r="A955" s="1" t="n">
        <f aca="false">1+A954</f>
        <v>954</v>
      </c>
      <c r="B955" s="1" t="n">
        <v>1.53243</v>
      </c>
    </row>
    <row r="956" customFormat="false" ht="13.8" hidden="false" customHeight="false" outlineLevel="0" collapsed="false">
      <c r="A956" s="1" t="n">
        <f aca="false">1+A955</f>
        <v>955</v>
      </c>
      <c r="B956" s="1" t="n">
        <v>1.54346</v>
      </c>
    </row>
    <row r="957" customFormat="false" ht="13.8" hidden="false" customHeight="false" outlineLevel="0" collapsed="false">
      <c r="A957" s="1" t="n">
        <f aca="false">1+A956</f>
        <v>956</v>
      </c>
      <c r="B957" s="1" t="n">
        <v>1.53936</v>
      </c>
    </row>
    <row r="958" customFormat="false" ht="13.8" hidden="false" customHeight="false" outlineLevel="0" collapsed="false">
      <c r="A958" s="1" t="n">
        <f aca="false">1+A957</f>
        <v>957</v>
      </c>
      <c r="B958" s="1" t="n">
        <v>1.5354</v>
      </c>
    </row>
    <row r="959" customFormat="false" ht="13.8" hidden="false" customHeight="false" outlineLevel="0" collapsed="false">
      <c r="A959" s="1" t="n">
        <f aca="false">1+A958</f>
        <v>958</v>
      </c>
      <c r="B959" s="1" t="n">
        <v>1.50588</v>
      </c>
    </row>
    <row r="960" customFormat="false" ht="13.8" hidden="false" customHeight="false" outlineLevel="0" collapsed="false">
      <c r="A960" s="1" t="n">
        <f aca="false">1+A959</f>
        <v>959</v>
      </c>
      <c r="B960" s="1" t="n">
        <v>1.51497</v>
      </c>
    </row>
    <row r="961" customFormat="false" ht="13.8" hidden="false" customHeight="false" outlineLevel="0" collapsed="false">
      <c r="A961" s="1" t="n">
        <f aca="false">1+A960</f>
        <v>960</v>
      </c>
      <c r="B961" s="1" t="n">
        <v>1.52164</v>
      </c>
    </row>
    <row r="962" customFormat="false" ht="13.8" hidden="false" customHeight="false" outlineLevel="0" collapsed="false">
      <c r="A962" s="1" t="n">
        <f aca="false">1+A961</f>
        <v>961</v>
      </c>
      <c r="B962" s="1" t="n">
        <v>1.53202</v>
      </c>
    </row>
    <row r="963" customFormat="false" ht="13.8" hidden="false" customHeight="false" outlineLevel="0" collapsed="false">
      <c r="A963" s="1" t="n">
        <f aca="false">1+A962</f>
        <v>962</v>
      </c>
      <c r="B963" s="1" t="n">
        <v>1.54013</v>
      </c>
    </row>
    <row r="964" customFormat="false" ht="13.8" hidden="false" customHeight="false" outlineLevel="0" collapsed="false">
      <c r="A964" s="1" t="n">
        <f aca="false">1+A963</f>
        <v>963</v>
      </c>
      <c r="B964" s="1" t="n">
        <v>1.54701</v>
      </c>
    </row>
    <row r="965" customFormat="false" ht="13.8" hidden="false" customHeight="false" outlineLevel="0" collapsed="false">
      <c r="A965" s="1" t="n">
        <f aca="false">1+A964</f>
        <v>964</v>
      </c>
      <c r="B965" s="1" t="n">
        <v>1.5192</v>
      </c>
    </row>
    <row r="966" customFormat="false" ht="13.8" hidden="false" customHeight="false" outlineLevel="0" collapsed="false">
      <c r="A966" s="1" t="n">
        <f aca="false">1+A965</f>
        <v>965</v>
      </c>
      <c r="B966" s="1" t="n">
        <v>1.52644</v>
      </c>
    </row>
    <row r="967" customFormat="false" ht="13.8" hidden="false" customHeight="false" outlineLevel="0" collapsed="false">
      <c r="A967" s="1" t="n">
        <f aca="false">1+A966</f>
        <v>966</v>
      </c>
      <c r="B967" s="1" t="n">
        <v>1.53374</v>
      </c>
    </row>
    <row r="968" customFormat="false" ht="13.8" hidden="false" customHeight="false" outlineLevel="0" collapsed="false">
      <c r="A968" s="1" t="n">
        <f aca="false">1+A967</f>
        <v>967</v>
      </c>
      <c r="B968" s="1" t="n">
        <v>1.52766</v>
      </c>
    </row>
    <row r="969" customFormat="false" ht="13.8" hidden="false" customHeight="false" outlineLevel="0" collapsed="false">
      <c r="A969" s="1" t="n">
        <f aca="false">1+A968</f>
        <v>968</v>
      </c>
      <c r="B969" s="1" t="n">
        <v>1.53351</v>
      </c>
    </row>
    <row r="970" customFormat="false" ht="13.8" hidden="false" customHeight="false" outlineLevel="0" collapsed="false">
      <c r="A970" s="1" t="n">
        <f aca="false">1+A969</f>
        <v>969</v>
      </c>
      <c r="B970" s="1" t="n">
        <v>1.51817</v>
      </c>
    </row>
    <row r="971" customFormat="false" ht="13.8" hidden="false" customHeight="false" outlineLevel="0" collapsed="false">
      <c r="A971" s="1" t="n">
        <f aca="false">1+A970</f>
        <v>970</v>
      </c>
      <c r="B971" s="1" t="n">
        <v>1.52767</v>
      </c>
    </row>
    <row r="972" customFormat="false" ht="13.8" hidden="false" customHeight="false" outlineLevel="0" collapsed="false">
      <c r="A972" s="1" t="n">
        <f aca="false">1+A971</f>
        <v>971</v>
      </c>
      <c r="B972" s="1" t="n">
        <v>1.52335</v>
      </c>
    </row>
    <row r="973" customFormat="false" ht="13.8" hidden="false" customHeight="false" outlineLevel="0" collapsed="false">
      <c r="A973" s="1" t="n">
        <f aca="false">1+A972</f>
        <v>972</v>
      </c>
      <c r="B973" s="1" t="n">
        <v>1.5299</v>
      </c>
    </row>
    <row r="974" customFormat="false" ht="13.8" hidden="false" customHeight="false" outlineLevel="0" collapsed="false">
      <c r="A974" s="1" t="n">
        <f aca="false">1+A973</f>
        <v>973</v>
      </c>
      <c r="B974" s="1" t="n">
        <v>1.53631</v>
      </c>
    </row>
    <row r="975" customFormat="false" ht="13.8" hidden="false" customHeight="false" outlineLevel="0" collapsed="false">
      <c r="A975" s="1" t="n">
        <f aca="false">1+A974</f>
        <v>974</v>
      </c>
      <c r="B975" s="1" t="n">
        <v>1.54494</v>
      </c>
    </row>
    <row r="976" customFormat="false" ht="13.8" hidden="false" customHeight="false" outlineLevel="0" collapsed="false">
      <c r="A976" s="1" t="n">
        <f aca="false">1+A975</f>
        <v>975</v>
      </c>
      <c r="B976" s="1" t="n">
        <v>1.54242</v>
      </c>
    </row>
    <row r="977" customFormat="false" ht="13.8" hidden="false" customHeight="false" outlineLevel="0" collapsed="false">
      <c r="A977" s="1" t="n">
        <f aca="false">1+A976</f>
        <v>976</v>
      </c>
      <c r="B977" s="1" t="n">
        <v>1.55019</v>
      </c>
    </row>
    <row r="978" customFormat="false" ht="13.8" hidden="false" customHeight="false" outlineLevel="0" collapsed="false">
      <c r="A978" s="1" t="n">
        <f aca="false">1+A977</f>
        <v>977</v>
      </c>
      <c r="B978" s="1" t="n">
        <v>1.55763</v>
      </c>
    </row>
    <row r="979" customFormat="false" ht="13.8" hidden="false" customHeight="false" outlineLevel="0" collapsed="false">
      <c r="A979" s="1" t="n">
        <f aca="false">1+A978</f>
        <v>978</v>
      </c>
      <c r="B979" s="1" t="n">
        <v>1.53826</v>
      </c>
    </row>
    <row r="980" customFormat="false" ht="13.8" hidden="false" customHeight="false" outlineLevel="0" collapsed="false">
      <c r="A980" s="1" t="n">
        <f aca="false">1+A979</f>
        <v>979</v>
      </c>
      <c r="B980" s="1" t="n">
        <v>1.52071</v>
      </c>
    </row>
    <row r="981" customFormat="false" ht="13.8" hidden="false" customHeight="false" outlineLevel="0" collapsed="false">
      <c r="A981" s="1" t="n">
        <f aca="false">1+A980</f>
        <v>980</v>
      </c>
      <c r="B981" s="1" t="n">
        <v>1.51515</v>
      </c>
    </row>
    <row r="982" customFormat="false" ht="13.8" hidden="false" customHeight="false" outlineLevel="0" collapsed="false">
      <c r="A982" s="1" t="n">
        <f aca="false">1+A981</f>
        <v>981</v>
      </c>
      <c r="B982" s="1" t="n">
        <v>1.52338</v>
      </c>
    </row>
    <row r="983" customFormat="false" ht="13.8" hidden="false" customHeight="false" outlineLevel="0" collapsed="false">
      <c r="A983" s="1" t="n">
        <f aca="false">1+A982</f>
        <v>982</v>
      </c>
      <c r="B983" s="1" t="n">
        <v>1.51757</v>
      </c>
    </row>
    <row r="984" customFormat="false" ht="13.8" hidden="false" customHeight="false" outlineLevel="0" collapsed="false">
      <c r="A984" s="1" t="n">
        <f aca="false">1+A983</f>
        <v>983</v>
      </c>
      <c r="B984" s="1" t="n">
        <v>1.52468</v>
      </c>
    </row>
    <row r="985" customFormat="false" ht="13.8" hidden="false" customHeight="false" outlineLevel="0" collapsed="false">
      <c r="A985" s="1" t="n">
        <f aca="false">1+A984</f>
        <v>984</v>
      </c>
      <c r="B985" s="1" t="n">
        <v>1.53246</v>
      </c>
    </row>
    <row r="986" customFormat="false" ht="13.8" hidden="false" customHeight="false" outlineLevel="0" collapsed="false">
      <c r="A986" s="1" t="n">
        <f aca="false">1+A985</f>
        <v>985</v>
      </c>
      <c r="B986" s="1" t="n">
        <v>1.53971</v>
      </c>
    </row>
    <row r="987" customFormat="false" ht="13.8" hidden="false" customHeight="false" outlineLevel="0" collapsed="false">
      <c r="A987" s="1" t="n">
        <f aca="false">1+A986</f>
        <v>986</v>
      </c>
      <c r="B987" s="1" t="n">
        <v>1.5322</v>
      </c>
    </row>
    <row r="988" customFormat="false" ht="13.8" hidden="false" customHeight="false" outlineLevel="0" collapsed="false">
      <c r="A988" s="1" t="n">
        <f aca="false">1+A987</f>
        <v>987</v>
      </c>
      <c r="B988" s="1" t="n">
        <v>1.51144</v>
      </c>
    </row>
    <row r="989" customFormat="false" ht="13.8" hidden="false" customHeight="false" outlineLevel="0" collapsed="false">
      <c r="A989" s="1" t="n">
        <f aca="false">1+A988</f>
        <v>988</v>
      </c>
      <c r="B989" s="1" t="n">
        <v>1.50479</v>
      </c>
    </row>
    <row r="990" customFormat="false" ht="13.8" hidden="false" customHeight="false" outlineLevel="0" collapsed="false">
      <c r="A990" s="1" t="n">
        <f aca="false">1+A989</f>
        <v>989</v>
      </c>
      <c r="B990" s="1" t="n">
        <v>1.51037</v>
      </c>
    </row>
    <row r="991" customFormat="false" ht="13.8" hidden="false" customHeight="false" outlineLevel="0" collapsed="false">
      <c r="A991" s="1" t="n">
        <f aca="false">1+A990</f>
        <v>990</v>
      </c>
      <c r="B991" s="1" t="n">
        <v>1.51934</v>
      </c>
    </row>
    <row r="992" customFormat="false" ht="13.8" hidden="false" customHeight="false" outlineLevel="0" collapsed="false">
      <c r="A992" s="1" t="n">
        <f aca="false">1+A991</f>
        <v>991</v>
      </c>
      <c r="B992" s="1" t="n">
        <v>1.51557</v>
      </c>
    </row>
    <row r="993" customFormat="false" ht="13.8" hidden="false" customHeight="false" outlineLevel="0" collapsed="false">
      <c r="A993" s="1" t="n">
        <f aca="false">1+A992</f>
        <v>992</v>
      </c>
      <c r="B993" s="1" t="n">
        <v>1.5249</v>
      </c>
    </row>
    <row r="994" customFormat="false" ht="13.8" hidden="false" customHeight="false" outlineLevel="0" collapsed="false">
      <c r="A994" s="1" t="n">
        <f aca="false">1+A993</f>
        <v>993</v>
      </c>
      <c r="B994" s="1" t="n">
        <v>1.53197</v>
      </c>
    </row>
    <row r="995" customFormat="false" ht="13.8" hidden="false" customHeight="false" outlineLevel="0" collapsed="false">
      <c r="A995" s="1" t="n">
        <f aca="false">1+A994</f>
        <v>994</v>
      </c>
      <c r="B995" s="1" t="n">
        <v>1.52413</v>
      </c>
    </row>
    <row r="996" customFormat="false" ht="13.8" hidden="false" customHeight="false" outlineLevel="0" collapsed="false">
      <c r="A996" s="1" t="n">
        <f aca="false">1+A995</f>
        <v>995</v>
      </c>
      <c r="B996" s="1" t="n">
        <v>1.51752</v>
      </c>
    </row>
    <row r="997" customFormat="false" ht="13.8" hidden="false" customHeight="false" outlineLevel="0" collapsed="false">
      <c r="A997" s="1" t="n">
        <f aca="false">1+A996</f>
        <v>996</v>
      </c>
      <c r="B997" s="1" t="n">
        <v>1.51062</v>
      </c>
    </row>
    <row r="998" customFormat="false" ht="13.8" hidden="false" customHeight="false" outlineLevel="0" collapsed="false">
      <c r="A998" s="1" t="n">
        <f aca="false">1+A997</f>
        <v>997</v>
      </c>
      <c r="B998" s="1" t="n">
        <v>1.48954</v>
      </c>
    </row>
    <row r="999" customFormat="false" ht="13.8" hidden="false" customHeight="false" outlineLevel="0" collapsed="false">
      <c r="A999" s="1" t="n">
        <f aca="false">1+A998</f>
        <v>998</v>
      </c>
      <c r="B999" s="1" t="n">
        <v>1.48372</v>
      </c>
    </row>
    <row r="1000" customFormat="false" ht="13.8" hidden="false" customHeight="false" outlineLevel="0" collapsed="false">
      <c r="A1000" s="1" t="n">
        <f aca="false">1+A999</f>
        <v>999</v>
      </c>
      <c r="B1000" s="1" t="n">
        <v>1.47634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6" min="1" style="1" width="12.15"/>
    <col collapsed="false" customWidth="true" hidden="false" outlineLevel="0" max="7" min="7" style="1" width="11.43"/>
  </cols>
  <sheetData>
    <row r="1" customFormat="false" ht="13.8" hidden="false" customHeight="false" outlineLevel="0" collapsed="false">
      <c r="A1" s="1" t="s">
        <v>64</v>
      </c>
      <c r="B1" s="1" t="s">
        <v>65</v>
      </c>
      <c r="C1" s="1" t="s">
        <v>66</v>
      </c>
      <c r="D1" s="1" t="s">
        <v>67</v>
      </c>
      <c r="E1" s="1" t="s">
        <v>68</v>
      </c>
      <c r="F1" s="1" t="s">
        <v>69</v>
      </c>
    </row>
    <row r="2" customFormat="false" ht="13.8" hidden="false" customHeight="false" outlineLevel="0" collapsed="false">
      <c r="A2" s="1" t="n">
        <v>0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</row>
    <row r="3" customFormat="false" ht="13.8" hidden="false" customHeight="false" outlineLevel="0" collapsed="false">
      <c r="A3" s="1" t="n">
        <f aca="false">MOD(A2+1,9)</f>
        <v>1</v>
      </c>
      <c r="B3" s="1" t="n">
        <f aca="false">MOD(B2+2,9)</f>
        <v>2</v>
      </c>
      <c r="C3" s="1" t="n">
        <f aca="false">MOD(C2+4,9)</f>
        <v>4</v>
      </c>
      <c r="D3" s="1" t="n">
        <f aca="false">MOD(D2+5,9)</f>
        <v>5</v>
      </c>
      <c r="E3" s="1" t="n">
        <f aca="false">MOD(E2+7,9)</f>
        <v>7</v>
      </c>
      <c r="F3" s="1" t="n">
        <f aca="false">MOD(F2+8,9)</f>
        <v>8</v>
      </c>
    </row>
    <row r="4" customFormat="false" ht="13.8" hidden="false" customHeight="false" outlineLevel="0" collapsed="false">
      <c r="A4" s="1" t="n">
        <f aca="false">MOD(A3+1,9)</f>
        <v>2</v>
      </c>
      <c r="B4" s="1" t="n">
        <f aca="false">MOD(B3+2,9)</f>
        <v>4</v>
      </c>
      <c r="C4" s="1" t="n">
        <f aca="false">MOD(C3+4,9)</f>
        <v>8</v>
      </c>
      <c r="D4" s="1" t="n">
        <f aca="false">MOD(D3+5,9)</f>
        <v>1</v>
      </c>
      <c r="E4" s="1" t="n">
        <f aca="false">MOD(E3+7,9)</f>
        <v>5</v>
      </c>
      <c r="F4" s="1" t="n">
        <f aca="false">MOD(F3+8,9)</f>
        <v>7</v>
      </c>
    </row>
    <row r="5" customFormat="false" ht="13.8" hidden="false" customHeight="false" outlineLevel="0" collapsed="false">
      <c r="A5" s="1" t="n">
        <f aca="false">MOD(A4+1,9)</f>
        <v>3</v>
      </c>
      <c r="B5" s="1" t="n">
        <f aca="false">MOD(B4+2,9)</f>
        <v>6</v>
      </c>
      <c r="C5" s="1" t="n">
        <f aca="false">MOD(C4+4,9)</f>
        <v>3</v>
      </c>
      <c r="D5" s="1" t="n">
        <f aca="false">MOD(D4+5,9)</f>
        <v>6</v>
      </c>
      <c r="E5" s="1" t="n">
        <f aca="false">MOD(E4+7,9)</f>
        <v>3</v>
      </c>
      <c r="F5" s="1" t="n">
        <f aca="false">MOD(F4+8,9)</f>
        <v>6</v>
      </c>
    </row>
    <row r="6" customFormat="false" ht="13.8" hidden="false" customHeight="false" outlineLevel="0" collapsed="false">
      <c r="A6" s="1" t="n">
        <f aca="false">MOD(A5+1,9)</f>
        <v>4</v>
      </c>
      <c r="B6" s="1" t="n">
        <f aca="false">MOD(B5+2,9)</f>
        <v>8</v>
      </c>
      <c r="C6" s="1" t="n">
        <f aca="false">MOD(C5+4,9)</f>
        <v>7</v>
      </c>
      <c r="D6" s="1" t="n">
        <f aca="false">MOD(D5+5,9)</f>
        <v>2</v>
      </c>
      <c r="E6" s="1" t="n">
        <f aca="false">MOD(E5+7,9)</f>
        <v>1</v>
      </c>
      <c r="F6" s="1" t="n">
        <f aca="false">MOD(F5+8,9)</f>
        <v>5</v>
      </c>
    </row>
    <row r="7" customFormat="false" ht="13.8" hidden="false" customHeight="false" outlineLevel="0" collapsed="false">
      <c r="A7" s="1" t="n">
        <f aca="false">MOD(A6+1,9)</f>
        <v>5</v>
      </c>
      <c r="B7" s="1" t="n">
        <f aca="false">MOD(B6+2,9)</f>
        <v>1</v>
      </c>
      <c r="C7" s="1" t="n">
        <f aca="false">MOD(C6+4,9)</f>
        <v>2</v>
      </c>
      <c r="D7" s="1" t="n">
        <f aca="false">MOD(D6+5,9)</f>
        <v>7</v>
      </c>
      <c r="E7" s="1" t="n">
        <f aca="false">MOD(E6+7,9)</f>
        <v>8</v>
      </c>
      <c r="F7" s="1" t="n">
        <f aca="false">MOD(F6+8,9)</f>
        <v>4</v>
      </c>
    </row>
    <row r="8" customFormat="false" ht="13.8" hidden="false" customHeight="false" outlineLevel="0" collapsed="false">
      <c r="A8" s="1" t="n">
        <f aca="false">MOD(A7+1,9)</f>
        <v>6</v>
      </c>
      <c r="B8" s="1" t="n">
        <f aca="false">MOD(B7+2,9)</f>
        <v>3</v>
      </c>
      <c r="C8" s="1" t="n">
        <f aca="false">MOD(C7+4,9)</f>
        <v>6</v>
      </c>
      <c r="D8" s="1" t="n">
        <f aca="false">MOD(D7+5,9)</f>
        <v>3</v>
      </c>
      <c r="E8" s="1" t="n">
        <f aca="false">MOD(E7+7,9)</f>
        <v>6</v>
      </c>
      <c r="F8" s="1" t="n">
        <f aca="false">MOD(F7+8,9)</f>
        <v>3</v>
      </c>
    </row>
    <row r="9" customFormat="false" ht="13.8" hidden="false" customHeight="false" outlineLevel="0" collapsed="false">
      <c r="A9" s="1" t="n">
        <f aca="false">MOD(A8+1,9)</f>
        <v>7</v>
      </c>
      <c r="B9" s="1" t="n">
        <f aca="false">MOD(B8+2,9)</f>
        <v>5</v>
      </c>
      <c r="C9" s="1" t="n">
        <f aca="false">MOD(C8+4,9)</f>
        <v>1</v>
      </c>
      <c r="D9" s="1" t="n">
        <f aca="false">MOD(D8+5,9)</f>
        <v>8</v>
      </c>
      <c r="E9" s="1" t="n">
        <f aca="false">MOD(E8+7,9)</f>
        <v>4</v>
      </c>
      <c r="F9" s="1" t="n">
        <f aca="false">MOD(F8+8,9)</f>
        <v>2</v>
      </c>
    </row>
    <row r="10" customFormat="false" ht="13.8" hidden="false" customHeight="false" outlineLevel="0" collapsed="false">
      <c r="A10" s="1" t="n">
        <f aca="false">MOD(A9+1,9)</f>
        <v>8</v>
      </c>
      <c r="B10" s="1" t="n">
        <f aca="false">MOD(B9+2,9)</f>
        <v>7</v>
      </c>
      <c r="C10" s="1" t="n">
        <f aca="false">MOD(C9+4,9)</f>
        <v>5</v>
      </c>
      <c r="D10" s="1" t="n">
        <f aca="false">MOD(D9+5,9)</f>
        <v>4</v>
      </c>
      <c r="E10" s="1" t="n">
        <f aca="false">MOD(E9+7,9)</f>
        <v>2</v>
      </c>
      <c r="F10" s="1" t="n">
        <f aca="false">MOD(F9+8,9)</f>
        <v>1</v>
      </c>
    </row>
    <row r="11" customFormat="false" ht="13.8" hidden="false" customHeight="false" outlineLevel="0" collapsed="false">
      <c r="A11" s="1" t="n">
        <f aca="false">MOD(A10+1,9)</f>
        <v>0</v>
      </c>
      <c r="B11" s="1" t="n">
        <f aca="false">MOD(B10+2,9)</f>
        <v>0</v>
      </c>
      <c r="C11" s="1" t="n">
        <f aca="false">MOD(C10+4,9)</f>
        <v>0</v>
      </c>
      <c r="D11" s="1" t="n">
        <f aca="false">MOD(D10+5,9)</f>
        <v>0</v>
      </c>
      <c r="E11" s="1" t="n">
        <f aca="false">MOD(E10+7,9)</f>
        <v>0</v>
      </c>
      <c r="F11" s="1" t="n">
        <f aca="false">MOD(F10+8,9)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20" min="1" style="1" width="12.15"/>
    <col collapsed="false" customWidth="true" hidden="false" outlineLevel="0" max="21" min="21" style="1" width="11.43"/>
  </cols>
  <sheetData>
    <row r="1" customFormat="false" ht="13.8" hidden="false" customHeight="false" outlineLevel="0" collapsed="false">
      <c r="A1" s="1" t="s">
        <v>70</v>
      </c>
      <c r="B1" s="1" t="s">
        <v>7</v>
      </c>
      <c r="D1" s="1" t="s">
        <v>70</v>
      </c>
      <c r="E1" s="1" t="s">
        <v>7</v>
      </c>
      <c r="G1" s="1" t="s">
        <v>70</v>
      </c>
      <c r="H1" s="1" t="s">
        <v>7</v>
      </c>
      <c r="J1" s="1" t="s">
        <v>70</v>
      </c>
      <c r="K1" s="1" t="s">
        <v>7</v>
      </c>
      <c r="M1" s="1" t="s">
        <v>70</v>
      </c>
      <c r="N1" s="1" t="s">
        <v>7</v>
      </c>
      <c r="P1" s="1" t="s">
        <v>70</v>
      </c>
      <c r="Q1" s="1" t="s">
        <v>7</v>
      </c>
      <c r="S1" s="1" t="s">
        <v>70</v>
      </c>
      <c r="T1" s="1" t="s">
        <v>7</v>
      </c>
    </row>
    <row r="2" customFormat="false" ht="13.8" hidden="false" customHeight="false" outlineLevel="0" collapsed="false">
      <c r="A2" s="1" t="s">
        <v>10</v>
      </c>
      <c r="B2" s="1" t="n">
        <v>20.6074</v>
      </c>
      <c r="D2" s="1" t="s">
        <v>10</v>
      </c>
      <c r="E2" s="1" t="n">
        <v>20.4728</v>
      </c>
      <c r="G2" s="1" t="s">
        <v>10</v>
      </c>
      <c r="H2" s="1" t="n">
        <v>20.5513</v>
      </c>
      <c r="J2" s="1" t="s">
        <v>10</v>
      </c>
      <c r="K2" s="1" t="n">
        <v>20.5345</v>
      </c>
      <c r="M2" s="1" t="s">
        <v>10</v>
      </c>
      <c r="N2" s="1" t="n">
        <v>20.6947</v>
      </c>
      <c r="P2" s="1" t="s">
        <v>10</v>
      </c>
      <c r="Q2" s="1" t="n">
        <v>20.5765</v>
      </c>
      <c r="S2" s="1" t="s">
        <v>71</v>
      </c>
      <c r="T2" s="1" t="s">
        <v>72</v>
      </c>
    </row>
    <row r="3" customFormat="false" ht="13.8" hidden="false" customHeight="false" outlineLevel="0" collapsed="false">
      <c r="A3" s="1" t="s">
        <v>39</v>
      </c>
      <c r="B3" s="1" t="n">
        <v>20.3151</v>
      </c>
      <c r="D3" s="1" t="s">
        <v>39</v>
      </c>
      <c r="E3" s="1" t="n">
        <v>20.4996</v>
      </c>
      <c r="G3" s="1" t="s">
        <v>39</v>
      </c>
      <c r="H3" s="1" t="n">
        <v>20.5285</v>
      </c>
      <c r="J3" s="1" t="s">
        <v>39</v>
      </c>
      <c r="K3" s="1" t="n">
        <v>20.5534</v>
      </c>
      <c r="M3" s="1" t="s">
        <v>39</v>
      </c>
      <c r="N3" s="1" t="n">
        <v>20.6887</v>
      </c>
      <c r="P3" s="1" t="s">
        <v>39</v>
      </c>
      <c r="Q3" s="1" t="n">
        <v>20.5709</v>
      </c>
      <c r="S3" s="1" t="n">
        <v>29</v>
      </c>
      <c r="T3" s="1" t="n">
        <v>953</v>
      </c>
    </row>
    <row r="4" customFormat="false" ht="13.8" hidden="false" customHeight="false" outlineLevel="0" collapsed="false">
      <c r="A4" s="1" t="s">
        <v>73</v>
      </c>
      <c r="B4" s="1" t="n">
        <v>20.3089</v>
      </c>
      <c r="D4" s="1" t="s">
        <v>73</v>
      </c>
      <c r="E4" s="1" t="n">
        <v>20.5329</v>
      </c>
      <c r="G4" s="1" t="s">
        <v>73</v>
      </c>
      <c r="H4" s="1" t="n">
        <v>20.5415</v>
      </c>
      <c r="J4" s="1" t="s">
        <v>73</v>
      </c>
      <c r="K4" s="1" t="n">
        <v>20.5395</v>
      </c>
      <c r="M4" s="1" t="s">
        <v>73</v>
      </c>
      <c r="N4" s="1" t="n">
        <v>20.6913</v>
      </c>
      <c r="P4" s="1" t="s">
        <v>73</v>
      </c>
      <c r="Q4" s="1" t="n">
        <v>20.5652</v>
      </c>
      <c r="S4" s="1" t="n">
        <v>8</v>
      </c>
      <c r="T4" s="1" t="n">
        <v>72429</v>
      </c>
    </row>
    <row r="5" customFormat="false" ht="13.8" hidden="false" customHeight="false" outlineLevel="0" collapsed="false">
      <c r="A5" s="1" t="s">
        <v>74</v>
      </c>
      <c r="B5" s="1" t="n">
        <v>20.4035</v>
      </c>
      <c r="D5" s="1" t="s">
        <v>74</v>
      </c>
      <c r="E5" s="1" t="n">
        <v>20.5961</v>
      </c>
      <c r="G5" s="1" t="s">
        <v>74</v>
      </c>
      <c r="H5" s="1" t="n">
        <v>20.5345</v>
      </c>
      <c r="J5" s="1" t="s">
        <v>74</v>
      </c>
      <c r="K5" s="1" t="n">
        <v>20.5289</v>
      </c>
      <c r="M5" s="1" t="s">
        <v>74</v>
      </c>
      <c r="N5" s="1" t="n">
        <v>20.695</v>
      </c>
      <c r="P5" s="1" t="s">
        <v>74</v>
      </c>
      <c r="Q5" s="1" t="n">
        <v>20.5578</v>
      </c>
      <c r="S5" s="1" t="n">
        <v>7</v>
      </c>
      <c r="T5" s="1" t="n">
        <v>86689</v>
      </c>
    </row>
    <row r="6" customFormat="false" ht="13.8" hidden="false" customHeight="false" outlineLevel="0" collapsed="false">
      <c r="A6" s="1" t="s">
        <v>75</v>
      </c>
      <c r="B6" s="1" t="n">
        <v>20.4954</v>
      </c>
      <c r="D6" s="1" t="s">
        <v>75</v>
      </c>
      <c r="E6" s="1" t="n">
        <v>20.3458</v>
      </c>
      <c r="G6" s="1" t="s">
        <v>75</v>
      </c>
      <c r="H6" s="1" t="n">
        <v>20.5383</v>
      </c>
      <c r="J6" s="1" t="s">
        <v>75</v>
      </c>
      <c r="K6" s="1" t="n">
        <v>20.5324</v>
      </c>
      <c r="M6" s="1" t="s">
        <v>75</v>
      </c>
      <c r="N6" s="1" t="n">
        <v>20.7009</v>
      </c>
      <c r="P6" s="1" t="s">
        <v>75</v>
      </c>
      <c r="Q6" s="1" t="n">
        <v>20.5519</v>
      </c>
      <c r="S6" s="1" t="n">
        <v>6</v>
      </c>
      <c r="T6" s="1" t="n">
        <v>4425</v>
      </c>
    </row>
    <row r="7" customFormat="false" ht="13.8" hidden="false" customHeight="false" outlineLevel="0" collapsed="false">
      <c r="A7" s="1" t="s">
        <v>76</v>
      </c>
      <c r="B7" s="1" t="n">
        <v>20.5378</v>
      </c>
      <c r="D7" s="1" t="s">
        <v>76</v>
      </c>
      <c r="E7" s="1" t="n">
        <v>20.3316</v>
      </c>
      <c r="G7" s="1" t="s">
        <v>76</v>
      </c>
      <c r="H7" s="1" t="n">
        <v>20.5221</v>
      </c>
      <c r="J7" s="1" t="s">
        <v>76</v>
      </c>
      <c r="K7" s="1" t="n">
        <v>20.5323</v>
      </c>
      <c r="M7" s="1" t="s">
        <v>76</v>
      </c>
      <c r="N7" s="1" t="n">
        <v>20.6907</v>
      </c>
      <c r="P7" s="1" t="s">
        <v>76</v>
      </c>
      <c r="Q7" s="1" t="n">
        <v>20.5558</v>
      </c>
      <c r="S7" s="1" t="n">
        <v>4</v>
      </c>
      <c r="T7" s="1" t="n">
        <v>81779</v>
      </c>
    </row>
    <row r="8" customFormat="false" ht="13.8" hidden="false" customHeight="false" outlineLevel="0" collapsed="false">
      <c r="A8" s="1" t="s">
        <v>77</v>
      </c>
      <c r="B8" s="1" t="n">
        <v>20.5643</v>
      </c>
      <c r="D8" s="1" t="s">
        <v>77</v>
      </c>
      <c r="E8" s="1" t="n">
        <v>20.3618</v>
      </c>
      <c r="G8" s="1" t="s">
        <v>77</v>
      </c>
      <c r="H8" s="1" t="n">
        <v>20.5093</v>
      </c>
      <c r="J8" s="1" t="s">
        <v>77</v>
      </c>
      <c r="K8" s="1" t="n">
        <v>20.5265</v>
      </c>
      <c r="M8" s="1" t="s">
        <v>77</v>
      </c>
      <c r="N8" s="1" t="n">
        <v>20.6933</v>
      </c>
      <c r="P8" s="1" t="s">
        <v>77</v>
      </c>
      <c r="Q8" s="1" t="n">
        <v>20.5548</v>
      </c>
      <c r="S8" s="1" t="n">
        <v>3</v>
      </c>
      <c r="T8" s="1" t="n">
        <v>67336</v>
      </c>
    </row>
    <row r="9" customFormat="false" ht="13.8" hidden="false" customHeight="false" outlineLevel="0" collapsed="false">
      <c r="A9" s="1" t="s">
        <v>78</v>
      </c>
      <c r="B9" s="1" t="n">
        <v>20.5703</v>
      </c>
      <c r="D9" s="1" t="s">
        <v>78</v>
      </c>
      <c r="E9" s="1" t="n">
        <v>20.4336</v>
      </c>
      <c r="G9" s="1" t="s">
        <v>78</v>
      </c>
      <c r="H9" s="1" t="n">
        <v>20.505</v>
      </c>
      <c r="J9" s="1" t="s">
        <v>78</v>
      </c>
      <c r="K9" s="1" t="n">
        <v>20.5365</v>
      </c>
      <c r="M9" s="1" t="s">
        <v>78</v>
      </c>
      <c r="N9" s="1" t="n">
        <v>20.683</v>
      </c>
      <c r="P9" s="1" t="s">
        <v>78</v>
      </c>
      <c r="Q9" s="1" t="n">
        <v>20.5499</v>
      </c>
      <c r="S9" s="1" t="n">
        <v>3</v>
      </c>
      <c r="T9" s="1" t="n">
        <v>359</v>
      </c>
    </row>
    <row r="10" customFormat="false" ht="13.8" hidden="false" customHeight="false" outlineLevel="0" collapsed="false">
      <c r="A10" s="1" t="s">
        <v>79</v>
      </c>
      <c r="B10" s="1" t="n">
        <v>20.5566</v>
      </c>
      <c r="D10" s="1" t="s">
        <v>79</v>
      </c>
      <c r="E10" s="1" t="n">
        <v>20.4421</v>
      </c>
      <c r="G10" s="1" t="s">
        <v>79</v>
      </c>
      <c r="H10" s="1" t="n">
        <v>20.5355</v>
      </c>
      <c r="J10" s="1" t="s">
        <v>79</v>
      </c>
      <c r="K10" s="1" t="n">
        <v>20.5259</v>
      </c>
      <c r="M10" s="1" t="s">
        <v>79</v>
      </c>
      <c r="N10" s="1" t="n">
        <v>20.6757</v>
      </c>
      <c r="P10" s="1" t="s">
        <v>79</v>
      </c>
      <c r="Q10" s="1" t="n">
        <v>20.566</v>
      </c>
      <c r="S10" s="1" t="n">
        <v>2</v>
      </c>
      <c r="T10" s="1" t="n">
        <v>50979</v>
      </c>
    </row>
    <row r="11" customFormat="false" ht="13.8" hidden="false" customHeight="false" outlineLevel="0" collapsed="false">
      <c r="A11" s="1" t="s">
        <v>16</v>
      </c>
      <c r="B11" s="1" t="n">
        <v>15.8709</v>
      </c>
      <c r="D11" s="1" t="s">
        <v>16</v>
      </c>
      <c r="E11" s="1" t="n">
        <v>15.6986</v>
      </c>
      <c r="G11" s="1" t="s">
        <v>16</v>
      </c>
      <c r="H11" s="1" t="n">
        <v>15.9127</v>
      </c>
      <c r="J11" s="1" t="s">
        <v>16</v>
      </c>
      <c r="K11" s="1" t="n">
        <v>15.8358</v>
      </c>
      <c r="M11" s="1" t="s">
        <v>16</v>
      </c>
      <c r="N11" s="1" t="n">
        <v>16.2072</v>
      </c>
      <c r="P11" s="1" t="s">
        <v>16</v>
      </c>
      <c r="Q11" s="1" t="n">
        <v>15.8492</v>
      </c>
      <c r="S11" s="1" t="n">
        <v>2</v>
      </c>
      <c r="T11" s="1" t="n">
        <v>2262</v>
      </c>
    </row>
    <row r="12" customFormat="false" ht="13.8" hidden="false" customHeight="false" outlineLevel="0" collapsed="false">
      <c r="A12" s="1" t="s">
        <v>48</v>
      </c>
      <c r="B12" s="1" t="n">
        <v>15.7133</v>
      </c>
      <c r="D12" s="1" t="s">
        <v>48</v>
      </c>
      <c r="E12" s="1" t="n">
        <v>15.7243</v>
      </c>
      <c r="G12" s="1" t="s">
        <v>48</v>
      </c>
      <c r="H12" s="1" t="n">
        <v>15.8876</v>
      </c>
      <c r="J12" s="1" t="s">
        <v>48</v>
      </c>
      <c r="K12" s="1" t="n">
        <v>15.8545</v>
      </c>
      <c r="M12" s="1" t="s">
        <v>48</v>
      </c>
      <c r="N12" s="1" t="n">
        <v>16.1982</v>
      </c>
      <c r="P12" s="1" t="s">
        <v>48</v>
      </c>
      <c r="Q12" s="1" t="n">
        <v>15.8453</v>
      </c>
      <c r="S12" s="1" t="n">
        <v>1</v>
      </c>
      <c r="T12" s="1" t="n">
        <v>60151</v>
      </c>
    </row>
    <row r="13" customFormat="false" ht="13.8" hidden="false" customHeight="false" outlineLevel="0" collapsed="false">
      <c r="A13" s="1" t="s">
        <v>80</v>
      </c>
      <c r="B13" s="1" t="n">
        <v>15.6468</v>
      </c>
      <c r="D13" s="1" t="s">
        <v>80</v>
      </c>
      <c r="E13" s="1" t="n">
        <v>15.7506</v>
      </c>
      <c r="G13" s="1" t="s">
        <v>80</v>
      </c>
      <c r="H13" s="1" t="n">
        <v>15.8964</v>
      </c>
      <c r="J13" s="1" t="s">
        <v>80</v>
      </c>
      <c r="K13" s="1" t="n">
        <v>15.8281</v>
      </c>
      <c r="M13" s="1" t="s">
        <v>80</v>
      </c>
      <c r="N13" s="1" t="n">
        <v>16.2091</v>
      </c>
      <c r="P13" s="1" t="s">
        <v>80</v>
      </c>
      <c r="Q13" s="1" t="n">
        <v>15.8397</v>
      </c>
      <c r="S13" s="1" t="n">
        <v>1</v>
      </c>
      <c r="T13" s="1" t="n">
        <v>21577</v>
      </c>
    </row>
    <row r="14" customFormat="false" ht="13.8" hidden="false" customHeight="false" outlineLevel="0" collapsed="false">
      <c r="A14" s="1" t="s">
        <v>81</v>
      </c>
      <c r="B14" s="1" t="n">
        <v>15.698</v>
      </c>
      <c r="D14" s="1" t="s">
        <v>81</v>
      </c>
      <c r="E14" s="1" t="n">
        <v>15.7805</v>
      </c>
      <c r="G14" s="1" t="s">
        <v>81</v>
      </c>
      <c r="H14" s="1" t="n">
        <v>15.8996</v>
      </c>
      <c r="J14" s="1" t="s">
        <v>81</v>
      </c>
      <c r="K14" s="1" t="n">
        <v>15.8272</v>
      </c>
      <c r="M14" s="1" t="s">
        <v>81</v>
      </c>
      <c r="N14" s="1" t="n">
        <v>16.204</v>
      </c>
      <c r="P14" s="1" t="s">
        <v>81</v>
      </c>
      <c r="Q14" s="1" t="n">
        <v>15.8322</v>
      </c>
      <c r="S14" s="1" t="n">
        <v>0</v>
      </c>
      <c r="T14" s="1" t="n">
        <v>903612</v>
      </c>
    </row>
    <row r="15" customFormat="false" ht="13.8" hidden="false" customHeight="false" outlineLevel="0" collapsed="false">
      <c r="A15" s="1" t="s">
        <v>82</v>
      </c>
      <c r="B15" s="1" t="n">
        <v>15.7601</v>
      </c>
      <c r="D15" s="1" t="s">
        <v>82</v>
      </c>
      <c r="E15" s="1" t="n">
        <v>15.6661</v>
      </c>
      <c r="G15" s="1" t="s">
        <v>82</v>
      </c>
      <c r="H15" s="1" t="n">
        <v>15.8894</v>
      </c>
      <c r="J15" s="1" t="s">
        <v>82</v>
      </c>
      <c r="K15" s="1" t="n">
        <v>15.8308</v>
      </c>
      <c r="M15" s="1" t="s">
        <v>82</v>
      </c>
      <c r="N15" s="1" t="n">
        <v>16.2029</v>
      </c>
      <c r="P15" s="1" t="s">
        <v>82</v>
      </c>
      <c r="Q15" s="1" t="n">
        <v>15.8232</v>
      </c>
      <c r="S15" s="1" t="n">
        <v>0</v>
      </c>
      <c r="T15" s="1" t="n">
        <v>635683</v>
      </c>
    </row>
    <row r="16" customFormat="false" ht="13.8" hidden="false" customHeight="false" outlineLevel="0" collapsed="false">
      <c r="A16" s="1" t="s">
        <v>83</v>
      </c>
      <c r="B16" s="1" t="n">
        <v>15.7911</v>
      </c>
      <c r="D16" s="1" t="s">
        <v>83</v>
      </c>
      <c r="E16" s="1" t="n">
        <v>15.6451</v>
      </c>
      <c r="G16" s="1" t="s">
        <v>83</v>
      </c>
      <c r="H16" s="1" t="n">
        <v>15.8737</v>
      </c>
      <c r="J16" s="1" t="s">
        <v>83</v>
      </c>
      <c r="K16" s="1" t="n">
        <v>15.8306</v>
      </c>
      <c r="M16" s="1" t="s">
        <v>83</v>
      </c>
      <c r="N16" s="1" t="n">
        <v>16.191</v>
      </c>
      <c r="P16" s="1" t="s">
        <v>83</v>
      </c>
      <c r="Q16" s="1" t="n">
        <v>15.8415</v>
      </c>
      <c r="S16" s="1" t="n">
        <v>0</v>
      </c>
      <c r="T16" s="1" t="n">
        <v>435215</v>
      </c>
    </row>
    <row r="17" customFormat="false" ht="13.8" hidden="false" customHeight="false" outlineLevel="0" collapsed="false">
      <c r="A17" s="1" t="s">
        <v>84</v>
      </c>
      <c r="B17" s="1" t="n">
        <v>15.8124</v>
      </c>
      <c r="D17" s="1" t="s">
        <v>84</v>
      </c>
      <c r="E17" s="1" t="n">
        <v>15.6746</v>
      </c>
      <c r="G17" s="1" t="s">
        <v>84</v>
      </c>
      <c r="H17" s="1" t="n">
        <v>15.8809</v>
      </c>
      <c r="J17" s="1" t="s">
        <v>84</v>
      </c>
      <c r="K17" s="1" t="n">
        <v>15.8175</v>
      </c>
      <c r="M17" s="1" t="s">
        <v>84</v>
      </c>
      <c r="N17" s="1" t="n">
        <v>16.1925</v>
      </c>
      <c r="P17" s="1" t="s">
        <v>84</v>
      </c>
      <c r="Q17" s="1" t="n">
        <v>15.8404</v>
      </c>
      <c r="S17" s="1" t="n">
        <v>0</v>
      </c>
      <c r="T17" s="1" t="n">
        <v>285229</v>
      </c>
    </row>
    <row r="18" customFormat="false" ht="13.8" hidden="false" customHeight="false" outlineLevel="0" collapsed="false">
      <c r="A18" s="1" t="s">
        <v>85</v>
      </c>
      <c r="B18" s="1" t="n">
        <v>15.8203</v>
      </c>
      <c r="D18" s="1" t="s">
        <v>85</v>
      </c>
      <c r="E18" s="1" t="n">
        <v>15.7081</v>
      </c>
      <c r="G18" s="1" t="s">
        <v>85</v>
      </c>
      <c r="H18" s="1" t="n">
        <v>15.8691</v>
      </c>
      <c r="J18" s="1" t="s">
        <v>85</v>
      </c>
      <c r="K18" s="1" t="n">
        <v>15.8198</v>
      </c>
      <c r="M18" s="1" t="s">
        <v>85</v>
      </c>
      <c r="N18" s="1" t="n">
        <v>16.1818</v>
      </c>
      <c r="P18" s="1" t="s">
        <v>85</v>
      </c>
      <c r="Q18" s="1" t="n">
        <v>15.8283</v>
      </c>
      <c r="S18" s="1" t="n">
        <v>0</v>
      </c>
      <c r="T18" s="1" t="n">
        <v>183436</v>
      </c>
    </row>
    <row r="19" customFormat="false" ht="13.8" hidden="false" customHeight="false" outlineLevel="0" collapsed="false">
      <c r="A19" s="1" t="s">
        <v>86</v>
      </c>
      <c r="B19" s="1" t="n">
        <v>15.8043</v>
      </c>
      <c r="D19" s="1" t="s">
        <v>86</v>
      </c>
      <c r="E19" s="1" t="n">
        <v>15.6654</v>
      </c>
      <c r="G19" s="1" t="s">
        <v>86</v>
      </c>
      <c r="H19" s="1" t="n">
        <v>15.9046</v>
      </c>
      <c r="J19" s="1" t="s">
        <v>86</v>
      </c>
      <c r="K19" s="1" t="n">
        <v>15.8232</v>
      </c>
      <c r="M19" s="1" t="s">
        <v>86</v>
      </c>
      <c r="N19" s="1" t="n">
        <v>16.1841</v>
      </c>
      <c r="P19" s="1" t="s">
        <v>86</v>
      </c>
      <c r="Q19" s="1" t="n">
        <v>15.8433</v>
      </c>
      <c r="S19" s="1" t="n">
        <v>0</v>
      </c>
      <c r="T19" s="1" t="n">
        <v>113866</v>
      </c>
    </row>
    <row r="20" customFormat="false" ht="13.8" hidden="false" customHeight="false" outlineLevel="0" collapsed="false">
      <c r="A20" s="1" t="s">
        <v>29</v>
      </c>
      <c r="B20" s="1" t="n">
        <v>40.412</v>
      </c>
      <c r="D20" s="1" t="s">
        <v>29</v>
      </c>
      <c r="E20" s="1" t="n">
        <v>39.9559</v>
      </c>
      <c r="G20" s="1" t="s">
        <v>29</v>
      </c>
      <c r="H20" s="1" t="n">
        <v>40.0338</v>
      </c>
      <c r="J20" s="1" t="s">
        <v>29</v>
      </c>
      <c r="K20" s="1" t="n">
        <v>40.2889</v>
      </c>
      <c r="M20" s="1" t="s">
        <v>29</v>
      </c>
      <c r="N20" s="1" t="n">
        <v>40.2363</v>
      </c>
      <c r="P20" s="1" t="s">
        <v>29</v>
      </c>
      <c r="Q20" s="1" t="n">
        <v>39.8974</v>
      </c>
      <c r="S20" s="1" t="n">
        <v>0</v>
      </c>
      <c r="T20" s="1" t="n">
        <v>704296</v>
      </c>
    </row>
    <row r="21" customFormat="false" ht="13.8" hidden="false" customHeight="false" outlineLevel="0" collapsed="false">
      <c r="A21" s="1" t="s">
        <v>49</v>
      </c>
      <c r="B21" s="1" t="n">
        <v>39.6074</v>
      </c>
      <c r="D21" s="1" t="s">
        <v>49</v>
      </c>
      <c r="E21" s="1" t="n">
        <v>40.0908</v>
      </c>
      <c r="G21" s="1" t="s">
        <v>49</v>
      </c>
      <c r="H21" s="1" t="n">
        <v>40.0294</v>
      </c>
      <c r="J21" s="1" t="s">
        <v>49</v>
      </c>
      <c r="K21" s="1" t="n">
        <v>40.3128</v>
      </c>
      <c r="M21" s="1" t="s">
        <v>49</v>
      </c>
      <c r="N21" s="1" t="n">
        <v>40.2609</v>
      </c>
      <c r="P21" s="1" t="s">
        <v>49</v>
      </c>
      <c r="Q21" s="1" t="n">
        <v>39.8882</v>
      </c>
      <c r="S21" s="1" t="n">
        <v>0</v>
      </c>
      <c r="T21" s="1" t="n">
        <v>429779</v>
      </c>
    </row>
    <row r="22" customFormat="false" ht="13.8" hidden="false" customHeight="false" outlineLevel="0" collapsed="false">
      <c r="A22" s="1" t="s">
        <v>87</v>
      </c>
      <c r="B22" s="1" t="n">
        <v>39.5593</v>
      </c>
      <c r="D22" s="1" t="s">
        <v>87</v>
      </c>
      <c r="E22" s="1" t="n">
        <v>40.2104</v>
      </c>
      <c r="G22" s="1" t="s">
        <v>87</v>
      </c>
      <c r="H22" s="1" t="n">
        <v>40.0757</v>
      </c>
      <c r="J22" s="1" t="s">
        <v>87</v>
      </c>
      <c r="K22" s="1" t="n">
        <v>40.3344</v>
      </c>
      <c r="M22" s="1" t="s">
        <v>87</v>
      </c>
      <c r="N22" s="1" t="n">
        <v>40.275</v>
      </c>
      <c r="P22" s="1" t="s">
        <v>87</v>
      </c>
      <c r="Q22" s="1" t="n">
        <v>39.9025</v>
      </c>
      <c r="S22" s="1" t="n">
        <v>0</v>
      </c>
      <c r="T22" s="1" t="n">
        <v>261288</v>
      </c>
    </row>
    <row r="23" customFormat="false" ht="13.8" hidden="false" customHeight="false" outlineLevel="0" collapsed="false">
      <c r="A23" s="1" t="s">
        <v>88</v>
      </c>
      <c r="B23" s="1" t="n">
        <v>39.7716</v>
      </c>
      <c r="D23" s="1" t="s">
        <v>88</v>
      </c>
      <c r="E23" s="1" t="n">
        <v>40.3197</v>
      </c>
      <c r="G23" s="1" t="s">
        <v>88</v>
      </c>
      <c r="H23" s="1" t="n">
        <v>40.0117</v>
      </c>
      <c r="J23" s="1" t="s">
        <v>88</v>
      </c>
      <c r="K23" s="1" t="n">
        <v>40.3112</v>
      </c>
      <c r="M23" s="1" t="s">
        <v>88</v>
      </c>
      <c r="N23" s="1" t="n">
        <v>40.3118</v>
      </c>
      <c r="P23" s="1" t="s">
        <v>88</v>
      </c>
      <c r="Q23" s="1" t="n">
        <v>39.8961</v>
      </c>
      <c r="S23" s="1" t="n">
        <v>0</v>
      </c>
      <c r="T23" s="1" t="n">
        <v>161497</v>
      </c>
    </row>
    <row r="24" customFormat="false" ht="13.8" hidden="false" customHeight="false" outlineLevel="0" collapsed="false">
      <c r="A24" s="1" t="s">
        <v>89</v>
      </c>
      <c r="B24" s="1" t="n">
        <v>39.9787</v>
      </c>
      <c r="D24" s="1" t="s">
        <v>89</v>
      </c>
      <c r="E24" s="1" t="n">
        <v>39.6162</v>
      </c>
      <c r="G24" s="1" t="s">
        <v>89</v>
      </c>
      <c r="H24" s="1" t="n">
        <v>40.0851</v>
      </c>
      <c r="J24" s="1" t="s">
        <v>89</v>
      </c>
      <c r="K24" s="1" t="n">
        <v>40.3323</v>
      </c>
      <c r="M24" s="1" t="s">
        <v>89</v>
      </c>
      <c r="N24" s="1" t="n">
        <v>40.3135</v>
      </c>
      <c r="P24" s="1" t="s">
        <v>89</v>
      </c>
      <c r="Q24" s="1" t="n">
        <v>39.9333</v>
      </c>
      <c r="S24" s="1" t="n">
        <v>0</v>
      </c>
      <c r="T24" s="1" t="n">
        <v>100211</v>
      </c>
    </row>
    <row r="25" customFormat="false" ht="13.8" hidden="false" customHeight="false" outlineLevel="0" collapsed="false">
      <c r="A25" s="1" t="s">
        <v>90</v>
      </c>
      <c r="B25" s="1" t="n">
        <v>40.1512</v>
      </c>
      <c r="D25" s="1" t="s">
        <v>90</v>
      </c>
      <c r="E25" s="1" t="n">
        <v>39.7158</v>
      </c>
      <c r="G25" s="1" t="s">
        <v>90</v>
      </c>
      <c r="H25" s="1" t="n">
        <v>40.078</v>
      </c>
      <c r="J25" s="1" t="s">
        <v>90</v>
      </c>
      <c r="K25" s="1" t="n">
        <v>40.3386</v>
      </c>
      <c r="M25" s="1" t="s">
        <v>90</v>
      </c>
      <c r="N25" s="1" t="n">
        <v>40.3307</v>
      </c>
      <c r="P25" s="1" t="s">
        <v>90</v>
      </c>
      <c r="Q25" s="1" t="n">
        <v>39.8936</v>
      </c>
      <c r="S25" s="1" t="n">
        <v>0</v>
      </c>
      <c r="T25" s="1" t="n">
        <v>630819</v>
      </c>
    </row>
    <row r="26" customFormat="false" ht="13.8" hidden="false" customHeight="false" outlineLevel="0" collapsed="false">
      <c r="A26" s="1" t="s">
        <v>91</v>
      </c>
      <c r="B26" s="1" t="n">
        <v>40.298</v>
      </c>
      <c r="D26" s="1" t="s">
        <v>91</v>
      </c>
      <c r="E26" s="1" t="n">
        <v>39.8215</v>
      </c>
      <c r="G26" s="1" t="s">
        <v>91</v>
      </c>
      <c r="H26" s="1" t="n">
        <v>40.0181</v>
      </c>
      <c r="J26" s="1" t="s">
        <v>91</v>
      </c>
      <c r="K26" s="1" t="n">
        <v>40.37</v>
      </c>
      <c r="M26" s="1" t="s">
        <v>91</v>
      </c>
      <c r="N26" s="1" t="n">
        <v>40.3269</v>
      </c>
      <c r="P26" s="1" t="s">
        <v>91</v>
      </c>
      <c r="Q26" s="1" t="n">
        <v>39.9035</v>
      </c>
      <c r="S26" s="1" t="n">
        <v>0</v>
      </c>
      <c r="T26" s="1" t="n">
        <v>401521</v>
      </c>
    </row>
    <row r="27" customFormat="false" ht="13.8" hidden="false" customHeight="false" outlineLevel="0" collapsed="false">
      <c r="A27" s="1" t="s">
        <v>92</v>
      </c>
      <c r="B27" s="1" t="n">
        <v>40.3822</v>
      </c>
      <c r="D27" s="1" t="s">
        <v>92</v>
      </c>
      <c r="E27" s="1" t="n">
        <v>40.0615</v>
      </c>
      <c r="G27" s="1" t="s">
        <v>92</v>
      </c>
      <c r="H27" s="1" t="n">
        <v>40.0667</v>
      </c>
      <c r="J27" s="1" t="s">
        <v>92</v>
      </c>
      <c r="K27" s="1" t="n">
        <v>40.4199</v>
      </c>
      <c r="M27" s="1" t="s">
        <v>92</v>
      </c>
      <c r="N27" s="1" t="n">
        <v>40.3477</v>
      </c>
      <c r="P27" s="1" t="s">
        <v>92</v>
      </c>
      <c r="Q27" s="1" t="n">
        <v>39.9299</v>
      </c>
      <c r="S27" s="1" t="n">
        <v>0</v>
      </c>
      <c r="T27" s="1" t="n">
        <v>259123</v>
      </c>
    </row>
    <row r="28" customFormat="false" ht="13.8" hidden="false" customHeight="false" outlineLevel="0" collapsed="false">
      <c r="A28" s="1" t="s">
        <v>93</v>
      </c>
      <c r="B28" s="1" t="n">
        <v>40.4578</v>
      </c>
      <c r="D28" s="1" t="s">
        <v>93</v>
      </c>
      <c r="E28" s="1" t="n">
        <v>39.947</v>
      </c>
      <c r="G28" s="1" t="s">
        <v>93</v>
      </c>
      <c r="H28" s="1" t="n">
        <v>40.091</v>
      </c>
      <c r="J28" s="1" t="s">
        <v>93</v>
      </c>
      <c r="K28" s="1" t="n">
        <v>40.379</v>
      </c>
      <c r="M28" s="1" t="s">
        <v>93</v>
      </c>
      <c r="N28" s="1" t="n">
        <v>40.3539</v>
      </c>
      <c r="P28" s="1" t="s">
        <v>93</v>
      </c>
      <c r="Q28" s="1" t="n">
        <v>39.9671</v>
      </c>
      <c r="S28" s="1" t="n">
        <v>0</v>
      </c>
      <c r="T28" s="1" t="n">
        <v>170056</v>
      </c>
    </row>
    <row r="29" customFormat="false" ht="13.8" hidden="false" customHeight="false" outlineLevel="0" collapsed="false">
      <c r="A29" s="1" t="s">
        <v>33</v>
      </c>
      <c r="B29" s="1" t="n">
        <v>20.1743</v>
      </c>
      <c r="D29" s="1" t="s">
        <v>33</v>
      </c>
      <c r="E29" s="1" t="n">
        <v>20.0085</v>
      </c>
      <c r="G29" s="1" t="s">
        <v>33</v>
      </c>
      <c r="H29" s="1" t="n">
        <v>20.0681</v>
      </c>
      <c r="J29" s="1" t="s">
        <v>33</v>
      </c>
      <c r="K29" s="1" t="n">
        <v>20.0973</v>
      </c>
      <c r="M29" s="1" t="s">
        <v>33</v>
      </c>
      <c r="N29" s="1" t="n">
        <v>20.1891</v>
      </c>
      <c r="P29" s="1" t="s">
        <v>33</v>
      </c>
      <c r="Q29" s="1" t="n">
        <v>20.165</v>
      </c>
      <c r="S29" s="1" t="n">
        <v>0</v>
      </c>
      <c r="T29" s="1" t="n">
        <v>112032</v>
      </c>
    </row>
    <row r="30" customFormat="false" ht="13.8" hidden="false" customHeight="false" outlineLevel="0" collapsed="false">
      <c r="A30" s="1" t="s">
        <v>57</v>
      </c>
      <c r="B30" s="1" t="n">
        <v>19.8554</v>
      </c>
      <c r="D30" s="1" t="s">
        <v>57</v>
      </c>
      <c r="E30" s="1" t="n">
        <v>20.034</v>
      </c>
      <c r="G30" s="1" t="s">
        <v>57</v>
      </c>
      <c r="H30" s="1" t="n">
        <v>20.0541</v>
      </c>
      <c r="J30" s="1" t="s">
        <v>57</v>
      </c>
      <c r="K30" s="1" t="n">
        <v>20.1191</v>
      </c>
      <c r="M30" s="1" t="s">
        <v>57</v>
      </c>
      <c r="N30" s="1" t="n">
        <v>20.1815</v>
      </c>
      <c r="P30" s="1" t="s">
        <v>57</v>
      </c>
      <c r="Q30" s="1" t="n">
        <v>20.1634</v>
      </c>
      <c r="S30" s="1" t="n">
        <v>0</v>
      </c>
      <c r="T30" s="1" t="n">
        <v>747183</v>
      </c>
    </row>
    <row r="31" customFormat="false" ht="13.8" hidden="false" customHeight="false" outlineLevel="0" collapsed="false">
      <c r="A31" s="1" t="s">
        <v>94</v>
      </c>
      <c r="B31" s="1" t="n">
        <v>19.8679</v>
      </c>
      <c r="D31" s="1" t="s">
        <v>94</v>
      </c>
      <c r="E31" s="1" t="n">
        <v>20.0763</v>
      </c>
      <c r="G31" s="1" t="s">
        <v>94</v>
      </c>
      <c r="H31" s="1" t="n">
        <v>20.0608</v>
      </c>
      <c r="J31" s="1" t="s">
        <v>94</v>
      </c>
      <c r="K31" s="1" t="n">
        <v>20.0968</v>
      </c>
      <c r="M31" s="1" t="s">
        <v>94</v>
      </c>
      <c r="N31" s="1" t="n">
        <v>20.1923</v>
      </c>
      <c r="P31" s="1" t="s">
        <v>94</v>
      </c>
      <c r="Q31" s="1" t="n">
        <v>20.1666</v>
      </c>
      <c r="S31" s="1" t="n">
        <v>0</v>
      </c>
      <c r="T31" s="1" t="n">
        <v>481879</v>
      </c>
    </row>
    <row r="32" customFormat="false" ht="13.8" hidden="false" customHeight="false" outlineLevel="0" collapsed="false">
      <c r="A32" s="1" t="s">
        <v>95</v>
      </c>
      <c r="B32" s="1" t="n">
        <v>19.9701</v>
      </c>
      <c r="D32" s="1" t="s">
        <v>95</v>
      </c>
      <c r="E32" s="1" t="n">
        <v>20.1473</v>
      </c>
      <c r="G32" s="1" t="s">
        <v>95</v>
      </c>
      <c r="H32" s="1" t="n">
        <v>20.0544</v>
      </c>
      <c r="J32" s="1" t="s">
        <v>95</v>
      </c>
      <c r="K32" s="1" t="n">
        <v>20.084</v>
      </c>
      <c r="M32" s="1" t="s">
        <v>95</v>
      </c>
      <c r="N32" s="1" t="n">
        <v>20.1949</v>
      </c>
      <c r="P32" s="1" t="s">
        <v>95</v>
      </c>
      <c r="Q32" s="1" t="n">
        <v>20.1493</v>
      </c>
      <c r="S32" s="1" t="n">
        <v>0</v>
      </c>
      <c r="T32" s="1" t="n">
        <v>329374</v>
      </c>
    </row>
    <row r="33" customFormat="false" ht="13.8" hidden="false" customHeight="false" outlineLevel="0" collapsed="false">
      <c r="A33" s="1" t="s">
        <v>96</v>
      </c>
      <c r="B33" s="1" t="n">
        <v>20.0789</v>
      </c>
      <c r="D33" s="1" t="s">
        <v>96</v>
      </c>
      <c r="E33" s="1" t="n">
        <v>19.8763</v>
      </c>
      <c r="G33" s="1" t="s">
        <v>96</v>
      </c>
      <c r="H33" s="1" t="n">
        <v>20.0585</v>
      </c>
      <c r="J33" s="1" t="s">
        <v>96</v>
      </c>
      <c r="K33" s="1" t="n">
        <v>20.094</v>
      </c>
      <c r="M33" s="1" t="s">
        <v>96</v>
      </c>
      <c r="N33" s="1" t="n">
        <v>20.204</v>
      </c>
      <c r="P33" s="1" t="s">
        <v>96</v>
      </c>
      <c r="Q33" s="1" t="n">
        <v>20.1523</v>
      </c>
      <c r="S33" s="1" t="n">
        <v>0</v>
      </c>
      <c r="T33" s="1" t="n">
        <v>197173</v>
      </c>
    </row>
    <row r="34" customFormat="false" ht="13.8" hidden="false" customHeight="false" outlineLevel="0" collapsed="false">
      <c r="A34" s="1" t="s">
        <v>97</v>
      </c>
      <c r="B34" s="1" t="n">
        <v>20.1164</v>
      </c>
      <c r="D34" s="1" t="s">
        <v>97</v>
      </c>
      <c r="E34" s="1" t="n">
        <v>19.859</v>
      </c>
      <c r="G34" s="1" t="s">
        <v>97</v>
      </c>
      <c r="H34" s="1" t="n">
        <v>20.0504</v>
      </c>
      <c r="J34" s="1" t="s">
        <v>97</v>
      </c>
      <c r="K34" s="1" t="n">
        <v>20.0993</v>
      </c>
      <c r="M34" s="1" t="s">
        <v>97</v>
      </c>
      <c r="N34" s="1" t="n">
        <v>20.1995</v>
      </c>
      <c r="P34" s="1" t="s">
        <v>97</v>
      </c>
      <c r="Q34" s="1" t="n">
        <v>20.1515</v>
      </c>
      <c r="S34" s="1" t="s">
        <v>97</v>
      </c>
      <c r="T34" s="1" t="n">
        <v>20.1405</v>
      </c>
    </row>
    <row r="35" customFormat="false" ht="13.8" hidden="false" customHeight="false" outlineLevel="0" collapsed="false">
      <c r="A35" s="1" t="s">
        <v>98</v>
      </c>
      <c r="B35" s="1" t="n">
        <v>20.149</v>
      </c>
      <c r="D35" s="1" t="s">
        <v>98</v>
      </c>
      <c r="E35" s="1" t="n">
        <v>19.8903</v>
      </c>
      <c r="G35" s="1" t="s">
        <v>98</v>
      </c>
      <c r="H35" s="1" t="n">
        <v>20.0324</v>
      </c>
      <c r="J35" s="1" t="s">
        <v>98</v>
      </c>
      <c r="K35" s="1" t="n">
        <v>20.1039</v>
      </c>
      <c r="M35" s="1" t="s">
        <v>98</v>
      </c>
      <c r="N35" s="1" t="n">
        <v>20.1988</v>
      </c>
      <c r="P35" s="1" t="s">
        <v>98</v>
      </c>
      <c r="Q35" s="1" t="n">
        <v>20.1555</v>
      </c>
      <c r="S35" s="1" t="s">
        <v>98</v>
      </c>
      <c r="T35" s="1" t="n">
        <v>20.1438</v>
      </c>
    </row>
    <row r="36" customFormat="false" ht="13.8" hidden="false" customHeight="false" outlineLevel="0" collapsed="false">
      <c r="A36" s="1" t="s">
        <v>99</v>
      </c>
      <c r="B36" s="1" t="n">
        <v>20.1554</v>
      </c>
      <c r="D36" s="1" t="s">
        <v>99</v>
      </c>
      <c r="E36" s="1" t="n">
        <v>19.9679</v>
      </c>
      <c r="G36" s="1" t="s">
        <v>99</v>
      </c>
      <c r="H36" s="1" t="n">
        <v>20.0308</v>
      </c>
      <c r="J36" s="1" t="s">
        <v>99</v>
      </c>
      <c r="K36" s="1" t="n">
        <v>20.1041</v>
      </c>
      <c r="M36" s="1" t="s">
        <v>99</v>
      </c>
      <c r="N36" s="1" t="n">
        <v>20.1877</v>
      </c>
      <c r="P36" s="1" t="s">
        <v>99</v>
      </c>
      <c r="Q36" s="1" t="n">
        <v>20.1574</v>
      </c>
      <c r="S36" s="1" t="s">
        <v>99</v>
      </c>
      <c r="T36" s="1" t="n">
        <v>20.1285</v>
      </c>
    </row>
    <row r="37" customFormat="false" ht="13.8" hidden="false" customHeight="false" outlineLevel="0" collapsed="false">
      <c r="A37" s="1" t="s">
        <v>100</v>
      </c>
      <c r="B37" s="1" t="n">
        <v>20.1367</v>
      </c>
      <c r="D37" s="1" t="s">
        <v>100</v>
      </c>
      <c r="E37" s="1" t="n">
        <v>19.9942</v>
      </c>
      <c r="G37" s="1" t="s">
        <v>100</v>
      </c>
      <c r="H37" s="1" t="n">
        <v>20.0652</v>
      </c>
      <c r="J37" s="1" t="s">
        <v>100</v>
      </c>
      <c r="K37" s="1" t="n">
        <v>20.0986</v>
      </c>
      <c r="M37" s="1" t="s">
        <v>100</v>
      </c>
      <c r="N37" s="1" t="n">
        <v>20.175</v>
      </c>
      <c r="P37" s="1" t="s">
        <v>100</v>
      </c>
      <c r="Q37" s="1" t="n">
        <v>20.1652</v>
      </c>
      <c r="S37" s="1" t="s">
        <v>100</v>
      </c>
      <c r="T37" s="1" t="n">
        <v>20.1408</v>
      </c>
    </row>
    <row r="38" customFormat="false" ht="13.8" hidden="false" customHeight="false" outlineLevel="0" collapsed="false">
      <c r="A38" s="1" t="s">
        <v>35</v>
      </c>
      <c r="B38" s="1" t="n">
        <v>24.8999</v>
      </c>
      <c r="D38" s="1" t="s">
        <v>35</v>
      </c>
      <c r="E38" s="1" t="n">
        <v>25.1155</v>
      </c>
      <c r="G38" s="1" t="s">
        <v>35</v>
      </c>
      <c r="H38" s="1" t="n">
        <v>25.216</v>
      </c>
      <c r="J38" s="1" t="s">
        <v>35</v>
      </c>
      <c r="K38" s="1" t="n">
        <v>24.8994</v>
      </c>
      <c r="M38" s="1" t="s">
        <v>35</v>
      </c>
      <c r="N38" s="1" t="n">
        <v>25.4304</v>
      </c>
      <c r="P38" s="1" t="s">
        <v>35</v>
      </c>
      <c r="Q38" s="1" t="n">
        <v>24.7819</v>
      </c>
      <c r="S38" s="1" t="s">
        <v>35</v>
      </c>
      <c r="T38" s="1" t="n">
        <v>24.8207</v>
      </c>
    </row>
    <row r="39" customFormat="false" ht="13.8" hidden="false" customHeight="false" outlineLevel="0" collapsed="false">
      <c r="A39" s="1" t="s">
        <v>58</v>
      </c>
      <c r="B39" s="1" t="n">
        <v>24.9244</v>
      </c>
      <c r="D39" s="1" t="s">
        <v>58</v>
      </c>
      <c r="E39" s="1" t="n">
        <v>25.1528</v>
      </c>
      <c r="G39" s="1" t="s">
        <v>58</v>
      </c>
      <c r="H39" s="1" t="n">
        <v>25.1075</v>
      </c>
      <c r="J39" s="1" t="s">
        <v>58</v>
      </c>
      <c r="K39" s="1" t="n">
        <v>24.8766</v>
      </c>
      <c r="M39" s="1" t="s">
        <v>58</v>
      </c>
      <c r="N39" s="1" t="n">
        <v>25.4401</v>
      </c>
      <c r="P39" s="1" t="s">
        <v>58</v>
      </c>
      <c r="Q39" s="1" t="n">
        <v>24.7361</v>
      </c>
      <c r="S39" s="1" t="s">
        <v>58</v>
      </c>
      <c r="T39" s="1" t="n">
        <v>24.8772</v>
      </c>
    </row>
    <row r="40" customFormat="false" ht="13.8" hidden="false" customHeight="false" outlineLevel="0" collapsed="false">
      <c r="A40" s="1" t="s">
        <v>101</v>
      </c>
      <c r="B40" s="1" t="n">
        <v>24.7158</v>
      </c>
      <c r="D40" s="1" t="s">
        <v>101</v>
      </c>
      <c r="E40" s="1" t="n">
        <v>25.0792</v>
      </c>
      <c r="G40" s="1" t="s">
        <v>101</v>
      </c>
      <c r="H40" s="1" t="n">
        <v>25.1679</v>
      </c>
      <c r="J40" s="1" t="s">
        <v>101</v>
      </c>
      <c r="K40" s="1" t="n">
        <v>24.9471</v>
      </c>
      <c r="M40" s="1" t="s">
        <v>101</v>
      </c>
      <c r="N40" s="1" t="n">
        <v>25.3611</v>
      </c>
      <c r="P40" s="1" t="s">
        <v>101</v>
      </c>
      <c r="Q40" s="1" t="n">
        <v>24.631</v>
      </c>
      <c r="S40" s="1" t="s">
        <v>101</v>
      </c>
      <c r="T40" s="1" t="n">
        <v>24.8412</v>
      </c>
    </row>
    <row r="41" customFormat="false" ht="13.8" hidden="false" customHeight="false" outlineLevel="0" collapsed="false">
      <c r="A41" s="1" t="s">
        <v>102</v>
      </c>
      <c r="B41" s="1" t="n">
        <v>24.7076</v>
      </c>
      <c r="D41" s="1" t="s">
        <v>102</v>
      </c>
      <c r="E41" s="1" t="n">
        <v>25.0458</v>
      </c>
      <c r="G41" s="1" t="s">
        <v>102</v>
      </c>
      <c r="H41" s="1" t="n">
        <v>25.1608</v>
      </c>
      <c r="J41" s="1" t="s">
        <v>102</v>
      </c>
      <c r="K41" s="1" t="n">
        <v>24.9488</v>
      </c>
      <c r="M41" s="1" t="s">
        <v>102</v>
      </c>
      <c r="N41" s="1" t="n">
        <v>25.3654</v>
      </c>
      <c r="P41" s="1" t="s">
        <v>102</v>
      </c>
      <c r="Q41" s="1" t="n">
        <v>24.7215</v>
      </c>
      <c r="S41" s="1" t="s">
        <v>102</v>
      </c>
      <c r="T41" s="1" t="n">
        <v>24.8168</v>
      </c>
    </row>
    <row r="42" customFormat="false" ht="13.8" hidden="false" customHeight="false" outlineLevel="0" collapsed="false">
      <c r="A42" s="1" t="s">
        <v>103</v>
      </c>
      <c r="B42" s="1" t="n">
        <v>24.6033</v>
      </c>
      <c r="D42" s="1" t="s">
        <v>103</v>
      </c>
      <c r="E42" s="1" t="n">
        <v>25.0494</v>
      </c>
      <c r="G42" s="1" t="s">
        <v>103</v>
      </c>
      <c r="H42" s="1" t="n">
        <v>25.1549</v>
      </c>
      <c r="J42" s="1" t="s">
        <v>103</v>
      </c>
      <c r="K42" s="1" t="n">
        <v>24.887</v>
      </c>
      <c r="M42" s="1" t="s">
        <v>103</v>
      </c>
      <c r="N42" s="1" t="n">
        <v>25.3391</v>
      </c>
      <c r="P42" s="1" t="s">
        <v>103</v>
      </c>
      <c r="Q42" s="1" t="n">
        <v>24.613</v>
      </c>
      <c r="S42" s="1" t="s">
        <v>103</v>
      </c>
      <c r="T42" s="1" t="n">
        <v>24.8205</v>
      </c>
    </row>
    <row r="43" customFormat="false" ht="13.8" hidden="false" customHeight="false" outlineLevel="0" collapsed="false">
      <c r="A43" s="1" t="s">
        <v>104</v>
      </c>
      <c r="B43" s="1" t="n">
        <v>24.6798</v>
      </c>
      <c r="D43" s="1" t="s">
        <v>104</v>
      </c>
      <c r="E43" s="1" t="n">
        <v>25.0713</v>
      </c>
      <c r="G43" s="1" t="s">
        <v>104</v>
      </c>
      <c r="H43" s="1" t="n">
        <v>25.0603</v>
      </c>
      <c r="J43" s="1" t="s">
        <v>104</v>
      </c>
      <c r="K43" s="1" t="n">
        <v>24.8316</v>
      </c>
      <c r="M43" s="1" t="s">
        <v>104</v>
      </c>
      <c r="N43" s="1" t="n">
        <v>25.2763</v>
      </c>
      <c r="P43" s="1" t="s">
        <v>104</v>
      </c>
      <c r="Q43" s="1" t="n">
        <v>24.6589</v>
      </c>
      <c r="S43" s="1" t="s">
        <v>104</v>
      </c>
      <c r="T43" s="1" t="n">
        <v>24.7984</v>
      </c>
    </row>
    <row r="44" customFormat="false" ht="13.8" hidden="false" customHeight="false" outlineLevel="0" collapsed="false">
      <c r="A44" s="1" t="s">
        <v>105</v>
      </c>
      <c r="B44" s="1" t="n">
        <v>24.6352</v>
      </c>
      <c r="D44" s="1" t="s">
        <v>105</v>
      </c>
      <c r="E44" s="1" t="n">
        <v>25.0859</v>
      </c>
      <c r="G44" s="1" t="s">
        <v>105</v>
      </c>
      <c r="H44" s="1" t="n">
        <v>25.0895</v>
      </c>
      <c r="J44" s="1" t="s">
        <v>105</v>
      </c>
      <c r="K44" s="1" t="n">
        <v>24.7201</v>
      </c>
      <c r="M44" s="1" t="s">
        <v>105</v>
      </c>
      <c r="N44" s="1" t="n">
        <v>25.2948</v>
      </c>
      <c r="P44" s="1" t="s">
        <v>105</v>
      </c>
      <c r="Q44" s="1" t="n">
        <v>24.6085</v>
      </c>
      <c r="S44" s="1" t="s">
        <v>105</v>
      </c>
      <c r="T44" s="1" t="n">
        <v>24.7281</v>
      </c>
    </row>
    <row r="45" customFormat="false" ht="13.8" hidden="false" customHeight="false" outlineLevel="0" collapsed="false">
      <c r="A45" s="1" t="s">
        <v>106</v>
      </c>
      <c r="B45" s="1" t="n">
        <v>24.6391</v>
      </c>
      <c r="D45" s="1" t="s">
        <v>106</v>
      </c>
      <c r="E45" s="1" t="n">
        <v>25.0629</v>
      </c>
      <c r="G45" s="1" t="s">
        <v>106</v>
      </c>
      <c r="H45" s="1" t="n">
        <v>25.0568</v>
      </c>
      <c r="J45" s="1" t="s">
        <v>106</v>
      </c>
      <c r="K45" s="1" t="n">
        <v>24.8159</v>
      </c>
      <c r="M45" s="1" t="s">
        <v>106</v>
      </c>
      <c r="N45" s="1" t="n">
        <v>25.292</v>
      </c>
      <c r="P45" s="1" t="s">
        <v>106</v>
      </c>
      <c r="Q45" s="1" t="n">
        <v>24.5242</v>
      </c>
      <c r="S45" s="1" t="s">
        <v>106</v>
      </c>
      <c r="T45" s="1" t="n">
        <v>24.7774</v>
      </c>
    </row>
    <row r="46" customFormat="false" ht="13.8" hidden="false" customHeight="false" outlineLevel="0" collapsed="false">
      <c r="A46" s="1" t="s">
        <v>107</v>
      </c>
      <c r="B46" s="1" t="n">
        <v>24.6736</v>
      </c>
      <c r="D46" s="1" t="s">
        <v>107</v>
      </c>
      <c r="E46" s="1" t="n">
        <v>24.8794</v>
      </c>
      <c r="G46" s="1" t="s">
        <v>107</v>
      </c>
      <c r="H46" s="1" t="n">
        <v>25.0398</v>
      </c>
      <c r="J46" s="1" t="s">
        <v>107</v>
      </c>
      <c r="K46" s="1" t="n">
        <v>24.7536</v>
      </c>
      <c r="M46" s="1" t="s">
        <v>107</v>
      </c>
      <c r="N46" s="1" t="n">
        <v>25.3353</v>
      </c>
      <c r="P46" s="1" t="s">
        <v>107</v>
      </c>
      <c r="Q46" s="1" t="n">
        <v>24.6194</v>
      </c>
      <c r="S46" s="1" t="s">
        <v>107</v>
      </c>
      <c r="T46" s="1" t="n">
        <v>24.6401</v>
      </c>
    </row>
    <row r="47" customFormat="false" ht="13.8" hidden="false" customHeight="false" outlineLevel="0" collapsed="false">
      <c r="A47" s="1" t="s">
        <v>108</v>
      </c>
      <c r="B47" s="1" t="n">
        <v>13.4526</v>
      </c>
      <c r="D47" s="1" t="s">
        <v>108</v>
      </c>
      <c r="E47" s="1" t="n">
        <v>13.4269</v>
      </c>
      <c r="G47" s="1" t="s">
        <v>108</v>
      </c>
      <c r="H47" s="1" t="n">
        <v>13.5542</v>
      </c>
      <c r="J47" s="1" t="s">
        <v>108</v>
      </c>
      <c r="K47" s="1" t="n">
        <v>13.3854</v>
      </c>
      <c r="M47" s="1" t="s">
        <v>108</v>
      </c>
      <c r="N47" s="1" t="n">
        <v>13.6271</v>
      </c>
      <c r="P47" s="1" t="s">
        <v>108</v>
      </c>
      <c r="Q47" s="1" t="n">
        <v>13.4641</v>
      </c>
      <c r="S47" s="1" t="s">
        <v>108</v>
      </c>
      <c r="T47" s="1" t="n">
        <v>13.47</v>
      </c>
    </row>
    <row r="48" customFormat="false" ht="13.8" hidden="false" customHeight="false" outlineLevel="0" collapsed="false">
      <c r="A48" s="1" t="s">
        <v>109</v>
      </c>
      <c r="B48" s="1" t="n">
        <v>13.2916</v>
      </c>
      <c r="D48" s="1" t="s">
        <v>109</v>
      </c>
      <c r="E48" s="1" t="n">
        <v>13.4294</v>
      </c>
      <c r="G48" s="1" t="s">
        <v>109</v>
      </c>
      <c r="H48" s="1" t="n">
        <v>13.5366</v>
      </c>
      <c r="J48" s="1" t="s">
        <v>109</v>
      </c>
      <c r="K48" s="1" t="n">
        <v>13.4133</v>
      </c>
      <c r="M48" s="1" t="s">
        <v>109</v>
      </c>
      <c r="N48" s="1" t="n">
        <v>13.6251</v>
      </c>
      <c r="P48" s="1" t="s">
        <v>109</v>
      </c>
      <c r="Q48" s="1" t="n">
        <v>13.4665</v>
      </c>
      <c r="S48" s="1" t="s">
        <v>109</v>
      </c>
      <c r="T48" s="1" t="n">
        <v>13.4735</v>
      </c>
    </row>
    <row r="49" customFormat="false" ht="13.8" hidden="false" customHeight="false" outlineLevel="0" collapsed="false">
      <c r="A49" s="1" t="s">
        <v>110</v>
      </c>
      <c r="B49" s="1" t="n">
        <v>13.3179</v>
      </c>
      <c r="D49" s="1" t="s">
        <v>110</v>
      </c>
      <c r="E49" s="1" t="n">
        <v>13.4529</v>
      </c>
      <c r="G49" s="1" t="s">
        <v>110</v>
      </c>
      <c r="H49" s="1" t="n">
        <v>13.5499</v>
      </c>
      <c r="J49" s="1" t="s">
        <v>110</v>
      </c>
      <c r="K49" s="1" t="n">
        <v>13.3943</v>
      </c>
      <c r="M49" s="1" t="s">
        <v>110</v>
      </c>
      <c r="N49" s="1" t="n">
        <v>13.6178</v>
      </c>
      <c r="P49" s="1" t="s">
        <v>110</v>
      </c>
      <c r="Q49" s="1" t="n">
        <v>13.4763</v>
      </c>
      <c r="S49" s="1" t="s">
        <v>110</v>
      </c>
      <c r="T49" s="1" t="n">
        <v>13.4731</v>
      </c>
    </row>
    <row r="50" customFormat="false" ht="13.8" hidden="false" customHeight="false" outlineLevel="0" collapsed="false">
      <c r="A50" s="1" t="s">
        <v>111</v>
      </c>
      <c r="B50" s="1" t="n">
        <v>13.4123</v>
      </c>
      <c r="D50" s="1" t="s">
        <v>111</v>
      </c>
      <c r="E50" s="1" t="n">
        <v>13.5332</v>
      </c>
      <c r="G50" s="1" t="s">
        <v>111</v>
      </c>
      <c r="H50" s="1" t="n">
        <v>13.5317</v>
      </c>
      <c r="J50" s="1" t="s">
        <v>111</v>
      </c>
      <c r="K50" s="1" t="n">
        <v>13.3939</v>
      </c>
      <c r="M50" s="1" t="s">
        <v>111</v>
      </c>
      <c r="N50" s="1" t="n">
        <v>13.6279</v>
      </c>
      <c r="P50" s="1" t="s">
        <v>111</v>
      </c>
      <c r="Q50" s="1" t="n">
        <v>13.4489</v>
      </c>
      <c r="S50" s="1" t="s">
        <v>111</v>
      </c>
      <c r="T50" s="1" t="n">
        <v>13.4899</v>
      </c>
    </row>
    <row r="51" customFormat="false" ht="13.8" hidden="false" customHeight="false" outlineLevel="0" collapsed="false">
      <c r="A51" s="1" t="s">
        <v>112</v>
      </c>
      <c r="B51" s="1" t="n">
        <v>13.4984</v>
      </c>
      <c r="D51" s="1" t="s">
        <v>112</v>
      </c>
      <c r="E51" s="1" t="n">
        <v>13.3957</v>
      </c>
      <c r="G51" s="1" t="s">
        <v>112</v>
      </c>
      <c r="H51" s="1" t="n">
        <v>13.5216</v>
      </c>
      <c r="J51" s="1" t="s">
        <v>112</v>
      </c>
      <c r="K51" s="1" t="n">
        <v>13.3952</v>
      </c>
      <c r="M51" s="1" t="s">
        <v>112</v>
      </c>
      <c r="N51" s="1" t="n">
        <v>13.6208</v>
      </c>
      <c r="P51" s="1" t="s">
        <v>112</v>
      </c>
      <c r="Q51" s="1" t="n">
        <v>13.4608</v>
      </c>
      <c r="S51" s="1" t="s">
        <v>112</v>
      </c>
      <c r="T51" s="1" t="n">
        <v>13.4631</v>
      </c>
    </row>
    <row r="52" customFormat="false" ht="13.8" hidden="false" customHeight="false" outlineLevel="0" collapsed="false">
      <c r="A52" s="1" t="s">
        <v>113</v>
      </c>
      <c r="B52" s="1" t="n">
        <v>13.5146</v>
      </c>
      <c r="D52" s="1" t="s">
        <v>113</v>
      </c>
      <c r="E52" s="1" t="n">
        <v>13.3395</v>
      </c>
      <c r="G52" s="1" t="s">
        <v>113</v>
      </c>
      <c r="H52" s="1" t="n">
        <v>13.5236</v>
      </c>
      <c r="J52" s="1" t="s">
        <v>113</v>
      </c>
      <c r="K52" s="1" t="n">
        <v>13.3778</v>
      </c>
      <c r="M52" s="1" t="s">
        <v>113</v>
      </c>
      <c r="N52" s="1" t="n">
        <v>13.6115</v>
      </c>
      <c r="P52" s="1" t="s">
        <v>113</v>
      </c>
      <c r="Q52" s="1" t="n">
        <v>13.4505</v>
      </c>
      <c r="S52" s="1" t="s">
        <v>113</v>
      </c>
      <c r="T52" s="1" t="n">
        <v>13.4673</v>
      </c>
    </row>
    <row r="53" customFormat="false" ht="13.8" hidden="false" customHeight="false" outlineLevel="0" collapsed="false">
      <c r="A53" s="1" t="s">
        <v>114</v>
      </c>
      <c r="B53" s="1" t="n">
        <v>13.5008</v>
      </c>
      <c r="D53" s="1" t="s">
        <v>114</v>
      </c>
      <c r="E53" s="1" t="n">
        <v>13.3397</v>
      </c>
      <c r="G53" s="1" t="s">
        <v>114</v>
      </c>
      <c r="H53" s="1" t="n">
        <v>13.5003</v>
      </c>
      <c r="J53" s="1" t="s">
        <v>114</v>
      </c>
      <c r="K53" s="1" t="n">
        <v>13.3893</v>
      </c>
      <c r="M53" s="1" t="s">
        <v>114</v>
      </c>
      <c r="N53" s="1" t="n">
        <v>13.6021</v>
      </c>
      <c r="P53" s="1" t="s">
        <v>114</v>
      </c>
      <c r="Q53" s="1" t="n">
        <v>13.4444</v>
      </c>
      <c r="S53" s="1" t="s">
        <v>114</v>
      </c>
      <c r="T53" s="1" t="n">
        <v>13.4489</v>
      </c>
    </row>
    <row r="54" customFormat="false" ht="13.8" hidden="false" customHeight="false" outlineLevel="0" collapsed="false">
      <c r="A54" s="1" t="s">
        <v>115</v>
      </c>
      <c r="B54" s="1" t="n">
        <v>13.4664</v>
      </c>
      <c r="D54" s="1" t="s">
        <v>115</v>
      </c>
      <c r="E54" s="1" t="n">
        <v>13.396</v>
      </c>
      <c r="G54" s="1" t="s">
        <v>115</v>
      </c>
      <c r="H54" s="1" t="n">
        <v>13.4939</v>
      </c>
      <c r="J54" s="1" t="s">
        <v>115</v>
      </c>
      <c r="K54" s="1" t="n">
        <v>13.3742</v>
      </c>
      <c r="M54" s="1" t="s">
        <v>115</v>
      </c>
      <c r="N54" s="1" t="n">
        <v>13.6027</v>
      </c>
      <c r="P54" s="1" t="s">
        <v>115</v>
      </c>
      <c r="Q54" s="1" t="n">
        <v>13.4333</v>
      </c>
      <c r="S54" s="1" t="s">
        <v>115</v>
      </c>
      <c r="T54" s="1" t="n">
        <v>13.4337</v>
      </c>
    </row>
    <row r="55" customFormat="false" ht="13.8" hidden="false" customHeight="false" outlineLevel="0" collapsed="false">
      <c r="A55" s="1" t="s">
        <v>116</v>
      </c>
      <c r="B55" s="1" t="n">
        <v>13.4223</v>
      </c>
      <c r="D55" s="1" t="s">
        <v>116</v>
      </c>
      <c r="E55" s="1" t="n">
        <v>13.4084</v>
      </c>
      <c r="G55" s="1" t="s">
        <v>116</v>
      </c>
      <c r="H55" s="1" t="n">
        <v>13.4995</v>
      </c>
      <c r="J55" s="1" t="s">
        <v>116</v>
      </c>
      <c r="K55" s="1" t="n">
        <v>13.3583</v>
      </c>
      <c r="M55" s="1" t="s">
        <v>116</v>
      </c>
      <c r="N55" s="1" t="n">
        <v>13.5915</v>
      </c>
      <c r="P55" s="1" t="s">
        <v>116</v>
      </c>
      <c r="Q55" s="1" t="n">
        <v>13.4298</v>
      </c>
      <c r="S55" s="1" t="s">
        <v>116</v>
      </c>
      <c r="T55" s="1" t="n">
        <v>13.44</v>
      </c>
    </row>
    <row r="56" customFormat="false" ht="13.8" hidden="false" customHeight="false" outlineLevel="0" collapsed="false">
      <c r="A56" s="1" t="s">
        <v>117</v>
      </c>
      <c r="B56" s="1" t="n">
        <v>75.0315</v>
      </c>
      <c r="D56" s="1" t="s">
        <v>117</v>
      </c>
      <c r="E56" s="1" t="n">
        <v>75.1225</v>
      </c>
      <c r="G56" s="1" t="s">
        <v>117</v>
      </c>
      <c r="H56" s="1" t="n">
        <v>74.8504</v>
      </c>
      <c r="J56" s="1" t="s">
        <v>117</v>
      </c>
      <c r="K56" s="1" t="n">
        <v>74.9685</v>
      </c>
      <c r="M56" s="1" t="s">
        <v>117</v>
      </c>
      <c r="N56" s="1" t="n">
        <v>74.5283</v>
      </c>
      <c r="P56" s="1" t="s">
        <v>117</v>
      </c>
      <c r="Q56" s="1" t="n">
        <v>74.9564</v>
      </c>
      <c r="S56" s="1" t="s">
        <v>117</v>
      </c>
      <c r="T56" s="1" t="n">
        <v>74.7195</v>
      </c>
    </row>
    <row r="57" customFormat="false" ht="13.8" hidden="false" customHeight="false" outlineLevel="0" collapsed="false">
      <c r="A57" s="1" t="s">
        <v>118</v>
      </c>
      <c r="B57" s="1" t="n">
        <v>74.7337</v>
      </c>
      <c r="D57" s="1" t="s">
        <v>118</v>
      </c>
      <c r="E57" s="1" t="n">
        <v>75.2117</v>
      </c>
      <c r="G57" s="1" t="s">
        <v>118</v>
      </c>
      <c r="H57" s="1" t="n">
        <v>74.8139</v>
      </c>
      <c r="J57" s="1" t="s">
        <v>118</v>
      </c>
      <c r="K57" s="1" t="n">
        <v>75.0069</v>
      </c>
      <c r="M57" s="1" t="s">
        <v>118</v>
      </c>
      <c r="N57" s="1" t="n">
        <v>74.5338</v>
      </c>
      <c r="P57" s="1" t="s">
        <v>118</v>
      </c>
      <c r="Q57" s="1" t="n">
        <v>75.0167</v>
      </c>
      <c r="S57" s="1" t="s">
        <v>118</v>
      </c>
      <c r="T57" s="1" t="n">
        <v>74.736</v>
      </c>
    </row>
    <row r="58" customFormat="false" ht="13.8" hidden="false" customHeight="false" outlineLevel="0" collapsed="false">
      <c r="A58" s="1" t="s">
        <v>119</v>
      </c>
      <c r="B58" s="1" t="n">
        <v>74.6754</v>
      </c>
      <c r="D58" s="1" t="s">
        <v>119</v>
      </c>
      <c r="E58" s="1" t="n">
        <v>75.225</v>
      </c>
      <c r="G58" s="1" t="s">
        <v>119</v>
      </c>
      <c r="H58" s="1" t="n">
        <v>74.7997</v>
      </c>
      <c r="J58" s="1" t="s">
        <v>119</v>
      </c>
      <c r="K58" s="1" t="n">
        <v>74.9999</v>
      </c>
      <c r="M58" s="1" t="s">
        <v>119</v>
      </c>
      <c r="N58" s="1" t="n">
        <v>74.5485</v>
      </c>
      <c r="P58" s="1" t="s">
        <v>119</v>
      </c>
      <c r="Q58" s="1" t="n">
        <v>74.9294</v>
      </c>
      <c r="S58" s="1" t="s">
        <v>119</v>
      </c>
      <c r="T58" s="1" t="n">
        <v>74.6927</v>
      </c>
    </row>
    <row r="59" customFormat="false" ht="13.8" hidden="false" customHeight="false" outlineLevel="0" collapsed="false">
      <c r="A59" s="1" t="s">
        <v>120</v>
      </c>
      <c r="B59" s="1" t="n">
        <v>74.6886</v>
      </c>
      <c r="D59" s="1" t="s">
        <v>120</v>
      </c>
      <c r="E59" s="1" t="n">
        <v>75.22</v>
      </c>
      <c r="G59" s="1" t="s">
        <v>120</v>
      </c>
      <c r="H59" s="1" t="n">
        <v>74.8859</v>
      </c>
      <c r="J59" s="1" t="s">
        <v>120</v>
      </c>
      <c r="K59" s="1" t="n">
        <v>74.9806</v>
      </c>
      <c r="M59" s="1" t="s">
        <v>120</v>
      </c>
      <c r="N59" s="1" t="n">
        <v>74.5773</v>
      </c>
      <c r="P59" s="1" t="s">
        <v>120</v>
      </c>
      <c r="Q59" s="1" t="n">
        <v>75.0247</v>
      </c>
      <c r="S59" s="1" t="s">
        <v>120</v>
      </c>
      <c r="T59" s="1" t="n">
        <v>74.7091</v>
      </c>
    </row>
    <row r="60" customFormat="false" ht="13.8" hidden="false" customHeight="false" outlineLevel="0" collapsed="false">
      <c r="A60" s="1" t="s">
        <v>121</v>
      </c>
      <c r="B60" s="1" t="n">
        <v>74.7293</v>
      </c>
      <c r="D60" s="1" t="s">
        <v>121</v>
      </c>
      <c r="E60" s="1" t="n">
        <v>74.9202</v>
      </c>
      <c r="G60" s="1" t="s">
        <v>121</v>
      </c>
      <c r="H60" s="1" t="n">
        <v>74.9089</v>
      </c>
      <c r="J60" s="1" t="s">
        <v>121</v>
      </c>
      <c r="K60" s="1" t="n">
        <v>74.9798</v>
      </c>
      <c r="M60" s="1" t="s">
        <v>121</v>
      </c>
      <c r="N60" s="1" t="n">
        <v>74.5837</v>
      </c>
      <c r="P60" s="1" t="s">
        <v>121</v>
      </c>
      <c r="Q60" s="1" t="n">
        <v>75.0065</v>
      </c>
      <c r="S60" s="1" t="s">
        <v>121</v>
      </c>
      <c r="T60" s="1" t="n">
        <v>74.7365</v>
      </c>
    </row>
    <row r="61" customFormat="false" ht="13.8" hidden="false" customHeight="false" outlineLevel="0" collapsed="false">
      <c r="A61" s="1" t="s">
        <v>122</v>
      </c>
      <c r="B61" s="1" t="n">
        <v>74.8285</v>
      </c>
      <c r="D61" s="1" t="s">
        <v>122</v>
      </c>
      <c r="E61" s="1" t="n">
        <v>75.0376</v>
      </c>
      <c r="G61" s="1" t="s">
        <v>122</v>
      </c>
      <c r="H61" s="1" t="n">
        <v>74.8816</v>
      </c>
      <c r="J61" s="1" t="s">
        <v>122</v>
      </c>
      <c r="K61" s="1" t="n">
        <v>75.0152</v>
      </c>
      <c r="M61" s="1" t="s">
        <v>122</v>
      </c>
      <c r="N61" s="1" t="n">
        <v>74.5436</v>
      </c>
      <c r="P61" s="1" t="s">
        <v>122</v>
      </c>
      <c r="Q61" s="1" t="n">
        <v>75.0151</v>
      </c>
      <c r="S61" s="1" t="s">
        <v>122</v>
      </c>
      <c r="T61" s="1" t="n">
        <v>74.7802</v>
      </c>
    </row>
    <row r="62" customFormat="false" ht="13.8" hidden="false" customHeight="false" outlineLevel="0" collapsed="false">
      <c r="A62" s="1" t="s">
        <v>123</v>
      </c>
      <c r="B62" s="1" t="n">
        <v>74.9438</v>
      </c>
      <c r="D62" s="1" t="s">
        <v>123</v>
      </c>
      <c r="E62" s="1" t="n">
        <v>75.1381</v>
      </c>
      <c r="G62" s="1" t="s">
        <v>123</v>
      </c>
      <c r="H62" s="1" t="n">
        <v>74.9118</v>
      </c>
      <c r="J62" s="1" t="s">
        <v>123</v>
      </c>
      <c r="K62" s="1" t="n">
        <v>75.0109</v>
      </c>
      <c r="M62" s="1" t="s">
        <v>123</v>
      </c>
      <c r="N62" s="1" t="n">
        <v>74.6086</v>
      </c>
      <c r="P62" s="1" t="s">
        <v>123</v>
      </c>
      <c r="Q62" s="1" t="n">
        <v>75.0541</v>
      </c>
      <c r="S62" s="1" t="s">
        <v>123</v>
      </c>
      <c r="T62" s="1" t="n">
        <v>74.7867</v>
      </c>
    </row>
    <row r="63" customFormat="false" ht="13.8" hidden="false" customHeight="false" outlineLevel="0" collapsed="false">
      <c r="A63" s="1" t="s">
        <v>124</v>
      </c>
      <c r="B63" s="1" t="n">
        <v>75.049</v>
      </c>
      <c r="D63" s="1" t="s">
        <v>124</v>
      </c>
      <c r="E63" s="1" t="n">
        <v>75.1902</v>
      </c>
      <c r="G63" s="1" t="s">
        <v>124</v>
      </c>
      <c r="H63" s="1" t="n">
        <v>74.9459</v>
      </c>
      <c r="J63" s="1" t="s">
        <v>124</v>
      </c>
      <c r="K63" s="1" t="n">
        <v>75.0839</v>
      </c>
      <c r="M63" s="1" t="s">
        <v>124</v>
      </c>
      <c r="N63" s="1" t="n">
        <v>74.5504</v>
      </c>
      <c r="P63" s="1" t="s">
        <v>124</v>
      </c>
      <c r="Q63" s="1" t="n">
        <v>75.0522</v>
      </c>
      <c r="S63" s="1" t="s">
        <v>124</v>
      </c>
      <c r="T63" s="1" t="n">
        <v>74.7651</v>
      </c>
    </row>
    <row r="64" customFormat="false" ht="13.8" hidden="false" customHeight="false" outlineLevel="0" collapsed="false">
      <c r="A64" s="1" t="s">
        <v>125</v>
      </c>
      <c r="B64" s="1" t="n">
        <v>75.085</v>
      </c>
      <c r="D64" s="1" t="s">
        <v>125</v>
      </c>
      <c r="E64" s="1" t="n">
        <v>75.1582</v>
      </c>
      <c r="G64" s="1" t="s">
        <v>125</v>
      </c>
      <c r="H64" s="1" t="n">
        <v>74.9587</v>
      </c>
      <c r="J64" s="1" t="s">
        <v>125</v>
      </c>
      <c r="K64" s="1" t="n">
        <v>75.0848</v>
      </c>
      <c r="M64" s="1" t="s">
        <v>125</v>
      </c>
      <c r="N64" s="1" t="n">
        <v>74.6497</v>
      </c>
      <c r="P64" s="1" t="s">
        <v>125</v>
      </c>
      <c r="Q64" s="1" t="n">
        <v>75.1097</v>
      </c>
      <c r="S64" s="1" t="s">
        <v>125</v>
      </c>
      <c r="T64" s="1" t="n">
        <v>74.8077</v>
      </c>
    </row>
    <row r="65" customFormat="false" ht="13.8" hidden="false" customHeight="false" outlineLevel="0" collapsed="false">
      <c r="A65" s="1" t="s">
        <v>126</v>
      </c>
      <c r="B65" s="1" t="n">
        <v>33.5484</v>
      </c>
      <c r="D65" s="1" t="s">
        <v>126</v>
      </c>
      <c r="E65" s="1" t="n">
        <v>33.5456</v>
      </c>
      <c r="G65" s="1" t="s">
        <v>126</v>
      </c>
      <c r="H65" s="1" t="n">
        <v>33.3779</v>
      </c>
      <c r="J65" s="1" t="s">
        <v>126</v>
      </c>
      <c r="K65" s="1" t="n">
        <v>33.5557</v>
      </c>
      <c r="M65" s="1" t="s">
        <v>126</v>
      </c>
      <c r="N65" s="1" t="n">
        <v>33.5305</v>
      </c>
      <c r="P65" s="1" t="s">
        <v>126</v>
      </c>
      <c r="Q65" s="1" t="n">
        <v>33.5815</v>
      </c>
      <c r="S65" s="1" t="s">
        <v>126</v>
      </c>
      <c r="T65" s="1" t="n">
        <v>33.4691</v>
      </c>
    </row>
    <row r="66" customFormat="false" ht="13.8" hidden="false" customHeight="false" outlineLevel="0" collapsed="false">
      <c r="A66" s="1" t="s">
        <v>127</v>
      </c>
      <c r="B66" s="1" t="n">
        <v>33.0225</v>
      </c>
      <c r="D66" s="1" t="s">
        <v>127</v>
      </c>
      <c r="E66" s="1" t="n">
        <v>33.6475</v>
      </c>
      <c r="G66" s="1" t="s">
        <v>127</v>
      </c>
      <c r="H66" s="1" t="n">
        <v>33.3638</v>
      </c>
      <c r="J66" s="1" t="s">
        <v>127</v>
      </c>
      <c r="K66" s="1" t="n">
        <v>33.6531</v>
      </c>
      <c r="M66" s="1" t="s">
        <v>127</v>
      </c>
      <c r="N66" s="1" t="n">
        <v>33.5205</v>
      </c>
      <c r="P66" s="1" t="s">
        <v>127</v>
      </c>
      <c r="Q66" s="1" t="n">
        <v>33.651</v>
      </c>
      <c r="S66" s="1" t="s">
        <v>127</v>
      </c>
      <c r="T66" s="1" t="n">
        <v>33.5196</v>
      </c>
    </row>
    <row r="67" customFormat="false" ht="13.8" hidden="false" customHeight="false" outlineLevel="0" collapsed="false">
      <c r="A67" s="1" t="s">
        <v>128</v>
      </c>
      <c r="B67" s="1" t="n">
        <v>33.1193</v>
      </c>
      <c r="D67" s="1" t="s">
        <v>128</v>
      </c>
      <c r="E67" s="1" t="n">
        <v>33.7262</v>
      </c>
      <c r="G67" s="1" t="s">
        <v>128</v>
      </c>
      <c r="H67" s="1" t="n">
        <v>33.4013</v>
      </c>
      <c r="J67" s="1" t="s">
        <v>128</v>
      </c>
      <c r="K67" s="1" t="n">
        <v>33.6312</v>
      </c>
      <c r="M67" s="1" t="s">
        <v>128</v>
      </c>
      <c r="N67" s="1" t="n">
        <v>33.5705</v>
      </c>
      <c r="P67" s="1" t="s">
        <v>128</v>
      </c>
      <c r="Q67" s="1" t="n">
        <v>33.6361</v>
      </c>
      <c r="S67" s="1" t="s">
        <v>128</v>
      </c>
      <c r="T67" s="1" t="n">
        <v>33.5406</v>
      </c>
    </row>
    <row r="68" customFormat="false" ht="13.8" hidden="false" customHeight="false" outlineLevel="0" collapsed="false">
      <c r="A68" s="1" t="s">
        <v>129</v>
      </c>
      <c r="B68" s="1" t="n">
        <v>33.3113</v>
      </c>
      <c r="D68" s="1" t="s">
        <v>129</v>
      </c>
      <c r="E68" s="1" t="n">
        <v>33.8492</v>
      </c>
      <c r="G68" s="1" t="s">
        <v>129</v>
      </c>
      <c r="H68" s="1" t="n">
        <v>33.4359</v>
      </c>
      <c r="J68" s="1" t="s">
        <v>129</v>
      </c>
      <c r="K68" s="1" t="n">
        <v>33.6463</v>
      </c>
      <c r="M68" s="1" t="s">
        <v>129</v>
      </c>
      <c r="N68" s="1" t="n">
        <v>33.6274</v>
      </c>
      <c r="P68" s="1" t="s">
        <v>129</v>
      </c>
      <c r="Q68" s="1" t="n">
        <v>33.7042</v>
      </c>
      <c r="S68" s="1" t="s">
        <v>129</v>
      </c>
      <c r="T68" s="1" t="n">
        <v>33.5874</v>
      </c>
    </row>
    <row r="69" customFormat="false" ht="13.8" hidden="false" customHeight="false" outlineLevel="0" collapsed="false">
      <c r="A69" s="1" t="s">
        <v>130</v>
      </c>
      <c r="B69" s="1" t="n">
        <v>33.4712</v>
      </c>
      <c r="D69" s="1" t="s">
        <v>130</v>
      </c>
      <c r="E69" s="1" t="n">
        <v>33.3992</v>
      </c>
      <c r="G69" s="1" t="s">
        <v>130</v>
      </c>
      <c r="H69" s="1" t="n">
        <v>33.493</v>
      </c>
      <c r="J69" s="1" t="s">
        <v>130</v>
      </c>
      <c r="K69" s="1" t="n">
        <v>33.7187</v>
      </c>
      <c r="M69" s="1" t="s">
        <v>130</v>
      </c>
      <c r="N69" s="1" t="n">
        <v>33.6641</v>
      </c>
      <c r="P69" s="1" t="s">
        <v>130</v>
      </c>
      <c r="Q69" s="1" t="n">
        <v>33.7221</v>
      </c>
      <c r="S69" s="1" t="s">
        <v>130</v>
      </c>
      <c r="T69" s="1" t="n">
        <v>33.5984</v>
      </c>
    </row>
    <row r="70" customFormat="false" ht="13.8" hidden="false" customHeight="false" outlineLevel="0" collapsed="false">
      <c r="A70" s="1" t="s">
        <v>131</v>
      </c>
      <c r="B70" s="1" t="n">
        <v>33.6021</v>
      </c>
      <c r="D70" s="1" t="s">
        <v>131</v>
      </c>
      <c r="E70" s="1" t="n">
        <v>33.4456</v>
      </c>
      <c r="G70" s="1" t="s">
        <v>131</v>
      </c>
      <c r="H70" s="1" t="n">
        <v>33.4752</v>
      </c>
      <c r="J70" s="1" t="s">
        <v>131</v>
      </c>
      <c r="K70" s="1" t="n">
        <v>33.754</v>
      </c>
      <c r="M70" s="1" t="s">
        <v>131</v>
      </c>
      <c r="N70" s="1" t="n">
        <v>33.6778</v>
      </c>
      <c r="P70" s="1" t="s">
        <v>131</v>
      </c>
      <c r="Q70" s="1" t="n">
        <v>33.7622</v>
      </c>
      <c r="S70" s="1" t="s">
        <v>131</v>
      </c>
      <c r="T70" s="1" t="n">
        <v>33.6203</v>
      </c>
    </row>
    <row r="71" customFormat="false" ht="13.8" hidden="false" customHeight="false" outlineLevel="0" collapsed="false">
      <c r="A71" s="1" t="s">
        <v>132</v>
      </c>
      <c r="B71" s="1" t="n">
        <v>33.6635</v>
      </c>
      <c r="D71" s="1" t="s">
        <v>132</v>
      </c>
      <c r="E71" s="1" t="n">
        <v>33.5493</v>
      </c>
      <c r="G71" s="1" t="s">
        <v>132</v>
      </c>
      <c r="H71" s="1" t="n">
        <v>33.5125</v>
      </c>
      <c r="J71" s="1" t="s">
        <v>132</v>
      </c>
      <c r="K71" s="1" t="n">
        <v>33.7543</v>
      </c>
      <c r="M71" s="1" t="s">
        <v>132</v>
      </c>
      <c r="N71" s="1" t="n">
        <v>33.7241</v>
      </c>
      <c r="P71" s="1" t="s">
        <v>132</v>
      </c>
      <c r="Q71" s="1" t="n">
        <v>33.7709</v>
      </c>
      <c r="S71" s="1" t="s">
        <v>132</v>
      </c>
      <c r="T71" s="1" t="n">
        <v>33.6831</v>
      </c>
    </row>
    <row r="72" customFormat="false" ht="13.8" hidden="false" customHeight="false" outlineLevel="0" collapsed="false">
      <c r="A72" s="1" t="s">
        <v>133</v>
      </c>
      <c r="B72" s="1" t="n">
        <v>33.726</v>
      </c>
      <c r="D72" s="1" t="s">
        <v>133</v>
      </c>
      <c r="E72" s="1" t="n">
        <v>33.6658</v>
      </c>
      <c r="G72" s="1" t="s">
        <v>133</v>
      </c>
      <c r="H72" s="1" t="n">
        <v>33.5487</v>
      </c>
      <c r="J72" s="1" t="s">
        <v>133</v>
      </c>
      <c r="K72" s="1" t="n">
        <v>33.7998</v>
      </c>
      <c r="M72" s="1" t="s">
        <v>133</v>
      </c>
      <c r="N72" s="1" t="n">
        <v>33.731</v>
      </c>
      <c r="P72" s="1" t="s">
        <v>133</v>
      </c>
      <c r="Q72" s="1" t="n">
        <v>33.8037</v>
      </c>
      <c r="S72" s="1" t="s">
        <v>133</v>
      </c>
      <c r="T72" s="1" t="n">
        <v>33.6867</v>
      </c>
    </row>
    <row r="73" customFormat="false" ht="13.8" hidden="false" customHeight="false" outlineLevel="0" collapsed="false">
      <c r="A73" s="1" t="s">
        <v>134</v>
      </c>
      <c r="B73" s="1" t="n">
        <v>33.7326</v>
      </c>
      <c r="D73" s="1" t="s">
        <v>134</v>
      </c>
      <c r="E73" s="1" t="n">
        <v>33.768</v>
      </c>
      <c r="G73" s="1" t="s">
        <v>134</v>
      </c>
      <c r="H73" s="1" t="n">
        <v>33.5917</v>
      </c>
      <c r="J73" s="1" t="s">
        <v>134</v>
      </c>
      <c r="K73" s="1" t="n">
        <v>33.8018</v>
      </c>
      <c r="M73" s="1" t="s">
        <v>134</v>
      </c>
      <c r="N73" s="1" t="n">
        <v>33.7429</v>
      </c>
      <c r="P73" s="1" t="s">
        <v>134</v>
      </c>
      <c r="Q73" s="1" t="n">
        <v>33.8638</v>
      </c>
      <c r="S73" s="1" t="s">
        <v>134</v>
      </c>
      <c r="T73" s="1" t="n">
        <v>33.7217</v>
      </c>
    </row>
    <row r="74" customFormat="false" ht="13.8" hidden="false" customHeight="false" outlineLevel="0" collapsed="false">
      <c r="A74" s="1" t="s">
        <v>135</v>
      </c>
      <c r="B74" s="1" t="n">
        <v>6.11329</v>
      </c>
      <c r="D74" s="1" t="s">
        <v>135</v>
      </c>
      <c r="E74" s="1" t="n">
        <v>6.1499</v>
      </c>
      <c r="G74" s="1" t="s">
        <v>135</v>
      </c>
      <c r="H74" s="1" t="n">
        <v>6.18157</v>
      </c>
      <c r="J74" s="1" t="s">
        <v>135</v>
      </c>
      <c r="K74" s="1" t="n">
        <v>6.119</v>
      </c>
      <c r="M74" s="1" t="s">
        <v>135</v>
      </c>
      <c r="N74" s="1" t="n">
        <v>6.27454</v>
      </c>
      <c r="P74" s="1" t="s">
        <v>135</v>
      </c>
      <c r="Q74" s="1" t="n">
        <v>6.16502</v>
      </c>
      <c r="S74" s="1" t="s">
        <v>135</v>
      </c>
      <c r="T74" s="1" t="n">
        <v>6.21133</v>
      </c>
    </row>
    <row r="75" customFormat="false" ht="13.8" hidden="false" customHeight="false" outlineLevel="0" collapsed="false">
      <c r="A75" s="1" t="s">
        <v>136</v>
      </c>
      <c r="B75" s="1" t="n">
        <v>6.13414</v>
      </c>
      <c r="D75" s="1" t="s">
        <v>136</v>
      </c>
      <c r="E75" s="1" t="n">
        <v>6.0888</v>
      </c>
      <c r="G75" s="1" t="s">
        <v>136</v>
      </c>
      <c r="H75" s="1" t="n">
        <v>6.18196</v>
      </c>
      <c r="J75" s="1" t="s">
        <v>136</v>
      </c>
      <c r="K75" s="1" t="n">
        <v>6.09237</v>
      </c>
      <c r="M75" s="1" t="s">
        <v>136</v>
      </c>
      <c r="N75" s="1" t="n">
        <v>6.28378</v>
      </c>
      <c r="P75" s="1" t="s">
        <v>136</v>
      </c>
      <c r="Q75" s="1" t="n">
        <v>6.11937</v>
      </c>
      <c r="S75" s="1" t="s">
        <v>136</v>
      </c>
      <c r="T75" s="1" t="n">
        <v>6.20045</v>
      </c>
    </row>
    <row r="76" customFormat="false" ht="13.8" hidden="false" customHeight="false" outlineLevel="0" collapsed="false">
      <c r="A76" s="1" t="s">
        <v>137</v>
      </c>
      <c r="B76" s="1" t="n">
        <v>6.18455</v>
      </c>
      <c r="D76" s="1" t="s">
        <v>137</v>
      </c>
      <c r="E76" s="1" t="n">
        <v>6.0597</v>
      </c>
      <c r="G76" s="1" t="s">
        <v>137</v>
      </c>
      <c r="H76" s="1" t="n">
        <v>6.18158</v>
      </c>
      <c r="J76" s="1" t="s">
        <v>137</v>
      </c>
      <c r="K76" s="1" t="n">
        <v>6.0955</v>
      </c>
      <c r="M76" s="1" t="s">
        <v>137</v>
      </c>
      <c r="N76" s="1" t="n">
        <v>6.26247</v>
      </c>
      <c r="P76" s="1" t="s">
        <v>137</v>
      </c>
      <c r="Q76" s="1" t="n">
        <v>6.12575</v>
      </c>
      <c r="S76" s="1" t="s">
        <v>137</v>
      </c>
      <c r="T76" s="1" t="n">
        <v>6.18689</v>
      </c>
    </row>
    <row r="77" customFormat="false" ht="13.8" hidden="false" customHeight="false" outlineLevel="0" collapsed="false">
      <c r="A77" s="1" t="s">
        <v>138</v>
      </c>
      <c r="B77" s="1" t="n">
        <v>6.18466</v>
      </c>
      <c r="D77" s="1" t="s">
        <v>138</v>
      </c>
      <c r="E77" s="1" t="n">
        <v>6.07742</v>
      </c>
      <c r="G77" s="1" t="s">
        <v>138</v>
      </c>
      <c r="H77" s="1" t="n">
        <v>6.1625</v>
      </c>
      <c r="J77" s="1" t="s">
        <v>138</v>
      </c>
      <c r="K77" s="1" t="n">
        <v>6.08235</v>
      </c>
      <c r="M77" s="1" t="s">
        <v>138</v>
      </c>
      <c r="N77" s="1" t="n">
        <v>6.23654</v>
      </c>
      <c r="P77" s="1" t="s">
        <v>138</v>
      </c>
      <c r="Q77" s="1" t="n">
        <v>6.08759</v>
      </c>
      <c r="S77" s="1" t="s">
        <v>138</v>
      </c>
      <c r="T77" s="1" t="n">
        <v>6.17821</v>
      </c>
    </row>
    <row r="78" customFormat="false" ht="13.8" hidden="false" customHeight="false" outlineLevel="0" collapsed="false">
      <c r="A78" s="1" t="s">
        <v>139</v>
      </c>
      <c r="B78" s="1" t="n">
        <v>6.21101</v>
      </c>
      <c r="D78" s="1" t="s">
        <v>139</v>
      </c>
      <c r="E78" s="1" t="n">
        <v>6.09793</v>
      </c>
      <c r="G78" s="1" t="s">
        <v>139</v>
      </c>
      <c r="H78" s="1" t="n">
        <v>6.13927</v>
      </c>
      <c r="J78" s="1" t="s">
        <v>139</v>
      </c>
      <c r="K78" s="1" t="n">
        <v>6.04839</v>
      </c>
      <c r="M78" s="1" t="s">
        <v>139</v>
      </c>
      <c r="N78" s="1" t="n">
        <v>6.23637</v>
      </c>
      <c r="P78" s="1" t="s">
        <v>139</v>
      </c>
      <c r="Q78" s="1" t="n">
        <v>6.07295</v>
      </c>
      <c r="S78" s="1" t="s">
        <v>139</v>
      </c>
      <c r="T78" s="1" t="n">
        <v>6.15278</v>
      </c>
    </row>
    <row r="79" customFormat="false" ht="13.8" hidden="false" customHeight="false" outlineLevel="0" collapsed="false">
      <c r="A79" s="1" t="s">
        <v>140</v>
      </c>
      <c r="B79" s="1" t="n">
        <v>6.1445</v>
      </c>
      <c r="D79" s="1" t="s">
        <v>140</v>
      </c>
      <c r="E79" s="1" t="n">
        <v>6.02138</v>
      </c>
      <c r="G79" s="1" t="s">
        <v>140</v>
      </c>
      <c r="H79" s="1" t="n">
        <v>6.13687</v>
      </c>
      <c r="J79" s="1" t="s">
        <v>140</v>
      </c>
      <c r="K79" s="1" t="n">
        <v>6.03394</v>
      </c>
      <c r="M79" s="1" t="s">
        <v>140</v>
      </c>
      <c r="N79" s="1" t="n">
        <v>6.21791</v>
      </c>
      <c r="P79" s="1" t="s">
        <v>140</v>
      </c>
      <c r="Q79" s="1" t="n">
        <v>6.06991</v>
      </c>
      <c r="S79" s="1" t="s">
        <v>140</v>
      </c>
      <c r="T79" s="1" t="n">
        <v>6.15107</v>
      </c>
    </row>
    <row r="80" customFormat="false" ht="13.8" hidden="false" customHeight="false" outlineLevel="0" collapsed="false">
      <c r="A80" s="1" t="s">
        <v>141</v>
      </c>
      <c r="B80" s="1" t="n">
        <v>6.11738</v>
      </c>
      <c r="D80" s="1" t="s">
        <v>141</v>
      </c>
      <c r="E80" s="1" t="n">
        <v>5.96813</v>
      </c>
      <c r="G80" s="1" t="s">
        <v>141</v>
      </c>
      <c r="H80" s="1" t="n">
        <v>6.1049</v>
      </c>
      <c r="J80" s="1" t="s">
        <v>141</v>
      </c>
      <c r="K80" s="1" t="n">
        <v>6.03753</v>
      </c>
      <c r="M80" s="1" t="s">
        <v>141</v>
      </c>
      <c r="N80" s="1" t="n">
        <v>6.19559</v>
      </c>
      <c r="P80" s="1" t="s">
        <v>141</v>
      </c>
      <c r="Q80" s="1" t="n">
        <v>6.06101</v>
      </c>
      <c r="S80" s="1" t="s">
        <v>141</v>
      </c>
      <c r="T80" s="1" t="n">
        <v>6.11342</v>
      </c>
    </row>
    <row r="81" customFormat="false" ht="13.8" hidden="false" customHeight="false" outlineLevel="0" collapsed="false">
      <c r="A81" s="1" t="s">
        <v>142</v>
      </c>
      <c r="B81" s="1" t="n">
        <v>6.07317</v>
      </c>
      <c r="D81" s="1" t="s">
        <v>142</v>
      </c>
      <c r="E81" s="1" t="n">
        <v>5.99589</v>
      </c>
      <c r="G81" s="1" t="s">
        <v>142</v>
      </c>
      <c r="H81" s="1" t="n">
        <v>6.08922</v>
      </c>
      <c r="J81" s="1" t="s">
        <v>142</v>
      </c>
      <c r="K81" s="1" t="n">
        <v>6.02337</v>
      </c>
      <c r="M81" s="1" t="s">
        <v>142</v>
      </c>
      <c r="N81" s="1" t="n">
        <v>6.19332</v>
      </c>
      <c r="P81" s="1" t="s">
        <v>142</v>
      </c>
      <c r="Q81" s="1" t="n">
        <v>6.03834</v>
      </c>
      <c r="S81" s="1" t="s">
        <v>142</v>
      </c>
      <c r="T81" s="1" t="n">
        <v>6.11036</v>
      </c>
    </row>
    <row r="82" customFormat="false" ht="13.8" hidden="false" customHeight="false" outlineLevel="0" collapsed="false">
      <c r="A82" s="1" t="s">
        <v>143</v>
      </c>
      <c r="B82" s="1" t="n">
        <v>6.03159</v>
      </c>
      <c r="D82" s="1" t="s">
        <v>143</v>
      </c>
      <c r="E82" s="1" t="n">
        <v>6.0573</v>
      </c>
      <c r="G82" s="1" t="s">
        <v>143</v>
      </c>
      <c r="H82" s="1" t="n">
        <v>6.09969</v>
      </c>
      <c r="J82" s="1" t="s">
        <v>143</v>
      </c>
      <c r="K82" s="1" t="n">
        <v>6.01649</v>
      </c>
      <c r="M82" s="1" t="s">
        <v>143</v>
      </c>
      <c r="N82" s="1" t="n">
        <v>6.17366</v>
      </c>
      <c r="P82" s="1" t="s">
        <v>143</v>
      </c>
      <c r="Q82" s="1" t="n">
        <v>6.03581</v>
      </c>
      <c r="S82" s="1" t="s">
        <v>143</v>
      </c>
      <c r="T82" s="1" t="n">
        <v>6.09547</v>
      </c>
    </row>
    <row r="83" customFormat="false" ht="13.8" hidden="false" customHeight="false" outlineLevel="0" collapsed="false">
      <c r="A83" s="1" t="s">
        <v>144</v>
      </c>
      <c r="B83" s="1" t="n">
        <v>21.1605</v>
      </c>
      <c r="D83" s="1" t="s">
        <v>144</v>
      </c>
      <c r="E83" s="1" t="n">
        <v>21.0222</v>
      </c>
      <c r="G83" s="1" t="s">
        <v>144</v>
      </c>
      <c r="H83" s="1" t="n">
        <v>21.0729</v>
      </c>
      <c r="J83" s="1" t="s">
        <v>144</v>
      </c>
      <c r="K83" s="1" t="n">
        <v>21.0821</v>
      </c>
      <c r="M83" s="1" t="s">
        <v>144</v>
      </c>
      <c r="N83" s="1" t="n">
        <v>21.208</v>
      </c>
      <c r="P83" s="1" t="s">
        <v>144</v>
      </c>
      <c r="Q83" s="1" t="n">
        <v>21.1467</v>
      </c>
      <c r="S83" s="1" t="s">
        <v>144</v>
      </c>
      <c r="T83" s="1" t="n">
        <v>21.1097</v>
      </c>
    </row>
    <row r="84" customFormat="false" ht="13.8" hidden="false" customHeight="false" outlineLevel="0" collapsed="false">
      <c r="A84" s="1" t="s">
        <v>145</v>
      </c>
      <c r="B84" s="1" t="n">
        <v>20.8499</v>
      </c>
      <c r="D84" s="1" t="s">
        <v>145</v>
      </c>
      <c r="E84" s="1" t="n">
        <v>21.0462</v>
      </c>
      <c r="G84" s="1" t="s">
        <v>145</v>
      </c>
      <c r="H84" s="1" t="n">
        <v>21.0523</v>
      </c>
      <c r="J84" s="1" t="s">
        <v>145</v>
      </c>
      <c r="K84" s="1" t="n">
        <v>21.1049</v>
      </c>
      <c r="M84" s="1" t="s">
        <v>145</v>
      </c>
      <c r="N84" s="1" t="n">
        <v>21.2048</v>
      </c>
      <c r="P84" s="1" t="s">
        <v>145</v>
      </c>
      <c r="Q84" s="1" t="n">
        <v>21.1343</v>
      </c>
      <c r="S84" s="1" t="s">
        <v>145</v>
      </c>
      <c r="T84" s="1" t="n">
        <v>21.1167</v>
      </c>
    </row>
    <row r="85" customFormat="false" ht="13.8" hidden="false" customHeight="false" outlineLevel="0" collapsed="false">
      <c r="A85" s="1" t="s">
        <v>146</v>
      </c>
      <c r="B85" s="1" t="n">
        <v>20.8447</v>
      </c>
      <c r="D85" s="1" t="s">
        <v>146</v>
      </c>
      <c r="E85" s="1" t="n">
        <v>21.0822</v>
      </c>
      <c r="G85" s="1" t="s">
        <v>146</v>
      </c>
      <c r="H85" s="1" t="n">
        <v>21.0619</v>
      </c>
      <c r="J85" s="1" t="s">
        <v>146</v>
      </c>
      <c r="K85" s="1" t="n">
        <v>21.0852</v>
      </c>
      <c r="M85" s="1" t="s">
        <v>146</v>
      </c>
      <c r="N85" s="1" t="n">
        <v>21.2048</v>
      </c>
      <c r="P85" s="1" t="s">
        <v>146</v>
      </c>
      <c r="Q85" s="1" t="n">
        <v>21.1243</v>
      </c>
      <c r="S85" s="1" t="s">
        <v>146</v>
      </c>
      <c r="T85" s="1" t="n">
        <v>21.1135</v>
      </c>
    </row>
    <row r="86" customFormat="false" ht="13.8" hidden="false" customHeight="false" outlineLevel="0" collapsed="false">
      <c r="A86" s="1" t="s">
        <v>147</v>
      </c>
      <c r="B86" s="1" t="n">
        <v>20.9441</v>
      </c>
      <c r="D86" s="1" t="s">
        <v>147</v>
      </c>
      <c r="E86" s="1" t="n">
        <v>21.1401</v>
      </c>
      <c r="G86" s="1" t="s">
        <v>147</v>
      </c>
      <c r="H86" s="1" t="n">
        <v>21.0604</v>
      </c>
      <c r="J86" s="1" t="s">
        <v>147</v>
      </c>
      <c r="K86" s="1" t="n">
        <v>21.0758</v>
      </c>
      <c r="M86" s="1" t="s">
        <v>147</v>
      </c>
      <c r="N86" s="1" t="n">
        <v>21.2085</v>
      </c>
      <c r="P86" s="1" t="s">
        <v>147</v>
      </c>
      <c r="Q86" s="1" t="n">
        <v>21.1193</v>
      </c>
      <c r="S86" s="1" t="s">
        <v>147</v>
      </c>
      <c r="T86" s="1" t="n">
        <v>21.1231</v>
      </c>
    </row>
    <row r="87" customFormat="false" ht="13.8" hidden="false" customHeight="false" outlineLevel="0" collapsed="false">
      <c r="A87" s="1" t="s">
        <v>148</v>
      </c>
      <c r="B87" s="1" t="n">
        <v>21.0406</v>
      </c>
      <c r="D87" s="1" t="s">
        <v>148</v>
      </c>
      <c r="E87" s="1" t="n">
        <v>20.8799</v>
      </c>
      <c r="G87" s="1" t="s">
        <v>148</v>
      </c>
      <c r="H87" s="1" t="n">
        <v>21.0586</v>
      </c>
      <c r="J87" s="1" t="s">
        <v>148</v>
      </c>
      <c r="K87" s="1" t="n">
        <v>21.0801</v>
      </c>
      <c r="M87" s="1" t="s">
        <v>148</v>
      </c>
      <c r="N87" s="1" t="n">
        <v>21.2106</v>
      </c>
      <c r="P87" s="1" t="s">
        <v>148</v>
      </c>
      <c r="Q87" s="1" t="n">
        <v>21.1128</v>
      </c>
      <c r="S87" s="1" t="s">
        <v>148</v>
      </c>
      <c r="T87" s="1" t="n">
        <v>21.0975</v>
      </c>
    </row>
    <row r="88" customFormat="false" ht="13.8" hidden="false" customHeight="false" outlineLevel="0" collapsed="false">
      <c r="A88" s="1" t="s">
        <v>149</v>
      </c>
      <c r="B88" s="1" t="n">
        <v>21.0817</v>
      </c>
      <c r="D88" s="1" t="s">
        <v>149</v>
      </c>
      <c r="E88" s="1" t="n">
        <v>20.8622</v>
      </c>
      <c r="G88" s="1" t="s">
        <v>149</v>
      </c>
      <c r="H88" s="1" t="n">
        <v>21.0414</v>
      </c>
      <c r="J88" s="1" t="s">
        <v>149</v>
      </c>
      <c r="K88" s="1" t="n">
        <v>21.075</v>
      </c>
      <c r="M88" s="1" t="s">
        <v>149</v>
      </c>
      <c r="N88" s="1" t="n">
        <v>21.202</v>
      </c>
      <c r="P88" s="1" t="s">
        <v>149</v>
      </c>
      <c r="Q88" s="1" t="n">
        <v>21.1163</v>
      </c>
      <c r="S88" s="1" t="s">
        <v>149</v>
      </c>
      <c r="T88" s="1" t="n">
        <v>21.1008</v>
      </c>
    </row>
    <row r="89" customFormat="false" ht="13.8" hidden="false" customHeight="false" outlineLevel="0" collapsed="false">
      <c r="A89" s="1" t="s">
        <v>150</v>
      </c>
      <c r="B89" s="1" t="n">
        <v>21.1062</v>
      </c>
      <c r="D89" s="1" t="s">
        <v>150</v>
      </c>
      <c r="E89" s="1" t="n">
        <v>20.8912</v>
      </c>
      <c r="G89" s="1" t="s">
        <v>150</v>
      </c>
      <c r="H89" s="1" t="n">
        <v>21.0283</v>
      </c>
      <c r="J89" s="1" t="s">
        <v>150</v>
      </c>
      <c r="K89" s="1" t="n">
        <v>21.0691</v>
      </c>
      <c r="M89" s="1" t="s">
        <v>150</v>
      </c>
      <c r="N89" s="1" t="n">
        <v>21.2018</v>
      </c>
      <c r="P89" s="1" t="s">
        <v>150</v>
      </c>
      <c r="Q89" s="1" t="n">
        <v>21.1175</v>
      </c>
      <c r="S89" s="1" t="s">
        <v>150</v>
      </c>
      <c r="T89" s="1" t="n">
        <v>21.0971</v>
      </c>
    </row>
    <row r="90" customFormat="false" ht="13.8" hidden="false" customHeight="false" outlineLevel="0" collapsed="false">
      <c r="A90" s="1" t="s">
        <v>151</v>
      </c>
      <c r="B90" s="1" t="n">
        <v>21.1152</v>
      </c>
      <c r="D90" s="1" t="s">
        <v>151</v>
      </c>
      <c r="E90" s="1" t="n">
        <v>20.9681</v>
      </c>
      <c r="G90" s="1" t="s">
        <v>151</v>
      </c>
      <c r="H90" s="1" t="n">
        <v>21.0261</v>
      </c>
      <c r="J90" s="1" t="s">
        <v>151</v>
      </c>
      <c r="K90" s="1" t="n">
        <v>21.0808</v>
      </c>
      <c r="M90" s="1" t="s">
        <v>151</v>
      </c>
      <c r="N90" s="1" t="n">
        <v>21.1924</v>
      </c>
      <c r="P90" s="1" t="s">
        <v>151</v>
      </c>
      <c r="Q90" s="1" t="n">
        <v>21.1095</v>
      </c>
      <c r="S90" s="1" t="s">
        <v>151</v>
      </c>
      <c r="T90" s="1" t="n">
        <v>21.0849</v>
      </c>
    </row>
    <row r="91" customFormat="false" ht="13.8" hidden="false" customHeight="false" outlineLevel="0" collapsed="false">
      <c r="A91" s="1" t="s">
        <v>152</v>
      </c>
      <c r="B91" s="1" t="n">
        <v>21.096</v>
      </c>
      <c r="D91" s="1" t="s">
        <v>152</v>
      </c>
      <c r="E91" s="1" t="n">
        <v>20.9796</v>
      </c>
      <c r="G91" s="1" t="s">
        <v>152</v>
      </c>
      <c r="H91" s="1" t="n">
        <v>21.0523</v>
      </c>
      <c r="J91" s="1" t="s">
        <v>152</v>
      </c>
      <c r="K91" s="1" t="n">
        <v>21.0679</v>
      </c>
      <c r="M91" s="1" t="s">
        <v>152</v>
      </c>
      <c r="N91" s="1" t="n">
        <v>21.1826</v>
      </c>
      <c r="P91" s="1" t="s">
        <v>152</v>
      </c>
      <c r="Q91" s="1" t="n">
        <v>21.1248</v>
      </c>
      <c r="S91" s="1" t="s">
        <v>152</v>
      </c>
      <c r="T91" s="1" t="n">
        <v>21.0856</v>
      </c>
    </row>
    <row r="92" customFormat="false" ht="13.8" hidden="false" customHeight="false" outlineLevel="0" collapsed="false">
      <c r="A92" s="1" t="s">
        <v>153</v>
      </c>
      <c r="B92" s="1" t="n">
        <v>14.0584</v>
      </c>
      <c r="D92" s="1" t="s">
        <v>153</v>
      </c>
      <c r="E92" s="1" t="n">
        <v>13.8489</v>
      </c>
      <c r="G92" s="1" t="s">
        <v>153</v>
      </c>
      <c r="H92" s="1" t="n">
        <v>14.3949</v>
      </c>
      <c r="J92" s="1" t="s">
        <v>153</v>
      </c>
      <c r="K92" s="1" t="n">
        <v>14.0005</v>
      </c>
      <c r="M92" s="1" t="s">
        <v>153</v>
      </c>
      <c r="N92" s="1" t="n">
        <v>14.5865</v>
      </c>
      <c r="P92" s="1" t="s">
        <v>153</v>
      </c>
      <c r="Q92" s="1" t="n">
        <v>13.7521</v>
      </c>
      <c r="S92" s="1" t="s">
        <v>153</v>
      </c>
      <c r="T92" s="1" t="n">
        <v>14.0877</v>
      </c>
    </row>
    <row r="93" customFormat="false" ht="13.8" hidden="false" customHeight="false" outlineLevel="0" collapsed="false">
      <c r="A93" s="1" t="s">
        <v>154</v>
      </c>
      <c r="B93" s="1" t="n">
        <v>14.0654</v>
      </c>
      <c r="D93" s="1" t="s">
        <v>154</v>
      </c>
      <c r="E93" s="1" t="n">
        <v>13.89</v>
      </c>
      <c r="G93" s="1" t="s">
        <v>154</v>
      </c>
      <c r="H93" s="1" t="n">
        <v>14.3241</v>
      </c>
      <c r="J93" s="1" t="s">
        <v>154</v>
      </c>
      <c r="K93" s="1" t="n">
        <v>13.955</v>
      </c>
      <c r="M93" s="1" t="s">
        <v>154</v>
      </c>
      <c r="N93" s="1" t="n">
        <v>14.5276</v>
      </c>
      <c r="P93" s="1" t="s">
        <v>154</v>
      </c>
      <c r="Q93" s="1" t="n">
        <v>13.8114</v>
      </c>
      <c r="S93" s="1" t="s">
        <v>154</v>
      </c>
      <c r="T93" s="1" t="n">
        <v>14.1052</v>
      </c>
    </row>
    <row r="94" customFormat="false" ht="13.8" hidden="false" customHeight="false" outlineLevel="0" collapsed="false">
      <c r="A94" s="1" t="s">
        <v>155</v>
      </c>
      <c r="B94" s="1" t="n">
        <v>14.0098</v>
      </c>
      <c r="D94" s="1" t="s">
        <v>155</v>
      </c>
      <c r="E94" s="1" t="n">
        <v>13.8562</v>
      </c>
      <c r="G94" s="1" t="s">
        <v>155</v>
      </c>
      <c r="H94" s="1" t="n">
        <v>14.3587</v>
      </c>
      <c r="J94" s="1" t="s">
        <v>155</v>
      </c>
      <c r="K94" s="1" t="n">
        <v>13.9845</v>
      </c>
      <c r="M94" s="1" t="s">
        <v>155</v>
      </c>
      <c r="N94" s="1" t="n">
        <v>14.5653</v>
      </c>
      <c r="P94" s="1" t="s">
        <v>155</v>
      </c>
      <c r="Q94" s="1" t="n">
        <v>13.8491</v>
      </c>
      <c r="S94" s="1" t="s">
        <v>155</v>
      </c>
      <c r="T94" s="1" t="n">
        <v>14.0802</v>
      </c>
    </row>
    <row r="95" customFormat="false" ht="13.8" hidden="false" customHeight="false" outlineLevel="0" collapsed="false">
      <c r="A95" s="1" t="s">
        <v>156</v>
      </c>
      <c r="B95" s="1" t="n">
        <v>14.0004</v>
      </c>
      <c r="D95" s="1" t="s">
        <v>156</v>
      </c>
      <c r="E95" s="1" t="n">
        <v>13.9659</v>
      </c>
      <c r="G95" s="1" t="s">
        <v>156</v>
      </c>
      <c r="H95" s="1" t="n">
        <v>14.2609</v>
      </c>
      <c r="J95" s="1" t="s">
        <v>156</v>
      </c>
      <c r="K95" s="1" t="n">
        <v>13.9693</v>
      </c>
      <c r="M95" s="1" t="s">
        <v>156</v>
      </c>
      <c r="N95" s="1" t="n">
        <v>14.5448</v>
      </c>
      <c r="P95" s="1" t="s">
        <v>156</v>
      </c>
      <c r="Q95" s="1" t="n">
        <v>13.7905</v>
      </c>
      <c r="S95" s="1" t="s">
        <v>156</v>
      </c>
      <c r="T95" s="1" t="n">
        <v>14.0839</v>
      </c>
    </row>
    <row r="96" customFormat="false" ht="13.8" hidden="false" customHeight="false" outlineLevel="0" collapsed="false">
      <c r="A96" s="1" t="s">
        <v>157</v>
      </c>
      <c r="B96" s="1" t="n">
        <v>13.9903</v>
      </c>
      <c r="D96" s="1" t="s">
        <v>157</v>
      </c>
      <c r="E96" s="1" t="n">
        <v>13.9034</v>
      </c>
      <c r="G96" s="1" t="s">
        <v>157</v>
      </c>
      <c r="H96" s="1" t="n">
        <v>14.3142</v>
      </c>
      <c r="J96" s="1" t="s">
        <v>157</v>
      </c>
      <c r="K96" s="1" t="n">
        <v>13.9219</v>
      </c>
      <c r="M96" s="1" t="s">
        <v>157</v>
      </c>
      <c r="N96" s="1" t="n">
        <v>14.5669</v>
      </c>
      <c r="P96" s="1" t="s">
        <v>157</v>
      </c>
      <c r="Q96" s="1" t="n">
        <v>13.7732</v>
      </c>
      <c r="S96" s="1" t="s">
        <v>157</v>
      </c>
      <c r="T96" s="1" t="n">
        <v>14.0716</v>
      </c>
    </row>
    <row r="97" customFormat="false" ht="13.8" hidden="false" customHeight="false" outlineLevel="0" collapsed="false">
      <c r="A97" s="1" t="s">
        <v>158</v>
      </c>
      <c r="B97" s="1" t="n">
        <v>14.0227</v>
      </c>
      <c r="D97" s="1" t="s">
        <v>158</v>
      </c>
      <c r="E97" s="1" t="n">
        <v>13.9222</v>
      </c>
      <c r="G97" s="1" t="s">
        <v>158</v>
      </c>
      <c r="H97" s="1" t="n">
        <v>14.2881</v>
      </c>
      <c r="J97" s="1" t="s">
        <v>158</v>
      </c>
      <c r="K97" s="1" t="n">
        <v>13.9829</v>
      </c>
      <c r="M97" s="1" t="s">
        <v>158</v>
      </c>
      <c r="N97" s="1" t="n">
        <v>14.5355</v>
      </c>
      <c r="P97" s="1" t="s">
        <v>158</v>
      </c>
      <c r="Q97" s="1" t="n">
        <v>13.7573</v>
      </c>
      <c r="S97" s="1" t="s">
        <v>158</v>
      </c>
      <c r="T97" s="1" t="n">
        <v>14.0724</v>
      </c>
    </row>
    <row r="98" customFormat="false" ht="13.8" hidden="false" customHeight="false" outlineLevel="0" collapsed="false">
      <c r="A98" s="1" t="s">
        <v>159</v>
      </c>
      <c r="B98" s="1" t="n">
        <v>14.0522</v>
      </c>
      <c r="D98" s="1" t="s">
        <v>159</v>
      </c>
      <c r="E98" s="1" t="n">
        <v>13.9495</v>
      </c>
      <c r="G98" s="1" t="s">
        <v>159</v>
      </c>
      <c r="H98" s="1" t="n">
        <v>14.2794</v>
      </c>
      <c r="J98" s="1" t="s">
        <v>159</v>
      </c>
      <c r="K98" s="1" t="n">
        <v>13.938</v>
      </c>
      <c r="M98" s="1" t="s">
        <v>159</v>
      </c>
      <c r="N98" s="1" t="n">
        <v>14.5557</v>
      </c>
      <c r="P98" s="1" t="s">
        <v>159</v>
      </c>
      <c r="Q98" s="1" t="n">
        <v>13.7361</v>
      </c>
      <c r="S98" s="1" t="s">
        <v>159</v>
      </c>
      <c r="T98" s="1" t="n">
        <v>14.0582</v>
      </c>
    </row>
    <row r="99" customFormat="false" ht="13.8" hidden="false" customHeight="false" outlineLevel="0" collapsed="false">
      <c r="A99" s="1" t="s">
        <v>160</v>
      </c>
      <c r="B99" s="1" t="n">
        <v>14.0085</v>
      </c>
      <c r="D99" s="1" t="s">
        <v>160</v>
      </c>
      <c r="E99" s="1" t="n">
        <v>13.9207</v>
      </c>
      <c r="G99" s="1" t="s">
        <v>160</v>
      </c>
      <c r="H99" s="1" t="n">
        <v>14.2466</v>
      </c>
      <c r="J99" s="1" t="s">
        <v>160</v>
      </c>
      <c r="K99" s="1" t="n">
        <v>13.944</v>
      </c>
      <c r="M99" s="1" t="s">
        <v>160</v>
      </c>
      <c r="N99" s="1" t="n">
        <v>14.5327</v>
      </c>
      <c r="P99" s="1" t="s">
        <v>160</v>
      </c>
      <c r="Q99" s="1" t="n">
        <v>13.7593</v>
      </c>
      <c r="S99" s="1" t="s">
        <v>160</v>
      </c>
      <c r="T99" s="1" t="n">
        <v>14.0755</v>
      </c>
    </row>
    <row r="100" customFormat="false" ht="13.8" hidden="false" customHeight="false" outlineLevel="0" collapsed="false">
      <c r="A100" s="1" t="s">
        <v>161</v>
      </c>
      <c r="B100" s="1" t="n">
        <v>14.0577</v>
      </c>
      <c r="D100" s="1" t="s">
        <v>161</v>
      </c>
      <c r="E100" s="1" t="n">
        <v>13.8423</v>
      </c>
      <c r="G100" s="1" t="s">
        <v>161</v>
      </c>
      <c r="H100" s="1" t="n">
        <v>14.3063</v>
      </c>
      <c r="J100" s="1" t="s">
        <v>161</v>
      </c>
      <c r="K100" s="1" t="n">
        <v>13.9477</v>
      </c>
      <c r="M100" s="1" t="s">
        <v>161</v>
      </c>
      <c r="N100" s="1" t="n">
        <v>14.5378</v>
      </c>
      <c r="P100" s="1" t="s">
        <v>161</v>
      </c>
      <c r="Q100" s="1" t="n">
        <v>13.7605</v>
      </c>
      <c r="S100" s="1" t="s">
        <v>161</v>
      </c>
      <c r="T100" s="1" t="n">
        <v>14.0384</v>
      </c>
    </row>
    <row r="101" customFormat="false" ht="13.8" hidden="false" customHeight="false" outlineLevel="0" collapsed="false">
      <c r="A101" s="1" t="s">
        <v>162</v>
      </c>
      <c r="B101" s="1" t="n">
        <v>7.23926</v>
      </c>
      <c r="D101" s="1" t="s">
        <v>162</v>
      </c>
      <c r="E101" s="1" t="n">
        <v>7.21471</v>
      </c>
      <c r="G101" s="1" t="s">
        <v>162</v>
      </c>
      <c r="H101" s="1" t="n">
        <v>7.34858</v>
      </c>
      <c r="J101" s="1" t="s">
        <v>162</v>
      </c>
      <c r="K101" s="1" t="n">
        <v>7.22325</v>
      </c>
      <c r="M101" s="1" t="s">
        <v>162</v>
      </c>
      <c r="N101" s="1" t="n">
        <v>7.44949</v>
      </c>
      <c r="P101" s="1" t="s">
        <v>162</v>
      </c>
      <c r="Q101" s="1" t="n">
        <v>7.22591</v>
      </c>
      <c r="S101" s="1" t="s">
        <v>162</v>
      </c>
      <c r="T101" s="1" t="n">
        <v>7.31559</v>
      </c>
    </row>
    <row r="102" customFormat="false" ht="13.8" hidden="false" customHeight="false" outlineLevel="0" collapsed="false">
      <c r="A102" s="1" t="s">
        <v>163</v>
      </c>
      <c r="B102" s="1" t="n">
        <v>7.26798</v>
      </c>
      <c r="D102" s="1" t="s">
        <v>163</v>
      </c>
      <c r="E102" s="1" t="n">
        <v>7.16546</v>
      </c>
      <c r="G102" s="1" t="s">
        <v>163</v>
      </c>
      <c r="H102" s="1" t="n">
        <v>7.3344</v>
      </c>
      <c r="J102" s="1" t="s">
        <v>163</v>
      </c>
      <c r="K102" s="1" t="n">
        <v>7.19019</v>
      </c>
      <c r="M102" s="1" t="s">
        <v>163</v>
      </c>
      <c r="N102" s="1" t="n">
        <v>7.44567</v>
      </c>
      <c r="P102" s="1" t="s">
        <v>163</v>
      </c>
      <c r="Q102" s="1" t="n">
        <v>7.1914</v>
      </c>
      <c r="S102" s="1" t="s">
        <v>163</v>
      </c>
      <c r="T102" s="1" t="n">
        <v>7.30688</v>
      </c>
    </row>
    <row r="103" customFormat="false" ht="13.8" hidden="false" customHeight="false" outlineLevel="0" collapsed="false">
      <c r="A103" s="1" t="s">
        <v>164</v>
      </c>
      <c r="B103" s="1" t="n">
        <v>7.29188</v>
      </c>
      <c r="D103" s="1" t="s">
        <v>164</v>
      </c>
      <c r="E103" s="1" t="n">
        <v>7.13165</v>
      </c>
      <c r="G103" s="1" t="s">
        <v>164</v>
      </c>
      <c r="H103" s="1" t="n">
        <v>7.33577</v>
      </c>
      <c r="J103" s="1" t="s">
        <v>164</v>
      </c>
      <c r="K103" s="1" t="n">
        <v>7.19325</v>
      </c>
      <c r="M103" s="1" t="s">
        <v>164</v>
      </c>
      <c r="N103" s="1" t="n">
        <v>7.43226</v>
      </c>
      <c r="P103" s="1" t="s">
        <v>164</v>
      </c>
      <c r="Q103" s="1" t="n">
        <v>7.20111</v>
      </c>
      <c r="S103" s="1" t="s">
        <v>164</v>
      </c>
      <c r="T103" s="1" t="n">
        <v>7.28704</v>
      </c>
    </row>
    <row r="104" customFormat="false" ht="13.8" hidden="false" customHeight="false" outlineLevel="0" collapsed="false">
      <c r="A104" s="1" t="s">
        <v>165</v>
      </c>
      <c r="B104" s="1" t="n">
        <v>7.28367</v>
      </c>
      <c r="D104" s="1" t="s">
        <v>165</v>
      </c>
      <c r="E104" s="1" t="n">
        <v>7.159</v>
      </c>
      <c r="G104" s="1" t="s">
        <v>165</v>
      </c>
      <c r="H104" s="1" t="n">
        <v>7.30054</v>
      </c>
      <c r="J104" s="1" t="s">
        <v>165</v>
      </c>
      <c r="K104" s="1" t="n">
        <v>7.18018</v>
      </c>
      <c r="M104" s="1" t="s">
        <v>165</v>
      </c>
      <c r="N104" s="1" t="n">
        <v>7.40225</v>
      </c>
      <c r="P104" s="1" t="s">
        <v>165</v>
      </c>
      <c r="Q104" s="1" t="n">
        <v>7.15545</v>
      </c>
      <c r="S104" s="1" t="s">
        <v>165</v>
      </c>
      <c r="T104" s="1" t="n">
        <v>7.27787</v>
      </c>
    </row>
    <row r="105" customFormat="false" ht="13.8" hidden="false" customHeight="false" outlineLevel="0" collapsed="false">
      <c r="A105" s="1" t="s">
        <v>166</v>
      </c>
      <c r="B105" s="1" t="n">
        <v>7.29817</v>
      </c>
      <c r="D105" s="1" t="s">
        <v>166</v>
      </c>
      <c r="E105" s="1" t="n">
        <v>7.17515</v>
      </c>
      <c r="G105" s="1" t="s">
        <v>166</v>
      </c>
      <c r="H105" s="1" t="n">
        <v>7.28432</v>
      </c>
      <c r="J105" s="1" t="s">
        <v>166</v>
      </c>
      <c r="K105" s="1" t="n">
        <v>7.13773</v>
      </c>
      <c r="M105" s="1" t="s">
        <v>166</v>
      </c>
      <c r="N105" s="1" t="n">
        <v>7.3998</v>
      </c>
      <c r="P105" s="1" t="s">
        <v>166</v>
      </c>
      <c r="Q105" s="1" t="n">
        <v>7.13756</v>
      </c>
      <c r="S105" s="1" t="s">
        <v>166</v>
      </c>
      <c r="T105" s="1" t="n">
        <v>7.24994</v>
      </c>
    </row>
    <row r="106" customFormat="false" ht="13.8" hidden="false" customHeight="false" outlineLevel="0" collapsed="false">
      <c r="A106" s="1" t="s">
        <v>167</v>
      </c>
      <c r="B106" s="1" t="n">
        <v>7.24256</v>
      </c>
      <c r="D106" s="1" t="s">
        <v>167</v>
      </c>
      <c r="E106" s="1" t="n">
        <v>7.1104</v>
      </c>
      <c r="G106" s="1" t="s">
        <v>167</v>
      </c>
      <c r="H106" s="1" t="n">
        <v>7.27495</v>
      </c>
      <c r="J106" s="1" t="s">
        <v>167</v>
      </c>
      <c r="K106" s="1" t="n">
        <v>7.13298</v>
      </c>
      <c r="M106" s="1" t="s">
        <v>167</v>
      </c>
      <c r="N106" s="1" t="n">
        <v>7.3786</v>
      </c>
      <c r="P106" s="1" t="s">
        <v>167</v>
      </c>
      <c r="Q106" s="1" t="n">
        <v>7.12853</v>
      </c>
      <c r="S106" s="1" t="s">
        <v>167</v>
      </c>
      <c r="T106" s="1" t="n">
        <v>7.24863</v>
      </c>
    </row>
    <row r="107" customFormat="false" ht="13.8" hidden="false" customHeight="false" outlineLevel="0" collapsed="false">
      <c r="A107" s="1" t="s">
        <v>168</v>
      </c>
      <c r="B107" s="1" t="n">
        <v>7.22103</v>
      </c>
      <c r="D107" s="1" t="s">
        <v>168</v>
      </c>
      <c r="E107" s="1" t="n">
        <v>7.06598</v>
      </c>
      <c r="G107" s="1" t="s">
        <v>168</v>
      </c>
      <c r="H107" s="1" t="n">
        <v>7.24501</v>
      </c>
      <c r="J107" s="1" t="s">
        <v>168</v>
      </c>
      <c r="K107" s="1" t="n">
        <v>7.124</v>
      </c>
      <c r="M107" s="1" t="s">
        <v>168</v>
      </c>
      <c r="N107" s="1" t="n">
        <v>7.35882</v>
      </c>
      <c r="P107" s="1" t="s">
        <v>168</v>
      </c>
      <c r="Q107" s="1" t="n">
        <v>7.11863</v>
      </c>
      <c r="S107" s="1" t="s">
        <v>168</v>
      </c>
      <c r="T107" s="1" t="n">
        <v>7.21069</v>
      </c>
    </row>
    <row r="108" customFormat="false" ht="13.8" hidden="false" customHeight="false" outlineLevel="0" collapsed="false">
      <c r="A108" s="1" t="s">
        <v>169</v>
      </c>
      <c r="B108" s="1" t="n">
        <v>7.17454</v>
      </c>
      <c r="D108" s="1" t="s">
        <v>169</v>
      </c>
      <c r="E108" s="1" t="n">
        <v>7.08067</v>
      </c>
      <c r="G108" s="1" t="s">
        <v>169</v>
      </c>
      <c r="H108" s="1" t="n">
        <v>7.22535</v>
      </c>
      <c r="J108" s="1" t="s">
        <v>169</v>
      </c>
      <c r="K108" s="1" t="n">
        <v>7.1143</v>
      </c>
      <c r="M108" s="1" t="s">
        <v>169</v>
      </c>
      <c r="N108" s="1" t="n">
        <v>7.35253</v>
      </c>
      <c r="P108" s="1" t="s">
        <v>169</v>
      </c>
      <c r="Q108" s="1" t="n">
        <v>7.1005</v>
      </c>
      <c r="S108" s="1" t="s">
        <v>169</v>
      </c>
      <c r="T108" s="1" t="n">
        <v>7.20858</v>
      </c>
    </row>
    <row r="109" customFormat="false" ht="13.8" hidden="false" customHeight="false" outlineLevel="0" collapsed="false">
      <c r="A109" s="1" t="s">
        <v>170</v>
      </c>
      <c r="B109" s="1" t="n">
        <v>7.14537</v>
      </c>
      <c r="D109" s="1" t="s">
        <v>170</v>
      </c>
      <c r="E109" s="1" t="n">
        <v>7.11144</v>
      </c>
      <c r="G109" s="1" t="s">
        <v>170</v>
      </c>
      <c r="H109" s="1" t="n">
        <v>7.23973</v>
      </c>
      <c r="J109" s="1" t="s">
        <v>170</v>
      </c>
      <c r="K109" s="1" t="n">
        <v>7.10639</v>
      </c>
      <c r="M109" s="1" t="s">
        <v>170</v>
      </c>
      <c r="N109" s="1" t="n">
        <v>7.33337</v>
      </c>
      <c r="P109" s="1" t="s">
        <v>170</v>
      </c>
      <c r="Q109" s="1" t="n">
        <v>7.09434</v>
      </c>
      <c r="S109" s="1" t="s">
        <v>170</v>
      </c>
      <c r="T109" s="1" t="n">
        <v>7.18676</v>
      </c>
    </row>
    <row r="110" customFormat="false" ht="13.8" hidden="false" customHeight="false" outlineLevel="0" collapsed="false">
      <c r="A110" s="1" t="s">
        <v>171</v>
      </c>
      <c r="B110" s="1" t="n">
        <v>36.9185</v>
      </c>
      <c r="D110" s="1" t="s">
        <v>171</v>
      </c>
      <c r="E110" s="1" t="n">
        <v>36.9262</v>
      </c>
      <c r="G110" s="1" t="s">
        <v>171</v>
      </c>
      <c r="H110" s="1" t="n">
        <v>36.6711</v>
      </c>
      <c r="J110" s="1" t="s">
        <v>171</v>
      </c>
      <c r="K110" s="1" t="n">
        <v>36.9304</v>
      </c>
      <c r="M110" s="1" t="s">
        <v>171</v>
      </c>
      <c r="N110" s="1" t="n">
        <v>36.7832</v>
      </c>
      <c r="P110" s="1" t="s">
        <v>171</v>
      </c>
      <c r="Q110" s="1" t="n">
        <v>36.9904</v>
      </c>
      <c r="S110" s="1" t="s">
        <v>171</v>
      </c>
      <c r="T110" s="1" t="n">
        <v>36.7967</v>
      </c>
    </row>
    <row r="111" customFormat="false" ht="13.8" hidden="false" customHeight="false" outlineLevel="0" collapsed="false">
      <c r="A111" s="1" t="s">
        <v>172</v>
      </c>
      <c r="B111" s="1" t="n">
        <v>36.3541</v>
      </c>
      <c r="D111" s="1" t="s">
        <v>172</v>
      </c>
      <c r="E111" s="1" t="n">
        <v>37.0273</v>
      </c>
      <c r="G111" s="1" t="s">
        <v>172</v>
      </c>
      <c r="H111" s="1" t="n">
        <v>36.6582</v>
      </c>
      <c r="J111" s="1" t="s">
        <v>172</v>
      </c>
      <c r="K111" s="1" t="n">
        <v>37.048</v>
      </c>
      <c r="M111" s="1" t="s">
        <v>172</v>
      </c>
      <c r="N111" s="1" t="n">
        <v>36.7714</v>
      </c>
      <c r="P111" s="1" t="s">
        <v>172</v>
      </c>
      <c r="Q111" s="1" t="n">
        <v>37.0582</v>
      </c>
      <c r="S111" s="1" t="s">
        <v>172</v>
      </c>
      <c r="T111" s="1" t="n">
        <v>36.8531</v>
      </c>
    </row>
    <row r="112" customFormat="false" ht="13.8" hidden="false" customHeight="false" outlineLevel="0" collapsed="false">
      <c r="A112" s="1" t="s">
        <v>173</v>
      </c>
      <c r="B112" s="1" t="n">
        <v>36.4784</v>
      </c>
      <c r="D112" s="1" t="s">
        <v>173</v>
      </c>
      <c r="E112" s="1" t="n">
        <v>37.1045</v>
      </c>
      <c r="G112" s="1" t="s">
        <v>173</v>
      </c>
      <c r="H112" s="1" t="n">
        <v>36.6876</v>
      </c>
      <c r="J112" s="1" t="s">
        <v>173</v>
      </c>
      <c r="K112" s="1" t="n">
        <v>37.0037</v>
      </c>
      <c r="M112" s="1" t="s">
        <v>173</v>
      </c>
      <c r="N112" s="1" t="n">
        <v>36.8296</v>
      </c>
      <c r="P112" s="1" t="s">
        <v>173</v>
      </c>
      <c r="Q112" s="1" t="n">
        <v>37.0304</v>
      </c>
      <c r="S112" s="1" t="s">
        <v>173</v>
      </c>
      <c r="T112" s="1" t="n">
        <v>36.8666</v>
      </c>
    </row>
    <row r="113" customFormat="false" ht="13.8" hidden="false" customHeight="false" outlineLevel="0" collapsed="false">
      <c r="A113" s="1" t="s">
        <v>174</v>
      </c>
      <c r="B113" s="1" t="n">
        <v>36.68</v>
      </c>
      <c r="D113" s="1" t="s">
        <v>174</v>
      </c>
      <c r="E113" s="1" t="n">
        <v>37.2224</v>
      </c>
      <c r="G113" s="1" t="s">
        <v>174</v>
      </c>
      <c r="H113" s="1" t="n">
        <v>36.7343</v>
      </c>
      <c r="J113" s="1" t="s">
        <v>174</v>
      </c>
      <c r="K113" s="1" t="n">
        <v>37.0327</v>
      </c>
      <c r="M113" s="1" t="s">
        <v>174</v>
      </c>
      <c r="N113" s="1" t="n">
        <v>36.8893</v>
      </c>
      <c r="P113" s="1" t="s">
        <v>174</v>
      </c>
      <c r="Q113" s="1" t="n">
        <v>37.1146</v>
      </c>
      <c r="S113" s="1" t="s">
        <v>174</v>
      </c>
      <c r="T113" s="1" t="n">
        <v>36.9177</v>
      </c>
    </row>
    <row r="114" customFormat="false" ht="13.8" hidden="false" customHeight="false" outlineLevel="0" collapsed="false">
      <c r="A114" s="1" t="s">
        <v>175</v>
      </c>
      <c r="B114" s="1" t="n">
        <v>36.8437</v>
      </c>
      <c r="D114" s="1" t="s">
        <v>175</v>
      </c>
      <c r="E114" s="1" t="n">
        <v>36.7504</v>
      </c>
      <c r="G114" s="1" t="s">
        <v>175</v>
      </c>
      <c r="H114" s="1" t="n">
        <v>36.7861</v>
      </c>
      <c r="J114" s="1" t="s">
        <v>175</v>
      </c>
      <c r="K114" s="1" t="n">
        <v>37.1082</v>
      </c>
      <c r="M114" s="1" t="s">
        <v>175</v>
      </c>
      <c r="N114" s="1" t="n">
        <v>36.9153</v>
      </c>
      <c r="P114" s="1" t="s">
        <v>175</v>
      </c>
      <c r="Q114" s="1" t="n">
        <v>37.1309</v>
      </c>
      <c r="S114" s="1" t="s">
        <v>175</v>
      </c>
      <c r="T114" s="1" t="n">
        <v>36.9244</v>
      </c>
    </row>
    <row r="115" customFormat="false" ht="13.8" hidden="false" customHeight="false" outlineLevel="0" collapsed="false">
      <c r="A115" s="1" t="s">
        <v>176</v>
      </c>
      <c r="B115" s="1" t="n">
        <v>36.9762</v>
      </c>
      <c r="D115" s="1" t="s">
        <v>176</v>
      </c>
      <c r="E115" s="1" t="n">
        <v>36.7969</v>
      </c>
      <c r="G115" s="1" t="s">
        <v>176</v>
      </c>
      <c r="H115" s="1" t="n">
        <v>36.7586</v>
      </c>
      <c r="J115" s="1" t="s">
        <v>176</v>
      </c>
      <c r="K115" s="1" t="n">
        <v>37.1427</v>
      </c>
      <c r="M115" s="1" t="s">
        <v>176</v>
      </c>
      <c r="N115" s="1" t="n">
        <v>36.938</v>
      </c>
      <c r="P115" s="1" t="s">
        <v>176</v>
      </c>
      <c r="Q115" s="1" t="n">
        <v>37.1711</v>
      </c>
      <c r="S115" s="1" t="s">
        <v>176</v>
      </c>
      <c r="T115" s="1" t="n">
        <v>36.9547</v>
      </c>
    </row>
    <row r="116" customFormat="false" ht="13.8" hidden="false" customHeight="false" outlineLevel="0" collapsed="false">
      <c r="A116" s="1" t="s">
        <v>177</v>
      </c>
      <c r="B116" s="1" t="n">
        <v>37.0295</v>
      </c>
      <c r="D116" s="1" t="s">
        <v>177</v>
      </c>
      <c r="E116" s="1" t="n">
        <v>36.9034</v>
      </c>
      <c r="G116" s="1" t="s">
        <v>177</v>
      </c>
      <c r="H116" s="1" t="n">
        <v>36.8087</v>
      </c>
      <c r="J116" s="1" t="s">
        <v>177</v>
      </c>
      <c r="K116" s="1" t="n">
        <v>37.1303</v>
      </c>
      <c r="M116" s="1" t="s">
        <v>177</v>
      </c>
      <c r="N116" s="1" t="n">
        <v>36.9821</v>
      </c>
      <c r="P116" s="1" t="s">
        <v>177</v>
      </c>
      <c r="Q116" s="1" t="n">
        <v>37.1887</v>
      </c>
      <c r="S116" s="1" t="s">
        <v>177</v>
      </c>
      <c r="T116" s="1" t="n">
        <v>37.0264</v>
      </c>
    </row>
    <row r="117" customFormat="false" ht="13.8" hidden="false" customHeight="false" outlineLevel="0" collapsed="false">
      <c r="A117" s="1" t="s">
        <v>178</v>
      </c>
      <c r="B117" s="1" t="n">
        <v>37.1036</v>
      </c>
      <c r="D117" s="1" t="s">
        <v>178</v>
      </c>
      <c r="E117" s="1" t="n">
        <v>37.0239</v>
      </c>
      <c r="G117" s="1" t="s">
        <v>178</v>
      </c>
      <c r="H117" s="1" t="n">
        <v>36.8595</v>
      </c>
      <c r="J117" s="1" t="s">
        <v>178</v>
      </c>
      <c r="K117" s="1" t="n">
        <v>37.1937</v>
      </c>
      <c r="M117" s="1" t="s">
        <v>178</v>
      </c>
      <c r="N117" s="1" t="n">
        <v>36.9969</v>
      </c>
      <c r="P117" s="1" t="s">
        <v>178</v>
      </c>
      <c r="Q117" s="1" t="n">
        <v>37.2219</v>
      </c>
      <c r="S117" s="1" t="s">
        <v>178</v>
      </c>
      <c r="T117" s="1" t="n">
        <v>37.0255</v>
      </c>
    </row>
    <row r="118" customFormat="false" ht="13.8" hidden="false" customHeight="false" outlineLevel="0" collapsed="false">
      <c r="A118" s="1" t="s">
        <v>179</v>
      </c>
      <c r="B118" s="1" t="n">
        <v>37.1006</v>
      </c>
      <c r="D118" s="1" t="s">
        <v>179</v>
      </c>
      <c r="E118" s="1" t="n">
        <v>37.1495</v>
      </c>
      <c r="G118" s="1" t="s">
        <v>179</v>
      </c>
      <c r="H118" s="1" t="n">
        <v>36.8864</v>
      </c>
      <c r="J118" s="1" t="s">
        <v>179</v>
      </c>
      <c r="K118" s="1" t="n">
        <v>37.1897</v>
      </c>
      <c r="M118" s="1" t="s">
        <v>179</v>
      </c>
      <c r="N118" s="1" t="n">
        <v>37.0012</v>
      </c>
      <c r="P118" s="1" t="s">
        <v>179</v>
      </c>
      <c r="Q118" s="1" t="n">
        <v>37.2821</v>
      </c>
      <c r="S118" s="1" t="s">
        <v>179</v>
      </c>
      <c r="T118" s="1" t="n">
        <v>37.0632</v>
      </c>
    </row>
    <row r="119" customFormat="false" ht="13.8" hidden="false" customHeight="false" outlineLevel="0" collapsed="false">
      <c r="A119" s="1" t="s">
        <v>180</v>
      </c>
      <c r="B119" s="1" t="n">
        <v>23.4746</v>
      </c>
      <c r="D119" s="1" t="s">
        <v>180</v>
      </c>
      <c r="E119" s="1" t="n">
        <v>23.251</v>
      </c>
      <c r="G119" s="1" t="s">
        <v>180</v>
      </c>
      <c r="H119" s="1" t="n">
        <v>23.2393</v>
      </c>
      <c r="J119" s="1" t="s">
        <v>180</v>
      </c>
      <c r="K119" s="1" t="n">
        <v>23.283</v>
      </c>
      <c r="M119" s="1" t="s">
        <v>180</v>
      </c>
      <c r="N119" s="1" t="n">
        <v>23.4318</v>
      </c>
      <c r="P119" s="1" t="s">
        <v>180</v>
      </c>
      <c r="Q119" s="1" t="n">
        <v>23.3784</v>
      </c>
      <c r="S119" s="1" t="s">
        <v>180</v>
      </c>
      <c r="T119" s="1" t="n">
        <v>23.3019</v>
      </c>
    </row>
    <row r="120" customFormat="false" ht="13.8" hidden="false" customHeight="false" outlineLevel="0" collapsed="false">
      <c r="A120" s="1" t="s">
        <v>181</v>
      </c>
      <c r="B120" s="1" t="n">
        <v>23.0622</v>
      </c>
      <c r="D120" s="1" t="s">
        <v>181</v>
      </c>
      <c r="E120" s="1" t="n">
        <v>23.3233</v>
      </c>
      <c r="G120" s="1" t="s">
        <v>181</v>
      </c>
      <c r="H120" s="1" t="n">
        <v>23.2362</v>
      </c>
      <c r="J120" s="1" t="s">
        <v>181</v>
      </c>
      <c r="K120" s="1" t="n">
        <v>23.3258</v>
      </c>
      <c r="M120" s="1" t="s">
        <v>181</v>
      </c>
      <c r="N120" s="1" t="n">
        <v>23.4453</v>
      </c>
      <c r="P120" s="1" t="s">
        <v>181</v>
      </c>
      <c r="Q120" s="1" t="n">
        <v>23.3855</v>
      </c>
      <c r="S120" s="1" t="s">
        <v>181</v>
      </c>
      <c r="T120" s="1" t="n">
        <v>23.3352</v>
      </c>
    </row>
    <row r="121" customFormat="false" ht="13.8" hidden="false" customHeight="false" outlineLevel="0" collapsed="false">
      <c r="A121" s="1" t="s">
        <v>182</v>
      </c>
      <c r="B121" s="1" t="n">
        <v>23.033</v>
      </c>
      <c r="D121" s="1" t="s">
        <v>182</v>
      </c>
      <c r="E121" s="1" t="n">
        <v>23.395</v>
      </c>
      <c r="G121" s="1" t="s">
        <v>182</v>
      </c>
      <c r="H121" s="1" t="n">
        <v>23.2596</v>
      </c>
      <c r="J121" s="1" t="s">
        <v>182</v>
      </c>
      <c r="K121" s="1" t="n">
        <v>23.3365</v>
      </c>
      <c r="M121" s="1" t="s">
        <v>182</v>
      </c>
      <c r="N121" s="1" t="n">
        <v>23.4626</v>
      </c>
      <c r="P121" s="1" t="s">
        <v>182</v>
      </c>
      <c r="Q121" s="1" t="n">
        <v>23.3939</v>
      </c>
      <c r="S121" s="1" t="s">
        <v>182</v>
      </c>
      <c r="T121" s="1" t="n">
        <v>23.3445</v>
      </c>
    </row>
    <row r="122" customFormat="false" ht="13.8" hidden="false" customHeight="false" outlineLevel="0" collapsed="false">
      <c r="A122" s="1" t="s">
        <v>183</v>
      </c>
      <c r="B122" s="1" t="n">
        <v>23.1448</v>
      </c>
      <c r="D122" s="1" t="s">
        <v>183</v>
      </c>
      <c r="E122" s="1" t="n">
        <v>23.448</v>
      </c>
      <c r="G122" s="1" t="s">
        <v>183</v>
      </c>
      <c r="H122" s="1" t="n">
        <v>23.2849</v>
      </c>
      <c r="J122" s="1" t="s">
        <v>183</v>
      </c>
      <c r="K122" s="1" t="n">
        <v>23.3407</v>
      </c>
      <c r="M122" s="1" t="s">
        <v>183</v>
      </c>
      <c r="N122" s="1" t="n">
        <v>23.4868</v>
      </c>
      <c r="P122" s="1" t="s">
        <v>183</v>
      </c>
      <c r="Q122" s="1" t="n">
        <v>23.4034</v>
      </c>
      <c r="S122" s="1" t="s">
        <v>183</v>
      </c>
      <c r="T122" s="1" t="n">
        <v>23.3835</v>
      </c>
    </row>
    <row r="123" customFormat="false" ht="13.8" hidden="false" customHeight="false" outlineLevel="0" collapsed="false">
      <c r="A123" s="1" t="s">
        <v>184</v>
      </c>
      <c r="B123" s="1" t="n">
        <v>23.2822</v>
      </c>
      <c r="D123" s="1" t="s">
        <v>184</v>
      </c>
      <c r="E123" s="1" t="n">
        <v>23.0982</v>
      </c>
      <c r="G123" s="1" t="s">
        <v>184</v>
      </c>
      <c r="H123" s="1" t="n">
        <v>23.2913</v>
      </c>
      <c r="J123" s="1" t="s">
        <v>184</v>
      </c>
      <c r="K123" s="1" t="n">
        <v>23.3615</v>
      </c>
      <c r="M123" s="1" t="s">
        <v>184</v>
      </c>
      <c r="N123" s="1" t="n">
        <v>23.5117</v>
      </c>
      <c r="P123" s="1" t="s">
        <v>184</v>
      </c>
      <c r="Q123" s="1" t="n">
        <v>23.4174</v>
      </c>
      <c r="S123" s="1" t="s">
        <v>184</v>
      </c>
      <c r="T123" s="1" t="n">
        <v>23.3634</v>
      </c>
    </row>
    <row r="124" customFormat="false" ht="13.8" hidden="false" customHeight="false" outlineLevel="0" collapsed="false">
      <c r="A124" s="1" t="s">
        <v>185</v>
      </c>
      <c r="B124" s="1" t="n">
        <v>23.3604</v>
      </c>
      <c r="D124" s="1" t="s">
        <v>185</v>
      </c>
      <c r="E124" s="1" t="n">
        <v>23.1328</v>
      </c>
      <c r="G124" s="1" t="s">
        <v>185</v>
      </c>
      <c r="H124" s="1" t="n">
        <v>23.2971</v>
      </c>
      <c r="J124" s="1" t="s">
        <v>185</v>
      </c>
      <c r="K124" s="1" t="n">
        <v>23.3726</v>
      </c>
      <c r="M124" s="1" t="s">
        <v>185</v>
      </c>
      <c r="N124" s="1" t="n">
        <v>23.5163</v>
      </c>
      <c r="P124" s="1" t="s">
        <v>185</v>
      </c>
      <c r="Q124" s="1" t="n">
        <v>23.4414</v>
      </c>
      <c r="S124" s="1" t="s">
        <v>185</v>
      </c>
      <c r="T124" s="1" t="n">
        <v>23.3949</v>
      </c>
    </row>
    <row r="125" customFormat="false" ht="13.8" hidden="false" customHeight="false" outlineLevel="0" collapsed="false">
      <c r="A125" s="1" t="s">
        <v>186</v>
      </c>
      <c r="B125" s="1" t="n">
        <v>23.4303</v>
      </c>
      <c r="D125" s="1" t="s">
        <v>186</v>
      </c>
      <c r="E125" s="1" t="n">
        <v>23.2105</v>
      </c>
      <c r="G125" s="1" t="s">
        <v>186</v>
      </c>
      <c r="H125" s="1" t="n">
        <v>23.3035</v>
      </c>
      <c r="J125" s="1" t="s">
        <v>186</v>
      </c>
      <c r="K125" s="1" t="n">
        <v>23.3852</v>
      </c>
      <c r="M125" s="1" t="s">
        <v>186</v>
      </c>
      <c r="N125" s="1" t="n">
        <v>23.5287</v>
      </c>
      <c r="P125" s="1" t="s">
        <v>186</v>
      </c>
      <c r="Q125" s="1" t="n">
        <v>23.4586</v>
      </c>
      <c r="S125" s="1" t="s">
        <v>186</v>
      </c>
      <c r="T125" s="1" t="n">
        <v>23.4</v>
      </c>
    </row>
    <row r="126" customFormat="false" ht="13.8" hidden="false" customHeight="false" outlineLevel="0" collapsed="false">
      <c r="A126" s="1" t="s">
        <v>187</v>
      </c>
      <c r="B126" s="1" t="n">
        <v>23.4863</v>
      </c>
      <c r="D126" s="1" t="s">
        <v>187</v>
      </c>
      <c r="E126" s="1" t="n">
        <v>23.3093</v>
      </c>
      <c r="G126" s="1" t="s">
        <v>187</v>
      </c>
      <c r="H126" s="1" t="n">
        <v>23.3037</v>
      </c>
      <c r="J126" s="1" t="s">
        <v>187</v>
      </c>
      <c r="K126" s="1" t="n">
        <v>23.4147</v>
      </c>
      <c r="M126" s="1" t="s">
        <v>187</v>
      </c>
      <c r="N126" s="1" t="n">
        <v>23.5388</v>
      </c>
      <c r="P126" s="1" t="s">
        <v>187</v>
      </c>
      <c r="Q126" s="1" t="n">
        <v>23.4664</v>
      </c>
      <c r="S126" s="1" t="s">
        <v>187</v>
      </c>
      <c r="T126" s="1" t="n">
        <v>23.4032</v>
      </c>
    </row>
    <row r="127" customFormat="false" ht="13.8" hidden="false" customHeight="false" outlineLevel="0" collapsed="false">
      <c r="A127" s="1" t="s">
        <v>188</v>
      </c>
      <c r="B127" s="1" t="n">
        <v>23.5193</v>
      </c>
      <c r="D127" s="1" t="s">
        <v>188</v>
      </c>
      <c r="E127" s="1" t="n">
        <v>23.304</v>
      </c>
      <c r="G127" s="1" t="s">
        <v>188</v>
      </c>
      <c r="H127" s="1" t="n">
        <v>23.3552</v>
      </c>
      <c r="J127" s="1" t="s">
        <v>188</v>
      </c>
      <c r="K127" s="1" t="n">
        <v>23.4069</v>
      </c>
      <c r="M127" s="1" t="s">
        <v>188</v>
      </c>
      <c r="N127" s="1" t="n">
        <v>23.5449</v>
      </c>
      <c r="P127" s="1" t="s">
        <v>188</v>
      </c>
      <c r="Q127" s="1" t="n">
        <v>23.4945</v>
      </c>
      <c r="S127" s="1" t="s">
        <v>188</v>
      </c>
      <c r="T127" s="1" t="n">
        <v>23.4267</v>
      </c>
    </row>
    <row r="128" customFormat="false" ht="13.8" hidden="false" customHeight="false" outlineLevel="0" collapsed="false">
      <c r="A128" s="1" t="s">
        <v>189</v>
      </c>
      <c r="B128" s="1" t="n">
        <v>13.3305</v>
      </c>
      <c r="D128" s="1" t="s">
        <v>189</v>
      </c>
      <c r="E128" s="1" t="n">
        <v>13.1876</v>
      </c>
      <c r="G128" s="1" t="s">
        <v>189</v>
      </c>
      <c r="H128" s="1" t="n">
        <v>13.4524</v>
      </c>
      <c r="J128" s="1" t="s">
        <v>189</v>
      </c>
      <c r="K128" s="1" t="n">
        <v>13.3759</v>
      </c>
      <c r="M128" s="1" t="s">
        <v>189</v>
      </c>
      <c r="N128" s="1" t="n">
        <v>13.5838</v>
      </c>
      <c r="P128" s="1" t="s">
        <v>189</v>
      </c>
      <c r="Q128" s="1" t="n">
        <v>13.2786</v>
      </c>
      <c r="S128" s="1" t="s">
        <v>189</v>
      </c>
      <c r="T128" s="1" t="n">
        <v>13.4328</v>
      </c>
    </row>
    <row r="129" customFormat="false" ht="13.8" hidden="false" customHeight="false" outlineLevel="0" collapsed="false">
      <c r="A129" s="1" t="s">
        <v>190</v>
      </c>
      <c r="B129" s="1" t="n">
        <v>13.3166</v>
      </c>
      <c r="D129" s="1" t="s">
        <v>190</v>
      </c>
      <c r="E129" s="1" t="n">
        <v>13.1566</v>
      </c>
      <c r="G129" s="1" t="s">
        <v>190</v>
      </c>
      <c r="H129" s="1" t="n">
        <v>13.3936</v>
      </c>
      <c r="J129" s="1" t="s">
        <v>190</v>
      </c>
      <c r="K129" s="1" t="n">
        <v>13.3456</v>
      </c>
      <c r="M129" s="1" t="s">
        <v>190</v>
      </c>
      <c r="N129" s="1" t="n">
        <v>13.5427</v>
      </c>
      <c r="P129" s="1" t="s">
        <v>190</v>
      </c>
      <c r="Q129" s="1" t="n">
        <v>13.2542</v>
      </c>
      <c r="S129" s="1" t="s">
        <v>190</v>
      </c>
      <c r="T129" s="1" t="n">
        <v>13.394</v>
      </c>
    </row>
    <row r="130" customFormat="false" ht="13.8" hidden="false" customHeight="false" outlineLevel="0" collapsed="false">
      <c r="A130" s="1" t="s">
        <v>191</v>
      </c>
      <c r="B130" s="1" t="n">
        <v>13.2731</v>
      </c>
      <c r="D130" s="1" t="s">
        <v>191</v>
      </c>
      <c r="E130" s="1" t="n">
        <v>13.1238</v>
      </c>
      <c r="G130" s="1" t="s">
        <v>191</v>
      </c>
      <c r="H130" s="1" t="n">
        <v>13.395</v>
      </c>
      <c r="J130" s="1" t="s">
        <v>191</v>
      </c>
      <c r="K130" s="1" t="n">
        <v>13.2943</v>
      </c>
      <c r="M130" s="1" t="s">
        <v>191</v>
      </c>
      <c r="N130" s="1" t="n">
        <v>13.5303</v>
      </c>
      <c r="P130" s="1" t="s">
        <v>191</v>
      </c>
      <c r="Q130" s="1" t="n">
        <v>13.2307</v>
      </c>
      <c r="S130" s="1" t="s">
        <v>191</v>
      </c>
      <c r="T130" s="1" t="n">
        <v>13.3712</v>
      </c>
    </row>
    <row r="131" customFormat="false" ht="13.8" hidden="false" customHeight="false" outlineLevel="0" collapsed="false">
      <c r="A131" s="1" t="s">
        <v>192</v>
      </c>
      <c r="B131" s="1" t="n">
        <v>13.2804</v>
      </c>
      <c r="D131" s="1" t="s">
        <v>192</v>
      </c>
      <c r="E131" s="1" t="n">
        <v>13.1746</v>
      </c>
      <c r="G131" s="1" t="s">
        <v>192</v>
      </c>
      <c r="H131" s="1" t="n">
        <v>13.324</v>
      </c>
      <c r="J131" s="1" t="s">
        <v>192</v>
      </c>
      <c r="K131" s="1" t="n">
        <v>13.2622</v>
      </c>
      <c r="M131" s="1" t="s">
        <v>192</v>
      </c>
      <c r="N131" s="1" t="n">
        <v>13.4912</v>
      </c>
      <c r="P131" s="1" t="s">
        <v>192</v>
      </c>
      <c r="Q131" s="1" t="n">
        <v>13.1951</v>
      </c>
      <c r="S131" s="1" t="s">
        <v>192</v>
      </c>
      <c r="T131" s="1" t="n">
        <v>13.3339</v>
      </c>
    </row>
    <row r="132" customFormat="false" ht="13.8" hidden="false" customHeight="false" outlineLevel="0" collapsed="false">
      <c r="A132" s="1" t="s">
        <v>193</v>
      </c>
      <c r="B132" s="1" t="n">
        <v>13.2421</v>
      </c>
      <c r="D132" s="1" t="s">
        <v>193</v>
      </c>
      <c r="E132" s="1" t="n">
        <v>13.1598</v>
      </c>
      <c r="G132" s="1" t="s">
        <v>193</v>
      </c>
      <c r="H132" s="1" t="n">
        <v>13.338</v>
      </c>
      <c r="J132" s="1" t="s">
        <v>193</v>
      </c>
      <c r="K132" s="1" t="n">
        <v>13.2341</v>
      </c>
      <c r="M132" s="1" t="s">
        <v>193</v>
      </c>
      <c r="N132" s="1" t="n">
        <v>13.4678</v>
      </c>
      <c r="P132" s="1" t="s">
        <v>193</v>
      </c>
      <c r="Q132" s="1" t="n">
        <v>13.1484</v>
      </c>
      <c r="S132" s="1" t="s">
        <v>193</v>
      </c>
      <c r="T132" s="1" t="n">
        <v>13.3145</v>
      </c>
    </row>
    <row r="133" customFormat="false" ht="13.8" hidden="false" customHeight="false" outlineLevel="0" collapsed="false">
      <c r="A133" s="1" t="s">
        <v>194</v>
      </c>
      <c r="B133" s="1" t="n">
        <v>13.2219</v>
      </c>
      <c r="D133" s="1" t="s">
        <v>194</v>
      </c>
      <c r="E133" s="1" t="n">
        <v>13.1056</v>
      </c>
      <c r="G133" s="1" t="s">
        <v>194</v>
      </c>
      <c r="H133" s="1" t="n">
        <v>13.2716</v>
      </c>
      <c r="J133" s="1" t="s">
        <v>194</v>
      </c>
      <c r="K133" s="1" t="n">
        <v>13.2302</v>
      </c>
      <c r="M133" s="1" t="s">
        <v>194</v>
      </c>
      <c r="N133" s="1" t="n">
        <v>13.4338</v>
      </c>
      <c r="P133" s="1" t="s">
        <v>194</v>
      </c>
      <c r="Q133" s="1" t="n">
        <v>13.128</v>
      </c>
      <c r="S133" s="1" t="s">
        <v>194</v>
      </c>
      <c r="T133" s="1" t="n">
        <v>13.258</v>
      </c>
    </row>
    <row r="134" customFormat="false" ht="13.8" hidden="false" customHeight="false" outlineLevel="0" collapsed="false">
      <c r="A134" s="1" t="s">
        <v>195</v>
      </c>
      <c r="B134" s="1" t="n">
        <v>13.2012</v>
      </c>
      <c r="D134" s="1" t="s">
        <v>195</v>
      </c>
      <c r="E134" s="1" t="n">
        <v>13.058</v>
      </c>
      <c r="G134" s="1" t="s">
        <v>195</v>
      </c>
      <c r="H134" s="1" t="n">
        <v>13.2406</v>
      </c>
      <c r="J134" s="1" t="s">
        <v>195</v>
      </c>
      <c r="K134" s="1" t="n">
        <v>13.1834</v>
      </c>
      <c r="M134" s="1" t="s">
        <v>195</v>
      </c>
      <c r="N134" s="1" t="n">
        <v>13.4261</v>
      </c>
      <c r="P134" s="1" t="s">
        <v>195</v>
      </c>
      <c r="Q134" s="1" t="n">
        <v>13.0929</v>
      </c>
      <c r="S134" s="1" t="s">
        <v>195</v>
      </c>
      <c r="T134" s="1" t="n">
        <v>13.2623</v>
      </c>
    </row>
    <row r="135" customFormat="false" ht="13.8" hidden="false" customHeight="false" outlineLevel="0" collapsed="false">
      <c r="A135" s="1" t="s">
        <v>196</v>
      </c>
      <c r="B135" s="1" t="n">
        <v>13.1523</v>
      </c>
      <c r="D135" s="1" t="s">
        <v>196</v>
      </c>
      <c r="E135" s="1" t="n">
        <v>13.0535</v>
      </c>
      <c r="G135" s="1" t="s">
        <v>196</v>
      </c>
      <c r="H135" s="1" t="n">
        <v>13.2379</v>
      </c>
      <c r="J135" s="1" t="s">
        <v>196</v>
      </c>
      <c r="K135" s="1" t="n">
        <v>13.1611</v>
      </c>
      <c r="M135" s="1" t="s">
        <v>196</v>
      </c>
      <c r="N135" s="1" t="n">
        <v>13.3829</v>
      </c>
      <c r="P135" s="1" t="s">
        <v>196</v>
      </c>
      <c r="Q135" s="1" t="n">
        <v>13.081</v>
      </c>
      <c r="S135" s="1" t="s">
        <v>196</v>
      </c>
      <c r="T135" s="1" t="n">
        <v>13.2307</v>
      </c>
    </row>
    <row r="136" customFormat="false" ht="13.8" hidden="false" customHeight="false" outlineLevel="0" collapsed="false">
      <c r="A136" s="1" t="s">
        <v>197</v>
      </c>
      <c r="B136" s="1" t="n">
        <v>13.1133</v>
      </c>
      <c r="D136" s="1" t="s">
        <v>197</v>
      </c>
      <c r="E136" s="1" t="n">
        <v>12.9897</v>
      </c>
      <c r="G136" s="1" t="s">
        <v>197</v>
      </c>
      <c r="H136" s="1" t="n">
        <v>13.2304</v>
      </c>
      <c r="J136" s="1" t="s">
        <v>197</v>
      </c>
      <c r="K136" s="1" t="n">
        <v>13.1667</v>
      </c>
      <c r="M136" s="1" t="s">
        <v>197</v>
      </c>
      <c r="N136" s="1" t="n">
        <v>13.3524</v>
      </c>
      <c r="P136" s="1" t="s">
        <v>197</v>
      </c>
      <c r="Q136" s="1" t="n">
        <v>13.0809</v>
      </c>
      <c r="S136" s="1" t="s">
        <v>197</v>
      </c>
      <c r="T136" s="1" t="n">
        <v>13.177</v>
      </c>
    </row>
    <row r="137" customFormat="false" ht="13.8" hidden="false" customHeight="false" outlineLevel="0" collapsed="false">
      <c r="A137" s="1" t="s">
        <v>198</v>
      </c>
      <c r="B137" s="1" t="n">
        <v>17.7891</v>
      </c>
      <c r="D137" s="1" t="s">
        <v>198</v>
      </c>
      <c r="E137" s="1" t="n">
        <v>17.6849</v>
      </c>
      <c r="G137" s="1" t="s">
        <v>198</v>
      </c>
      <c r="H137" s="1" t="n">
        <v>17.688</v>
      </c>
      <c r="J137" s="1" t="s">
        <v>198</v>
      </c>
      <c r="K137" s="1" t="n">
        <v>17.754</v>
      </c>
      <c r="M137" s="1" t="s">
        <v>198</v>
      </c>
      <c r="N137" s="1" t="n">
        <v>17.8087</v>
      </c>
      <c r="P137" s="1" t="s">
        <v>198</v>
      </c>
      <c r="Q137" s="1" t="n">
        <v>17.8261</v>
      </c>
      <c r="S137" s="1" t="s">
        <v>198</v>
      </c>
      <c r="T137" s="1" t="n">
        <v>17.8008</v>
      </c>
    </row>
    <row r="138" customFormat="false" ht="13.8" hidden="false" customHeight="false" outlineLevel="0" collapsed="false">
      <c r="A138" s="1" t="s">
        <v>199</v>
      </c>
      <c r="B138" s="1" t="n">
        <v>17.5422</v>
      </c>
      <c r="D138" s="1" t="s">
        <v>199</v>
      </c>
      <c r="E138" s="1" t="n">
        <v>17.7228</v>
      </c>
      <c r="G138" s="1" t="s">
        <v>199</v>
      </c>
      <c r="H138" s="1" t="n">
        <v>17.6641</v>
      </c>
      <c r="J138" s="1" t="s">
        <v>199</v>
      </c>
      <c r="K138" s="1" t="n">
        <v>17.7658</v>
      </c>
      <c r="M138" s="1" t="s">
        <v>199</v>
      </c>
      <c r="N138" s="1" t="n">
        <v>17.8078</v>
      </c>
      <c r="P138" s="1" t="s">
        <v>199</v>
      </c>
      <c r="Q138" s="1" t="n">
        <v>17.8232</v>
      </c>
      <c r="S138" s="1" t="s">
        <v>199</v>
      </c>
      <c r="T138" s="1" t="n">
        <v>17.8113</v>
      </c>
    </row>
    <row r="139" customFormat="false" ht="13.8" hidden="false" customHeight="false" outlineLevel="0" collapsed="false">
      <c r="A139" s="1" t="s">
        <v>200</v>
      </c>
      <c r="B139" s="1" t="n">
        <v>17.5189</v>
      </c>
      <c r="D139" s="1" t="s">
        <v>200</v>
      </c>
      <c r="E139" s="1" t="n">
        <v>17.7419</v>
      </c>
      <c r="G139" s="1" t="s">
        <v>200</v>
      </c>
      <c r="H139" s="1" t="n">
        <v>17.6704</v>
      </c>
      <c r="J139" s="1" t="s">
        <v>200</v>
      </c>
      <c r="K139" s="1" t="n">
        <v>17.7624</v>
      </c>
      <c r="M139" s="1" t="s">
        <v>200</v>
      </c>
      <c r="N139" s="1" t="n">
        <v>17.7941</v>
      </c>
      <c r="P139" s="1" t="s">
        <v>200</v>
      </c>
      <c r="Q139" s="1" t="n">
        <v>17.8083</v>
      </c>
      <c r="S139" s="1" t="s">
        <v>200</v>
      </c>
      <c r="T139" s="1" t="n">
        <v>17.8034</v>
      </c>
    </row>
    <row r="140" customFormat="false" ht="13.8" hidden="false" customHeight="false" outlineLevel="0" collapsed="false">
      <c r="A140" s="1" t="s">
        <v>201</v>
      </c>
      <c r="B140" s="1" t="n">
        <v>17.593</v>
      </c>
      <c r="D140" s="1" t="s">
        <v>201</v>
      </c>
      <c r="E140" s="1" t="n">
        <v>17.7839</v>
      </c>
      <c r="G140" s="1" t="s">
        <v>201</v>
      </c>
      <c r="H140" s="1" t="n">
        <v>17.6666</v>
      </c>
      <c r="J140" s="1" t="s">
        <v>201</v>
      </c>
      <c r="K140" s="1" t="n">
        <v>17.7416</v>
      </c>
      <c r="M140" s="1" t="s">
        <v>201</v>
      </c>
      <c r="N140" s="1" t="n">
        <v>17.7946</v>
      </c>
      <c r="P140" s="1" t="s">
        <v>201</v>
      </c>
      <c r="Q140" s="1" t="n">
        <v>17.8047</v>
      </c>
      <c r="S140" s="1" t="s">
        <v>201</v>
      </c>
      <c r="T140" s="1" t="n">
        <v>17.8142</v>
      </c>
    </row>
    <row r="141" customFormat="false" ht="13.8" hidden="false" customHeight="false" outlineLevel="0" collapsed="false">
      <c r="A141" s="1" t="s">
        <v>202</v>
      </c>
      <c r="B141" s="1" t="n">
        <v>17.6585</v>
      </c>
      <c r="D141" s="1" t="s">
        <v>202</v>
      </c>
      <c r="E141" s="1" t="n">
        <v>17.5861</v>
      </c>
      <c r="G141" s="1" t="s">
        <v>202</v>
      </c>
      <c r="H141" s="1" t="n">
        <v>17.6634</v>
      </c>
      <c r="J141" s="1" t="s">
        <v>202</v>
      </c>
      <c r="K141" s="1" t="n">
        <v>17.7495</v>
      </c>
      <c r="M141" s="1" t="s">
        <v>202</v>
      </c>
      <c r="N141" s="1" t="n">
        <v>17.7989</v>
      </c>
      <c r="P141" s="1" t="s">
        <v>202</v>
      </c>
      <c r="Q141" s="1" t="n">
        <v>17.784</v>
      </c>
      <c r="S141" s="1" t="s">
        <v>202</v>
      </c>
      <c r="T141" s="1" t="n">
        <v>17.7851</v>
      </c>
    </row>
    <row r="142" customFormat="false" ht="13.8" hidden="false" customHeight="false" outlineLevel="0" collapsed="false">
      <c r="A142" s="1" t="s">
        <v>203</v>
      </c>
      <c r="B142" s="1" t="n">
        <v>17.69</v>
      </c>
      <c r="D142" s="1" t="s">
        <v>203</v>
      </c>
      <c r="E142" s="1" t="n">
        <v>17.5746</v>
      </c>
      <c r="G142" s="1" t="s">
        <v>203</v>
      </c>
      <c r="H142" s="1" t="n">
        <v>17.6468</v>
      </c>
      <c r="J142" s="1" t="s">
        <v>203</v>
      </c>
      <c r="K142" s="1" t="n">
        <v>17.7417</v>
      </c>
      <c r="M142" s="1" t="s">
        <v>203</v>
      </c>
      <c r="N142" s="1" t="n">
        <v>17.7903</v>
      </c>
      <c r="P142" s="1" t="s">
        <v>203</v>
      </c>
      <c r="Q142" s="1" t="n">
        <v>17.7907</v>
      </c>
      <c r="S142" s="1" t="s">
        <v>203</v>
      </c>
      <c r="T142" s="1" t="n">
        <v>17.7852</v>
      </c>
    </row>
    <row r="143" customFormat="false" ht="13.8" hidden="false" customHeight="false" outlineLevel="0" collapsed="false">
      <c r="A143" s="1" t="s">
        <v>204</v>
      </c>
      <c r="B143" s="1" t="n">
        <v>17.7064</v>
      </c>
      <c r="D143" s="1" t="s">
        <v>204</v>
      </c>
      <c r="E143" s="1" t="n">
        <v>17.6058</v>
      </c>
      <c r="G143" s="1" t="s">
        <v>204</v>
      </c>
      <c r="H143" s="1" t="n">
        <v>17.6413</v>
      </c>
      <c r="J143" s="1" t="s">
        <v>204</v>
      </c>
      <c r="K143" s="1" t="n">
        <v>17.7286</v>
      </c>
      <c r="M143" s="1" t="s">
        <v>204</v>
      </c>
      <c r="N143" s="1" t="n">
        <v>17.7857</v>
      </c>
      <c r="P143" s="1" t="s">
        <v>204</v>
      </c>
      <c r="Q143" s="1" t="n">
        <v>17.7921</v>
      </c>
      <c r="S143" s="1" t="s">
        <v>204</v>
      </c>
      <c r="T143" s="1" t="n">
        <v>17.7802</v>
      </c>
    </row>
    <row r="144" customFormat="false" ht="13.8" hidden="false" customHeight="false" outlineLevel="0" collapsed="false">
      <c r="A144" s="1" t="s">
        <v>205</v>
      </c>
      <c r="B144" s="1" t="n">
        <v>17.7165</v>
      </c>
      <c r="D144" s="1" t="s">
        <v>205</v>
      </c>
      <c r="E144" s="1" t="n">
        <v>17.6462</v>
      </c>
      <c r="G144" s="1" t="s">
        <v>205</v>
      </c>
      <c r="H144" s="1" t="n">
        <v>17.6291</v>
      </c>
      <c r="J144" s="1" t="s">
        <v>205</v>
      </c>
      <c r="K144" s="1" t="n">
        <v>17.7384</v>
      </c>
      <c r="M144" s="1" t="s">
        <v>205</v>
      </c>
      <c r="N144" s="1" t="n">
        <v>17.7788</v>
      </c>
      <c r="P144" s="1" t="s">
        <v>205</v>
      </c>
      <c r="Q144" s="1" t="n">
        <v>17.7772</v>
      </c>
      <c r="S144" s="1" t="s">
        <v>205</v>
      </c>
      <c r="T144" s="1" t="n">
        <v>17.7776</v>
      </c>
    </row>
    <row r="145" customFormat="false" ht="13.8" hidden="false" customHeight="false" outlineLevel="0" collapsed="false">
      <c r="A145" s="1" t="s">
        <v>206</v>
      </c>
      <c r="B145" s="1" t="n">
        <v>17.7091</v>
      </c>
      <c r="D145" s="1" t="s">
        <v>206</v>
      </c>
      <c r="E145" s="1" t="n">
        <v>17.6404</v>
      </c>
      <c r="G145" s="1" t="s">
        <v>206</v>
      </c>
      <c r="H145" s="1" t="n">
        <v>17.6605</v>
      </c>
      <c r="J145" s="1" t="s">
        <v>206</v>
      </c>
      <c r="K145" s="1" t="n">
        <v>17.7297</v>
      </c>
      <c r="M145" s="1" t="s">
        <v>206</v>
      </c>
      <c r="N145" s="1" t="n">
        <v>17.7756</v>
      </c>
      <c r="P145" s="1" t="s">
        <v>206</v>
      </c>
      <c r="Q145" s="1" t="n">
        <v>17.7982</v>
      </c>
      <c r="S145" s="1" t="s">
        <v>206</v>
      </c>
      <c r="T145" s="1" t="n">
        <v>17.768</v>
      </c>
    </row>
    <row r="146" customFormat="false" ht="13.8" hidden="false" customHeight="false" outlineLevel="0" collapsed="false">
      <c r="A146" s="1" t="s">
        <v>207</v>
      </c>
      <c r="B146" s="1" t="n">
        <v>45.1613</v>
      </c>
      <c r="D146" s="1" t="s">
        <v>207</v>
      </c>
      <c r="E146" s="1" t="n">
        <v>44.5937</v>
      </c>
      <c r="G146" s="1" t="s">
        <v>207</v>
      </c>
      <c r="H146" s="1" t="n">
        <v>44.3885</v>
      </c>
      <c r="J146" s="1" t="s">
        <v>207</v>
      </c>
      <c r="K146" s="1" t="n">
        <v>44.705</v>
      </c>
      <c r="M146" s="1" t="s">
        <v>207</v>
      </c>
      <c r="N146" s="1" t="n">
        <v>44.1831</v>
      </c>
      <c r="P146" s="1" t="s">
        <v>207</v>
      </c>
      <c r="Q146" s="1" t="n">
        <v>45.1532</v>
      </c>
      <c r="S146" s="1" t="s">
        <v>207</v>
      </c>
      <c r="T146" s="1" t="n">
        <v>44.7049</v>
      </c>
    </row>
    <row r="147" customFormat="false" ht="13.8" hidden="false" customHeight="false" outlineLevel="0" collapsed="false">
      <c r="A147" s="1" t="s">
        <v>208</v>
      </c>
      <c r="B147" s="1" t="n">
        <v>44.5955</v>
      </c>
      <c r="D147" s="1" t="s">
        <v>208</v>
      </c>
      <c r="E147" s="1" t="n">
        <v>44.62</v>
      </c>
      <c r="G147" s="1" t="s">
        <v>208</v>
      </c>
      <c r="H147" s="1" t="n">
        <v>44.4185</v>
      </c>
      <c r="J147" s="1" t="s">
        <v>208</v>
      </c>
      <c r="K147" s="1" t="n">
        <v>44.7902</v>
      </c>
      <c r="M147" s="1" t="s">
        <v>208</v>
      </c>
      <c r="N147" s="1" t="n">
        <v>44.1624</v>
      </c>
      <c r="P147" s="1" t="s">
        <v>208</v>
      </c>
      <c r="Q147" s="1" t="n">
        <v>45.1484</v>
      </c>
      <c r="S147" s="1" t="s">
        <v>208</v>
      </c>
      <c r="T147" s="1" t="n">
        <v>44.7475</v>
      </c>
    </row>
    <row r="148" customFormat="false" ht="13.8" hidden="false" customHeight="false" outlineLevel="0" collapsed="false">
      <c r="A148" s="1" t="s">
        <v>209</v>
      </c>
      <c r="B148" s="1" t="n">
        <v>44.5913</v>
      </c>
      <c r="D148" s="1" t="s">
        <v>209</v>
      </c>
      <c r="E148" s="1" t="n">
        <v>44.7561</v>
      </c>
      <c r="G148" s="1" t="s">
        <v>209</v>
      </c>
      <c r="H148" s="1" t="n">
        <v>44.4928</v>
      </c>
      <c r="J148" s="1" t="s">
        <v>209</v>
      </c>
      <c r="K148" s="1" t="n">
        <v>44.6902</v>
      </c>
      <c r="M148" s="1" t="s">
        <v>209</v>
      </c>
      <c r="N148" s="1" t="n">
        <v>44.3171</v>
      </c>
      <c r="P148" s="1" t="s">
        <v>209</v>
      </c>
      <c r="Q148" s="1" t="n">
        <v>45.2642</v>
      </c>
      <c r="S148" s="1" t="s">
        <v>209</v>
      </c>
      <c r="T148" s="1" t="n">
        <v>44.7812</v>
      </c>
    </row>
    <row r="149" customFormat="false" ht="13.8" hidden="false" customHeight="false" outlineLevel="0" collapsed="false">
      <c r="A149" s="1" t="s">
        <v>210</v>
      </c>
      <c r="B149" s="1" t="n">
        <v>44.7146</v>
      </c>
      <c r="D149" s="1" t="s">
        <v>210</v>
      </c>
      <c r="E149" s="1" t="n">
        <v>44.872</v>
      </c>
      <c r="G149" s="1" t="s">
        <v>210</v>
      </c>
      <c r="H149" s="1" t="n">
        <v>44.4647</v>
      </c>
      <c r="J149" s="1" t="s">
        <v>210</v>
      </c>
      <c r="K149" s="1" t="n">
        <v>44.7634</v>
      </c>
      <c r="M149" s="1" t="s">
        <v>210</v>
      </c>
      <c r="N149" s="1" t="n">
        <v>44.3358</v>
      </c>
      <c r="P149" s="1" t="s">
        <v>210</v>
      </c>
      <c r="Q149" s="1" t="n">
        <v>45.1988</v>
      </c>
      <c r="S149" s="1" t="s">
        <v>210</v>
      </c>
      <c r="T149" s="1" t="n">
        <v>44.8063</v>
      </c>
    </row>
    <row r="150" customFormat="false" ht="13.8" hidden="false" customHeight="false" outlineLevel="0" collapsed="false">
      <c r="A150" s="1" t="s">
        <v>211</v>
      </c>
      <c r="B150" s="1" t="n">
        <v>44.9437</v>
      </c>
      <c r="D150" s="1" t="s">
        <v>211</v>
      </c>
      <c r="E150" s="1" t="n">
        <v>44.3062</v>
      </c>
      <c r="G150" s="1" t="s">
        <v>211</v>
      </c>
      <c r="H150" s="1" t="n">
        <v>44.5256</v>
      </c>
      <c r="J150" s="1" t="s">
        <v>211</v>
      </c>
      <c r="K150" s="1" t="n">
        <v>44.7685</v>
      </c>
      <c r="M150" s="1" t="s">
        <v>211</v>
      </c>
      <c r="N150" s="1" t="n">
        <v>44.3862</v>
      </c>
      <c r="P150" s="1" t="s">
        <v>211</v>
      </c>
      <c r="Q150" s="1" t="n">
        <v>45.3218</v>
      </c>
      <c r="S150" s="1" t="s">
        <v>211</v>
      </c>
      <c r="T150" s="1" t="n">
        <v>44.8177</v>
      </c>
    </row>
    <row r="151" customFormat="false" ht="13.8" hidden="false" customHeight="false" outlineLevel="0" collapsed="false">
      <c r="A151" s="1" t="s">
        <v>212</v>
      </c>
      <c r="B151" s="1" t="n">
        <v>45.0231</v>
      </c>
      <c r="D151" s="1" t="s">
        <v>212</v>
      </c>
      <c r="E151" s="1" t="n">
        <v>44.3979</v>
      </c>
      <c r="G151" s="1" t="s">
        <v>212</v>
      </c>
      <c r="H151" s="1" t="n">
        <v>44.5469</v>
      </c>
      <c r="J151" s="1" t="s">
        <v>212</v>
      </c>
      <c r="K151" s="1" t="n">
        <v>44.8259</v>
      </c>
      <c r="M151" s="1" t="s">
        <v>212</v>
      </c>
      <c r="N151" s="1" t="n">
        <v>44.3569</v>
      </c>
      <c r="P151" s="1" t="s">
        <v>212</v>
      </c>
      <c r="Q151" s="1" t="n">
        <v>45.2954</v>
      </c>
      <c r="S151" s="1" t="s">
        <v>212</v>
      </c>
      <c r="T151" s="1" t="n">
        <v>44.8499</v>
      </c>
    </row>
    <row r="152" customFormat="false" ht="13.8" hidden="false" customHeight="false" outlineLevel="0" collapsed="false">
      <c r="A152" s="1" t="s">
        <v>213</v>
      </c>
      <c r="B152" s="1" t="n">
        <v>45.161</v>
      </c>
      <c r="D152" s="1" t="s">
        <v>213</v>
      </c>
      <c r="E152" s="1" t="n">
        <v>44.4432</v>
      </c>
      <c r="G152" s="1" t="s">
        <v>213</v>
      </c>
      <c r="H152" s="1" t="n">
        <v>44.4912</v>
      </c>
      <c r="J152" s="1" t="s">
        <v>213</v>
      </c>
      <c r="K152" s="1" t="n">
        <v>44.9089</v>
      </c>
      <c r="M152" s="1" t="s">
        <v>213</v>
      </c>
      <c r="N152" s="1" t="n">
        <v>44.4026</v>
      </c>
      <c r="P152" s="1" t="s">
        <v>213</v>
      </c>
      <c r="Q152" s="1" t="n">
        <v>45.2683</v>
      </c>
      <c r="S152" s="1" t="s">
        <v>213</v>
      </c>
      <c r="T152" s="1" t="n">
        <v>44.8897</v>
      </c>
    </row>
    <row r="153" customFormat="false" ht="13.8" hidden="false" customHeight="false" outlineLevel="0" collapsed="false">
      <c r="A153" s="1" t="s">
        <v>214</v>
      </c>
      <c r="B153" s="1" t="n">
        <v>45.226</v>
      </c>
      <c r="D153" s="1" t="s">
        <v>214</v>
      </c>
      <c r="E153" s="1" t="n">
        <v>44.6436</v>
      </c>
      <c r="G153" s="1" t="s">
        <v>214</v>
      </c>
      <c r="H153" s="1" t="n">
        <v>44.5342</v>
      </c>
      <c r="J153" s="1" t="s">
        <v>214</v>
      </c>
      <c r="K153" s="1" t="n">
        <v>44.8981</v>
      </c>
      <c r="M153" s="1" t="s">
        <v>214</v>
      </c>
      <c r="N153" s="1" t="n">
        <v>44.3839</v>
      </c>
      <c r="P153" s="1" t="s">
        <v>214</v>
      </c>
      <c r="Q153" s="1" t="n">
        <v>45.3634</v>
      </c>
      <c r="S153" s="1" t="s">
        <v>214</v>
      </c>
      <c r="T153" s="1" t="n">
        <v>44.8783</v>
      </c>
    </row>
    <row r="154" customFormat="false" ht="13.8" hidden="false" customHeight="false" outlineLevel="0" collapsed="false">
      <c r="A154" s="1" t="s">
        <v>215</v>
      </c>
      <c r="B154" s="1" t="n">
        <v>45.276</v>
      </c>
      <c r="D154" s="1" t="s">
        <v>215</v>
      </c>
      <c r="E154" s="1" t="n">
        <v>44.6365</v>
      </c>
      <c r="G154" s="1" t="s">
        <v>215</v>
      </c>
      <c r="H154" s="1" t="n">
        <v>44.5475</v>
      </c>
      <c r="J154" s="1" t="s">
        <v>215</v>
      </c>
      <c r="K154" s="1" t="n">
        <v>44.8769</v>
      </c>
      <c r="M154" s="1" t="s">
        <v>215</v>
      </c>
      <c r="N154" s="1" t="n">
        <v>44.3462</v>
      </c>
      <c r="P154" s="1" t="s">
        <v>215</v>
      </c>
      <c r="Q154" s="1" t="n">
        <v>45.3534</v>
      </c>
      <c r="S154" s="1" t="s">
        <v>215</v>
      </c>
      <c r="T154" s="1" t="n">
        <v>44.9116</v>
      </c>
    </row>
    <row r="155" customFormat="false" ht="13.8" hidden="false" customHeight="false" outlineLevel="0" collapsed="false">
      <c r="A155" s="1" t="s">
        <v>216</v>
      </c>
      <c r="B155" s="1" t="n">
        <v>35.4993</v>
      </c>
      <c r="D155" s="1" t="s">
        <v>216</v>
      </c>
      <c r="E155" s="1" t="n">
        <v>34.9203</v>
      </c>
      <c r="G155" s="1" t="s">
        <v>216</v>
      </c>
      <c r="H155" s="1" t="n">
        <v>35.0145</v>
      </c>
      <c r="J155" s="1" t="s">
        <v>216</v>
      </c>
      <c r="K155" s="1" t="n">
        <v>34.8486</v>
      </c>
      <c r="M155" s="1" t="s">
        <v>216</v>
      </c>
      <c r="N155" s="1" t="n">
        <v>35.0597</v>
      </c>
      <c r="P155" s="1" t="s">
        <v>216</v>
      </c>
      <c r="Q155" s="1" t="n">
        <v>35.0309</v>
      </c>
      <c r="S155" s="1" t="s">
        <v>216</v>
      </c>
      <c r="T155" s="1" t="n">
        <v>34.9537</v>
      </c>
    </row>
    <row r="156" customFormat="false" ht="13.8" hidden="false" customHeight="false" outlineLevel="0" collapsed="false">
      <c r="A156" s="1" t="s">
        <v>217</v>
      </c>
      <c r="B156" s="1" t="n">
        <v>34.9555</v>
      </c>
      <c r="D156" s="1" t="s">
        <v>217</v>
      </c>
      <c r="E156" s="1" t="n">
        <v>35.133</v>
      </c>
      <c r="G156" s="1" t="s">
        <v>217</v>
      </c>
      <c r="H156" s="1" t="n">
        <v>35.0156</v>
      </c>
      <c r="J156" s="1" t="s">
        <v>217</v>
      </c>
      <c r="K156" s="1" t="n">
        <v>34.9273</v>
      </c>
      <c r="M156" s="1" t="s">
        <v>217</v>
      </c>
      <c r="N156" s="1" t="n">
        <v>35.0816</v>
      </c>
      <c r="P156" s="1" t="s">
        <v>217</v>
      </c>
      <c r="Q156" s="1" t="n">
        <v>35.0014</v>
      </c>
      <c r="S156" s="1" t="s">
        <v>217</v>
      </c>
      <c r="T156" s="1" t="n">
        <v>35.0203</v>
      </c>
    </row>
    <row r="157" customFormat="false" ht="13.8" hidden="false" customHeight="false" outlineLevel="0" collapsed="false">
      <c r="A157" s="1" t="s">
        <v>218</v>
      </c>
      <c r="B157" s="1" t="n">
        <v>34.7467</v>
      </c>
      <c r="D157" s="1" t="s">
        <v>218</v>
      </c>
      <c r="E157" s="1" t="n">
        <v>35.2471</v>
      </c>
      <c r="G157" s="1" t="s">
        <v>218</v>
      </c>
      <c r="H157" s="1" t="n">
        <v>35.047</v>
      </c>
      <c r="J157" s="1" t="s">
        <v>218</v>
      </c>
      <c r="K157" s="1" t="n">
        <v>34.9059</v>
      </c>
      <c r="M157" s="1" t="s">
        <v>218</v>
      </c>
      <c r="N157" s="1" t="n">
        <v>35.1353</v>
      </c>
      <c r="P157" s="1" t="s">
        <v>218</v>
      </c>
      <c r="Q157" s="1" t="n">
        <v>35.0602</v>
      </c>
      <c r="S157" s="1" t="s">
        <v>218</v>
      </c>
      <c r="T157" s="1" t="n">
        <v>35.0343</v>
      </c>
    </row>
    <row r="158" customFormat="false" ht="13.8" hidden="false" customHeight="false" outlineLevel="0" collapsed="false">
      <c r="A158" s="1" t="s">
        <v>219</v>
      </c>
      <c r="B158" s="1" t="n">
        <v>34.7404</v>
      </c>
      <c r="D158" s="1" t="s">
        <v>219</v>
      </c>
      <c r="E158" s="1" t="n">
        <v>35.208</v>
      </c>
      <c r="G158" s="1" t="s">
        <v>219</v>
      </c>
      <c r="H158" s="1" t="n">
        <v>35.0802</v>
      </c>
      <c r="J158" s="1" t="s">
        <v>219</v>
      </c>
      <c r="K158" s="1" t="n">
        <v>34.949</v>
      </c>
      <c r="M158" s="1" t="s">
        <v>219</v>
      </c>
      <c r="N158" s="1" t="n">
        <v>35.1915</v>
      </c>
      <c r="P158" s="1" t="s">
        <v>219</v>
      </c>
      <c r="Q158" s="1" t="n">
        <v>35.0618</v>
      </c>
      <c r="S158" s="1" t="s">
        <v>219</v>
      </c>
      <c r="T158" s="1" t="n">
        <v>35.1264</v>
      </c>
    </row>
    <row r="159" customFormat="false" ht="13.8" hidden="false" customHeight="false" outlineLevel="0" collapsed="false">
      <c r="A159" s="1" t="s">
        <v>220</v>
      </c>
      <c r="B159" s="1" t="n">
        <v>34.8755</v>
      </c>
      <c r="D159" s="1" t="s">
        <v>220</v>
      </c>
      <c r="E159" s="1" t="n">
        <v>34.7003</v>
      </c>
      <c r="G159" s="1" t="s">
        <v>220</v>
      </c>
      <c r="H159" s="1" t="n">
        <v>35.0763</v>
      </c>
      <c r="J159" s="1" t="s">
        <v>220</v>
      </c>
      <c r="K159" s="1" t="n">
        <v>34.9414</v>
      </c>
      <c r="M159" s="1" t="s">
        <v>220</v>
      </c>
      <c r="N159" s="1" t="n">
        <v>35.2511</v>
      </c>
      <c r="P159" s="1" t="s">
        <v>220</v>
      </c>
      <c r="Q159" s="1" t="n">
        <v>35.0955</v>
      </c>
      <c r="S159" s="1" t="s">
        <v>220</v>
      </c>
      <c r="T159" s="1" t="n">
        <v>35.0967</v>
      </c>
    </row>
    <row r="160" customFormat="false" ht="13.8" hidden="false" customHeight="false" outlineLevel="0" collapsed="false">
      <c r="A160" s="1" t="s">
        <v>221</v>
      </c>
      <c r="B160" s="1" t="n">
        <v>34.9967</v>
      </c>
      <c r="D160" s="1" t="s">
        <v>221</v>
      </c>
      <c r="E160" s="1" t="n">
        <v>34.8566</v>
      </c>
      <c r="G160" s="1" t="s">
        <v>221</v>
      </c>
      <c r="H160" s="1" t="n">
        <v>35.1313</v>
      </c>
      <c r="J160" s="1" t="s">
        <v>221</v>
      </c>
      <c r="K160" s="1" t="n">
        <v>34.9788</v>
      </c>
      <c r="M160" s="1" t="s">
        <v>221</v>
      </c>
      <c r="N160" s="1" t="n">
        <v>35.2431</v>
      </c>
      <c r="P160" s="1" t="s">
        <v>221</v>
      </c>
      <c r="Q160" s="1" t="n">
        <v>35.1409</v>
      </c>
      <c r="S160" s="1" t="s">
        <v>221</v>
      </c>
      <c r="T160" s="1" t="n">
        <v>35.1413</v>
      </c>
    </row>
    <row r="161" customFormat="false" ht="13.8" hidden="false" customHeight="false" outlineLevel="0" collapsed="false">
      <c r="A161" s="1" t="s">
        <v>222</v>
      </c>
      <c r="B161" s="1" t="n">
        <v>35.1087</v>
      </c>
      <c r="D161" s="1" t="s">
        <v>222</v>
      </c>
      <c r="E161" s="1" t="n">
        <v>34.9893</v>
      </c>
      <c r="G161" s="1" t="s">
        <v>222</v>
      </c>
      <c r="H161" s="1" t="n">
        <v>35.0978</v>
      </c>
      <c r="J161" s="1" t="s">
        <v>222</v>
      </c>
      <c r="K161" s="1" t="n">
        <v>35.0805</v>
      </c>
      <c r="M161" s="1" t="s">
        <v>222</v>
      </c>
      <c r="N161" s="1" t="n">
        <v>35.261</v>
      </c>
      <c r="P161" s="1" t="s">
        <v>222</v>
      </c>
      <c r="Q161" s="1" t="n">
        <v>35.1547</v>
      </c>
      <c r="S161" s="1" t="s">
        <v>222</v>
      </c>
      <c r="T161" s="1" t="n">
        <v>35.1121</v>
      </c>
    </row>
    <row r="162" customFormat="false" ht="13.8" hidden="false" customHeight="false" outlineLevel="0" collapsed="false">
      <c r="A162" s="1" t="s">
        <v>223</v>
      </c>
      <c r="B162" s="1" t="n">
        <v>35.2897</v>
      </c>
      <c r="D162" s="1" t="s">
        <v>223</v>
      </c>
      <c r="E162" s="1" t="n">
        <v>35.0922</v>
      </c>
      <c r="G162" s="1" t="s">
        <v>223</v>
      </c>
      <c r="H162" s="1" t="n">
        <v>35.1184</v>
      </c>
      <c r="J162" s="1" t="s">
        <v>223</v>
      </c>
      <c r="K162" s="1" t="n">
        <v>35.0775</v>
      </c>
      <c r="M162" s="1" t="s">
        <v>223</v>
      </c>
      <c r="N162" s="1" t="n">
        <v>35.3261</v>
      </c>
      <c r="P162" s="1" t="s">
        <v>223</v>
      </c>
      <c r="Q162" s="1" t="n">
        <v>35.1301</v>
      </c>
      <c r="S162" s="1" t="s">
        <v>223</v>
      </c>
      <c r="T162" s="1" t="n">
        <v>35.1677</v>
      </c>
    </row>
    <row r="163" customFormat="false" ht="13.8" hidden="false" customHeight="false" outlineLevel="0" collapsed="false">
      <c r="A163" s="1" t="s">
        <v>224</v>
      </c>
      <c r="B163" s="1" t="n">
        <v>35.4901</v>
      </c>
      <c r="D163" s="1" t="s">
        <v>224</v>
      </c>
      <c r="E163" s="1" t="n">
        <v>34.8755</v>
      </c>
      <c r="G163" s="1" t="s">
        <v>224</v>
      </c>
      <c r="H163" s="1" t="n">
        <v>35.1685</v>
      </c>
      <c r="J163" s="1" t="s">
        <v>224</v>
      </c>
      <c r="K163" s="1" t="n">
        <v>35.0371</v>
      </c>
      <c r="M163" s="1" t="s">
        <v>224</v>
      </c>
      <c r="N163" s="1" t="n">
        <v>35.2253</v>
      </c>
      <c r="P163" s="1" t="s">
        <v>224</v>
      </c>
      <c r="Q163" s="1" t="n">
        <v>35.2076</v>
      </c>
      <c r="S163" s="1" t="s">
        <v>224</v>
      </c>
      <c r="T163" s="1" t="n">
        <v>35.1805</v>
      </c>
    </row>
    <row r="164" customFormat="false" ht="13.8" hidden="false" customHeight="false" outlineLevel="0" collapsed="false">
      <c r="A164" s="1" t="s">
        <v>225</v>
      </c>
      <c r="B164" s="1" t="n">
        <v>17.17</v>
      </c>
      <c r="D164" s="1" t="s">
        <v>225</v>
      </c>
      <c r="E164" s="1" t="n">
        <v>17.0512</v>
      </c>
      <c r="G164" s="1" t="s">
        <v>225</v>
      </c>
      <c r="H164" s="1" t="n">
        <v>17.0791</v>
      </c>
      <c r="J164" s="1" t="s">
        <v>225</v>
      </c>
      <c r="K164" s="1" t="n">
        <v>17.188</v>
      </c>
      <c r="M164" s="1" t="s">
        <v>225</v>
      </c>
      <c r="N164" s="1" t="n">
        <v>17.2688</v>
      </c>
      <c r="P164" s="1" t="s">
        <v>225</v>
      </c>
      <c r="Q164" s="1" t="n">
        <v>17.1799</v>
      </c>
      <c r="S164" s="1" t="s">
        <v>225</v>
      </c>
      <c r="T164" s="1" t="n">
        <v>17.1822</v>
      </c>
    </row>
    <row r="165" customFormat="false" ht="13.8" hidden="false" customHeight="false" outlineLevel="0" collapsed="false">
      <c r="A165" s="1" t="s">
        <v>226</v>
      </c>
      <c r="B165" s="1" t="n">
        <v>16.956</v>
      </c>
      <c r="D165" s="1" t="s">
        <v>226</v>
      </c>
      <c r="E165" s="1" t="n">
        <v>17.066</v>
      </c>
      <c r="G165" s="1" t="s">
        <v>226</v>
      </c>
      <c r="H165" s="1" t="n">
        <v>17.0535</v>
      </c>
      <c r="J165" s="1" t="s">
        <v>226</v>
      </c>
      <c r="K165" s="1" t="n">
        <v>17.1954</v>
      </c>
      <c r="M165" s="1" t="s">
        <v>226</v>
      </c>
      <c r="N165" s="1" t="n">
        <v>17.2618</v>
      </c>
      <c r="P165" s="1" t="s">
        <v>226</v>
      </c>
      <c r="Q165" s="1" t="n">
        <v>17.1852</v>
      </c>
      <c r="S165" s="1" t="s">
        <v>226</v>
      </c>
      <c r="T165" s="1" t="n">
        <v>17.1851</v>
      </c>
    </row>
    <row r="166" customFormat="false" ht="13.8" hidden="false" customHeight="false" outlineLevel="0" collapsed="false">
      <c r="A166" s="1" t="s">
        <v>227</v>
      </c>
      <c r="B166" s="1" t="n">
        <v>16.9305</v>
      </c>
      <c r="D166" s="1" t="s">
        <v>227</v>
      </c>
      <c r="E166" s="1" t="n">
        <v>17.0758</v>
      </c>
      <c r="G166" s="1" t="s">
        <v>227</v>
      </c>
      <c r="H166" s="1" t="n">
        <v>17.0712</v>
      </c>
      <c r="J166" s="1" t="s">
        <v>227</v>
      </c>
      <c r="K166" s="1" t="n">
        <v>17.1889</v>
      </c>
      <c r="M166" s="1" t="s">
        <v>227</v>
      </c>
      <c r="N166" s="1" t="n">
        <v>17.2627</v>
      </c>
      <c r="P166" s="1" t="s">
        <v>227</v>
      </c>
      <c r="Q166" s="1" t="n">
        <v>17.1645</v>
      </c>
      <c r="S166" s="1" t="s">
        <v>227</v>
      </c>
      <c r="T166" s="1" t="n">
        <v>17.1781</v>
      </c>
    </row>
    <row r="167" customFormat="false" ht="13.8" hidden="false" customHeight="false" outlineLevel="0" collapsed="false">
      <c r="A167" s="1" t="s">
        <v>228</v>
      </c>
      <c r="B167" s="1" t="n">
        <v>17.0039</v>
      </c>
      <c r="D167" s="1" t="s">
        <v>228</v>
      </c>
      <c r="E167" s="1" t="n">
        <v>17.1204</v>
      </c>
      <c r="G167" s="1" t="s">
        <v>228</v>
      </c>
      <c r="H167" s="1" t="n">
        <v>17.0625</v>
      </c>
      <c r="J167" s="1" t="s">
        <v>228</v>
      </c>
      <c r="K167" s="1" t="n">
        <v>17.1659</v>
      </c>
      <c r="M167" s="1" t="s">
        <v>228</v>
      </c>
      <c r="N167" s="1" t="n">
        <v>17.2574</v>
      </c>
      <c r="P167" s="1" t="s">
        <v>228</v>
      </c>
      <c r="Q167" s="1" t="n">
        <v>17.1631</v>
      </c>
      <c r="S167" s="1" t="s">
        <v>228</v>
      </c>
      <c r="T167" s="1" t="n">
        <v>17.173</v>
      </c>
    </row>
    <row r="168" customFormat="false" ht="13.8" hidden="false" customHeight="false" outlineLevel="0" collapsed="false">
      <c r="A168" s="1" t="s">
        <v>229</v>
      </c>
      <c r="B168" s="1" t="n">
        <v>17.0649</v>
      </c>
      <c r="D168" s="1" t="s">
        <v>229</v>
      </c>
      <c r="E168" s="1" t="n">
        <v>16.9561</v>
      </c>
      <c r="G168" s="1" t="s">
        <v>229</v>
      </c>
      <c r="H168" s="1" t="n">
        <v>17.0744</v>
      </c>
      <c r="J168" s="1" t="s">
        <v>229</v>
      </c>
      <c r="K168" s="1" t="n">
        <v>17.1758</v>
      </c>
      <c r="M168" s="1" t="s">
        <v>229</v>
      </c>
      <c r="N168" s="1" t="n">
        <v>17.2554</v>
      </c>
      <c r="P168" s="1" t="s">
        <v>229</v>
      </c>
      <c r="Q168" s="1" t="n">
        <v>17.152</v>
      </c>
      <c r="S168" s="1" t="s">
        <v>229</v>
      </c>
      <c r="T168" s="1" t="n">
        <v>17.1595</v>
      </c>
    </row>
    <row r="169" customFormat="false" ht="13.8" hidden="false" customHeight="false" outlineLevel="0" collapsed="false">
      <c r="A169" s="1" t="s">
        <v>230</v>
      </c>
      <c r="B169" s="1" t="n">
        <v>17.0928</v>
      </c>
      <c r="D169" s="1" t="s">
        <v>230</v>
      </c>
      <c r="E169" s="1" t="n">
        <v>16.9529</v>
      </c>
      <c r="G169" s="1" t="s">
        <v>230</v>
      </c>
      <c r="H169" s="1" t="n">
        <v>17.0412</v>
      </c>
      <c r="J169" s="1" t="s">
        <v>230</v>
      </c>
      <c r="K169" s="1" t="n">
        <v>17.1783</v>
      </c>
      <c r="M169" s="1" t="s">
        <v>230</v>
      </c>
      <c r="N169" s="1" t="n">
        <v>17.2522</v>
      </c>
      <c r="P169" s="1" t="s">
        <v>230</v>
      </c>
      <c r="Q169" s="1" t="n">
        <v>17.1526</v>
      </c>
      <c r="S169" s="1" t="s">
        <v>230</v>
      </c>
      <c r="T169" s="1" t="n">
        <v>17.1558</v>
      </c>
    </row>
    <row r="170" customFormat="false" ht="13.8" hidden="false" customHeight="false" outlineLevel="0" collapsed="false">
      <c r="A170" s="1" t="s">
        <v>231</v>
      </c>
      <c r="B170" s="1" t="n">
        <v>17.1229</v>
      </c>
      <c r="D170" s="1" t="s">
        <v>231</v>
      </c>
      <c r="E170" s="1" t="n">
        <v>16.9743</v>
      </c>
      <c r="G170" s="1" t="s">
        <v>231</v>
      </c>
      <c r="H170" s="1" t="n">
        <v>17.0433</v>
      </c>
      <c r="J170" s="1" t="s">
        <v>231</v>
      </c>
      <c r="K170" s="1" t="n">
        <v>17.1514</v>
      </c>
      <c r="M170" s="1" t="s">
        <v>231</v>
      </c>
      <c r="N170" s="1" t="n">
        <v>17.2524</v>
      </c>
      <c r="P170" s="1" t="s">
        <v>231</v>
      </c>
      <c r="Q170" s="1" t="n">
        <v>17.1535</v>
      </c>
      <c r="S170" s="1" t="s">
        <v>231</v>
      </c>
      <c r="T170" s="1" t="n">
        <v>17.1685</v>
      </c>
    </row>
    <row r="171" customFormat="false" ht="13.8" hidden="false" customHeight="false" outlineLevel="0" collapsed="false">
      <c r="A171" s="1" t="s">
        <v>232</v>
      </c>
      <c r="B171" s="1" t="n">
        <v>17.1259</v>
      </c>
      <c r="D171" s="1" t="s">
        <v>232</v>
      </c>
      <c r="E171" s="1" t="n">
        <v>17.0147</v>
      </c>
      <c r="G171" s="1" t="s">
        <v>232</v>
      </c>
      <c r="H171" s="1" t="n">
        <v>17.0389</v>
      </c>
      <c r="J171" s="1" t="s">
        <v>232</v>
      </c>
      <c r="K171" s="1" t="n">
        <v>17.1689</v>
      </c>
      <c r="M171" s="1" t="s">
        <v>232</v>
      </c>
      <c r="N171" s="1" t="n">
        <v>17.2337</v>
      </c>
      <c r="P171" s="1" t="s">
        <v>232</v>
      </c>
      <c r="Q171" s="1" t="n">
        <v>17.1572</v>
      </c>
      <c r="S171" s="1" t="s">
        <v>232</v>
      </c>
      <c r="T171" s="1" t="n">
        <v>17.1511</v>
      </c>
    </row>
    <row r="172" customFormat="false" ht="13.8" hidden="false" customHeight="false" outlineLevel="0" collapsed="false">
      <c r="A172" s="1" t="s">
        <v>233</v>
      </c>
      <c r="B172" s="1" t="n">
        <v>17.1058</v>
      </c>
      <c r="D172" s="1" t="s">
        <v>233</v>
      </c>
      <c r="E172" s="1" t="n">
        <v>17.0196</v>
      </c>
      <c r="G172" s="1" t="s">
        <v>233</v>
      </c>
      <c r="H172" s="1" t="n">
        <v>17.0702</v>
      </c>
      <c r="J172" s="1" t="s">
        <v>233</v>
      </c>
      <c r="K172" s="1" t="n">
        <v>17.173</v>
      </c>
      <c r="M172" s="1" t="s">
        <v>233</v>
      </c>
      <c r="N172" s="1" t="n">
        <v>17.2489</v>
      </c>
      <c r="P172" s="1" t="s">
        <v>233</v>
      </c>
      <c r="Q172" s="1" t="n">
        <v>17.1725</v>
      </c>
      <c r="S172" s="1" t="s">
        <v>233</v>
      </c>
      <c r="T172" s="1" t="n">
        <v>17.1455</v>
      </c>
    </row>
    <row r="173" customFormat="false" ht="13.8" hidden="false" customHeight="false" outlineLevel="0" collapsed="false">
      <c r="A173" s="1" t="s">
        <v>234</v>
      </c>
      <c r="B173" s="1" t="n">
        <v>19.5606</v>
      </c>
      <c r="D173" s="1" t="s">
        <v>234</v>
      </c>
      <c r="E173" s="1" t="n">
        <v>19.3846</v>
      </c>
      <c r="G173" s="1" t="s">
        <v>234</v>
      </c>
      <c r="H173" s="1" t="n">
        <v>19.5973</v>
      </c>
      <c r="J173" s="1" t="s">
        <v>234</v>
      </c>
      <c r="K173" s="1" t="n">
        <v>19.3546</v>
      </c>
      <c r="M173" s="1" t="s">
        <v>234</v>
      </c>
      <c r="N173" s="1" t="n">
        <v>19.6922</v>
      </c>
      <c r="P173" s="1" t="s">
        <v>234</v>
      </c>
      <c r="Q173" s="1" t="n">
        <v>19.3675</v>
      </c>
      <c r="S173" s="1" t="s">
        <v>234</v>
      </c>
      <c r="T173" s="1" t="n">
        <v>19.4639</v>
      </c>
    </row>
    <row r="174" customFormat="false" ht="13.8" hidden="false" customHeight="false" outlineLevel="0" collapsed="false">
      <c r="A174" s="1" t="s">
        <v>235</v>
      </c>
      <c r="B174" s="1" t="n">
        <v>19.2069</v>
      </c>
      <c r="D174" s="1" t="s">
        <v>235</v>
      </c>
      <c r="E174" s="1" t="n">
        <v>19.3958</v>
      </c>
      <c r="G174" s="1" t="s">
        <v>235</v>
      </c>
      <c r="H174" s="1" t="n">
        <v>19.5678</v>
      </c>
      <c r="J174" s="1" t="s">
        <v>235</v>
      </c>
      <c r="K174" s="1" t="n">
        <v>19.3696</v>
      </c>
      <c r="M174" s="1" t="s">
        <v>235</v>
      </c>
      <c r="N174" s="1" t="n">
        <v>19.7004</v>
      </c>
      <c r="P174" s="1" t="s">
        <v>235</v>
      </c>
      <c r="Q174" s="1" t="n">
        <v>19.3513</v>
      </c>
      <c r="S174" s="1" t="s">
        <v>235</v>
      </c>
      <c r="T174" s="1" t="n">
        <v>19.475</v>
      </c>
    </row>
    <row r="175" customFormat="false" ht="13.8" hidden="false" customHeight="false" outlineLevel="0" collapsed="false">
      <c r="A175" s="1" t="s">
        <v>236</v>
      </c>
      <c r="B175" s="1" t="n">
        <v>19.2229</v>
      </c>
      <c r="D175" s="1" t="s">
        <v>236</v>
      </c>
      <c r="E175" s="1" t="n">
        <v>19.4668</v>
      </c>
      <c r="G175" s="1" t="s">
        <v>236</v>
      </c>
      <c r="H175" s="1" t="n">
        <v>19.587</v>
      </c>
      <c r="J175" s="1" t="s">
        <v>236</v>
      </c>
      <c r="K175" s="1" t="n">
        <v>19.3681</v>
      </c>
      <c r="M175" s="1" t="s">
        <v>236</v>
      </c>
      <c r="N175" s="1" t="n">
        <v>19.7105</v>
      </c>
      <c r="P175" s="1" t="s">
        <v>236</v>
      </c>
      <c r="Q175" s="1" t="n">
        <v>19.3641</v>
      </c>
      <c r="S175" s="1" t="s">
        <v>236</v>
      </c>
      <c r="T175" s="1" t="n">
        <v>19.4704</v>
      </c>
    </row>
    <row r="176" customFormat="false" ht="13.8" hidden="false" customHeight="false" outlineLevel="0" collapsed="false">
      <c r="A176" s="1" t="s">
        <v>237</v>
      </c>
      <c r="B176" s="1" t="n">
        <v>19.3118</v>
      </c>
      <c r="D176" s="1" t="s">
        <v>237</v>
      </c>
      <c r="E176" s="1" t="n">
        <v>19.5414</v>
      </c>
      <c r="G176" s="1" t="s">
        <v>237</v>
      </c>
      <c r="H176" s="1" t="n">
        <v>19.5735</v>
      </c>
      <c r="J176" s="1" t="s">
        <v>237</v>
      </c>
      <c r="K176" s="1" t="n">
        <v>19.3779</v>
      </c>
      <c r="M176" s="1" t="s">
        <v>237</v>
      </c>
      <c r="N176" s="1" t="n">
        <v>19.7186</v>
      </c>
      <c r="P176" s="1" t="s">
        <v>237</v>
      </c>
      <c r="Q176" s="1" t="n">
        <v>19.3505</v>
      </c>
      <c r="S176" s="1" t="s">
        <v>237</v>
      </c>
      <c r="T176" s="1" t="n">
        <v>19.4976</v>
      </c>
    </row>
    <row r="177" customFormat="false" ht="13.8" hidden="false" customHeight="false" outlineLevel="0" collapsed="false">
      <c r="A177" s="1" t="s">
        <v>238</v>
      </c>
      <c r="B177" s="1" t="n">
        <v>19.4195</v>
      </c>
      <c r="D177" s="1" t="s">
        <v>238</v>
      </c>
      <c r="E177" s="1" t="n">
        <v>19.2042</v>
      </c>
      <c r="G177" s="1" t="s">
        <v>238</v>
      </c>
      <c r="H177" s="1" t="n">
        <v>19.5854</v>
      </c>
      <c r="J177" s="1" t="s">
        <v>238</v>
      </c>
      <c r="K177" s="1" t="n">
        <v>19.3584</v>
      </c>
      <c r="M177" s="1" t="s">
        <v>238</v>
      </c>
      <c r="N177" s="1" t="n">
        <v>19.7202</v>
      </c>
      <c r="P177" s="1" t="s">
        <v>238</v>
      </c>
      <c r="Q177" s="1" t="n">
        <v>19.3503</v>
      </c>
      <c r="S177" s="1" t="s">
        <v>238</v>
      </c>
      <c r="T177" s="1" t="n">
        <v>19.4625</v>
      </c>
    </row>
    <row r="178" customFormat="false" ht="13.8" hidden="false" customHeight="false" outlineLevel="0" collapsed="false">
      <c r="A178" s="1" t="s">
        <v>239</v>
      </c>
      <c r="B178" s="1" t="n">
        <v>19.4797</v>
      </c>
      <c r="D178" s="1" t="s">
        <v>239</v>
      </c>
      <c r="E178" s="1" t="n">
        <v>19.2075</v>
      </c>
      <c r="G178" s="1" t="s">
        <v>239</v>
      </c>
      <c r="H178" s="1" t="n">
        <v>19.5784</v>
      </c>
      <c r="J178" s="1" t="s">
        <v>239</v>
      </c>
      <c r="K178" s="1" t="n">
        <v>19.3702</v>
      </c>
      <c r="M178" s="1" t="s">
        <v>239</v>
      </c>
      <c r="N178" s="1" t="n">
        <v>19.7114</v>
      </c>
      <c r="P178" s="1" t="s">
        <v>239</v>
      </c>
      <c r="Q178" s="1" t="n">
        <v>19.3474</v>
      </c>
      <c r="S178" s="1" t="s">
        <v>239</v>
      </c>
      <c r="T178" s="1" t="n">
        <v>19.4813</v>
      </c>
    </row>
    <row r="179" customFormat="false" ht="13.8" hidden="false" customHeight="false" outlineLevel="0" collapsed="false">
      <c r="A179" s="1" t="s">
        <v>240</v>
      </c>
      <c r="B179" s="1" t="n">
        <v>19.5225</v>
      </c>
      <c r="D179" s="1" t="s">
        <v>240</v>
      </c>
      <c r="E179" s="1" t="n">
        <v>19.2386</v>
      </c>
      <c r="G179" s="1" t="s">
        <v>240</v>
      </c>
      <c r="H179" s="1" t="n">
        <v>19.5565</v>
      </c>
      <c r="J179" s="1" t="s">
        <v>240</v>
      </c>
      <c r="K179" s="1" t="n">
        <v>19.3819</v>
      </c>
      <c r="M179" s="1" t="s">
        <v>240</v>
      </c>
      <c r="N179" s="1" t="n">
        <v>19.7341</v>
      </c>
      <c r="P179" s="1" t="s">
        <v>240</v>
      </c>
      <c r="Q179" s="1" t="n">
        <v>19.3585</v>
      </c>
      <c r="S179" s="1" t="s">
        <v>240</v>
      </c>
      <c r="T179" s="1" t="n">
        <v>19.4682</v>
      </c>
    </row>
    <row r="180" customFormat="false" ht="13.8" hidden="false" customHeight="false" outlineLevel="0" collapsed="false">
      <c r="A180" s="1" t="s">
        <v>241</v>
      </c>
      <c r="B180" s="1" t="n">
        <v>19.5326</v>
      </c>
      <c r="D180" s="1" t="s">
        <v>241</v>
      </c>
      <c r="E180" s="1" t="n">
        <v>19.3485</v>
      </c>
      <c r="G180" s="1" t="s">
        <v>241</v>
      </c>
      <c r="H180" s="1" t="n">
        <v>19.55</v>
      </c>
      <c r="J180" s="1" t="s">
        <v>241</v>
      </c>
      <c r="K180" s="1" t="n">
        <v>19.389</v>
      </c>
      <c r="M180" s="1" t="s">
        <v>241</v>
      </c>
      <c r="N180" s="1" t="n">
        <v>19.7291</v>
      </c>
      <c r="P180" s="1" t="s">
        <v>241</v>
      </c>
      <c r="Q180" s="1" t="n">
        <v>19.3709</v>
      </c>
      <c r="S180" s="1" t="s">
        <v>241</v>
      </c>
      <c r="T180" s="1" t="n">
        <v>19.4719</v>
      </c>
    </row>
    <row r="181" customFormat="false" ht="13.8" hidden="false" customHeight="false" outlineLevel="0" collapsed="false">
      <c r="A181" s="1" t="s">
        <v>242</v>
      </c>
      <c r="B181" s="1" t="n">
        <v>19.5393</v>
      </c>
      <c r="D181" s="1" t="s">
        <v>242</v>
      </c>
      <c r="E181" s="1" t="n">
        <v>19.346</v>
      </c>
      <c r="G181" s="1" t="s">
        <v>242</v>
      </c>
      <c r="H181" s="1" t="n">
        <v>19.5795</v>
      </c>
      <c r="J181" s="1" t="s">
        <v>242</v>
      </c>
      <c r="K181" s="1" t="n">
        <v>19.3546</v>
      </c>
      <c r="M181" s="1" t="s">
        <v>242</v>
      </c>
      <c r="N181" s="1" t="n">
        <v>19.7162</v>
      </c>
      <c r="P181" s="1" t="s">
        <v>242</v>
      </c>
      <c r="Q181" s="1" t="n">
        <v>19.3743</v>
      </c>
      <c r="S181" s="1" t="s">
        <v>242</v>
      </c>
      <c r="T181" s="1" t="n">
        <v>19.4806</v>
      </c>
    </row>
    <row r="182" customFormat="false" ht="13.8" hidden="false" customHeight="false" outlineLevel="0" collapsed="false">
      <c r="A182" s="1" t="s">
        <v>243</v>
      </c>
      <c r="B182" s="1" t="n">
        <v>21.8152</v>
      </c>
      <c r="D182" s="1" t="s">
        <v>243</v>
      </c>
      <c r="E182" s="1" t="n">
        <v>21.7417</v>
      </c>
      <c r="G182" s="1" t="s">
        <v>243</v>
      </c>
      <c r="H182" s="1" t="n">
        <v>21.6548</v>
      </c>
      <c r="J182" s="1" t="s">
        <v>243</v>
      </c>
      <c r="K182" s="1" t="n">
        <v>21.9012</v>
      </c>
      <c r="M182" s="1" t="s">
        <v>243</v>
      </c>
      <c r="N182" s="1" t="n">
        <v>21.8471</v>
      </c>
      <c r="P182" s="1" t="s">
        <v>243</v>
      </c>
      <c r="Q182" s="1" t="n">
        <v>21.9729</v>
      </c>
      <c r="S182" s="1" t="s">
        <v>243</v>
      </c>
      <c r="T182" s="1" t="n">
        <v>21.8384</v>
      </c>
    </row>
    <row r="183" customFormat="false" ht="13.8" hidden="false" customHeight="false" outlineLevel="0" collapsed="false">
      <c r="A183" s="1" t="s">
        <v>244</v>
      </c>
      <c r="B183" s="1" t="n">
        <v>21.5966</v>
      </c>
      <c r="D183" s="1" t="s">
        <v>244</v>
      </c>
      <c r="E183" s="1" t="n">
        <v>21.782</v>
      </c>
      <c r="G183" s="1" t="s">
        <v>244</v>
      </c>
      <c r="H183" s="1" t="n">
        <v>21.6408</v>
      </c>
      <c r="J183" s="1" t="s">
        <v>244</v>
      </c>
      <c r="K183" s="1" t="n">
        <v>21.9234</v>
      </c>
      <c r="M183" s="1" t="s">
        <v>244</v>
      </c>
      <c r="N183" s="1" t="n">
        <v>21.8248</v>
      </c>
      <c r="P183" s="1" t="s">
        <v>244</v>
      </c>
      <c r="Q183" s="1" t="n">
        <v>21.9796</v>
      </c>
      <c r="S183" s="1" t="s">
        <v>244</v>
      </c>
      <c r="T183" s="1" t="n">
        <v>21.8426</v>
      </c>
    </row>
    <row r="184" customFormat="false" ht="13.8" hidden="false" customHeight="false" outlineLevel="0" collapsed="false">
      <c r="A184" s="1" t="s">
        <v>245</v>
      </c>
      <c r="B184" s="1" t="n">
        <v>21.578</v>
      </c>
      <c r="D184" s="1" t="s">
        <v>245</v>
      </c>
      <c r="E184" s="1" t="n">
        <v>21.7688</v>
      </c>
      <c r="G184" s="1" t="s">
        <v>245</v>
      </c>
      <c r="H184" s="1" t="n">
        <v>21.6451</v>
      </c>
      <c r="J184" s="1" t="s">
        <v>245</v>
      </c>
      <c r="K184" s="1" t="n">
        <v>21.8951</v>
      </c>
      <c r="M184" s="1" t="s">
        <v>245</v>
      </c>
      <c r="N184" s="1" t="n">
        <v>21.8175</v>
      </c>
      <c r="P184" s="1" t="s">
        <v>245</v>
      </c>
      <c r="Q184" s="1" t="n">
        <v>21.9502</v>
      </c>
      <c r="S184" s="1" t="s">
        <v>245</v>
      </c>
      <c r="T184" s="1" t="n">
        <v>21.8421</v>
      </c>
    </row>
    <row r="185" customFormat="false" ht="13.8" hidden="false" customHeight="false" outlineLevel="0" collapsed="false">
      <c r="A185" s="1" t="s">
        <v>246</v>
      </c>
      <c r="B185" s="1" t="n">
        <v>21.6849</v>
      </c>
      <c r="D185" s="1" t="s">
        <v>246</v>
      </c>
      <c r="E185" s="1" t="n">
        <v>21.8242</v>
      </c>
      <c r="G185" s="1" t="s">
        <v>246</v>
      </c>
      <c r="H185" s="1" t="n">
        <v>21.6456</v>
      </c>
      <c r="J185" s="1" t="s">
        <v>246</v>
      </c>
      <c r="K185" s="1" t="n">
        <v>21.8615</v>
      </c>
      <c r="M185" s="1" t="s">
        <v>246</v>
      </c>
      <c r="N185" s="1" t="n">
        <v>21.8176</v>
      </c>
      <c r="P185" s="1" t="s">
        <v>246</v>
      </c>
      <c r="Q185" s="1" t="n">
        <v>21.9513</v>
      </c>
      <c r="S185" s="1" t="s">
        <v>246</v>
      </c>
      <c r="T185" s="1" t="n">
        <v>21.8325</v>
      </c>
    </row>
    <row r="186" customFormat="false" ht="13.8" hidden="false" customHeight="false" outlineLevel="0" collapsed="false">
      <c r="A186" s="1" t="s">
        <v>247</v>
      </c>
      <c r="B186" s="1" t="n">
        <v>21.7591</v>
      </c>
      <c r="D186" s="1" t="s">
        <v>247</v>
      </c>
      <c r="E186" s="1" t="n">
        <v>21.6762</v>
      </c>
      <c r="G186" s="1" t="s">
        <v>247</v>
      </c>
      <c r="H186" s="1" t="n">
        <v>21.6402</v>
      </c>
      <c r="J186" s="1" t="s">
        <v>247</v>
      </c>
      <c r="K186" s="1" t="n">
        <v>21.8915</v>
      </c>
      <c r="M186" s="1" t="s">
        <v>247</v>
      </c>
      <c r="N186" s="1" t="n">
        <v>21.8271</v>
      </c>
      <c r="P186" s="1" t="s">
        <v>247</v>
      </c>
      <c r="Q186" s="1" t="n">
        <v>21.9381</v>
      </c>
      <c r="S186" s="1" t="s">
        <v>247</v>
      </c>
      <c r="T186" s="1" t="n">
        <v>21.8231</v>
      </c>
    </row>
    <row r="187" customFormat="false" ht="13.8" hidden="false" customHeight="false" outlineLevel="0" collapsed="false">
      <c r="A187" s="1" t="s">
        <v>248</v>
      </c>
      <c r="B187" s="1" t="n">
        <v>21.779</v>
      </c>
      <c r="D187" s="1" t="s">
        <v>248</v>
      </c>
      <c r="E187" s="1" t="n">
        <v>21.6357</v>
      </c>
      <c r="G187" s="1" t="s">
        <v>248</v>
      </c>
      <c r="H187" s="1" t="n">
        <v>21.6136</v>
      </c>
      <c r="J187" s="1" t="s">
        <v>248</v>
      </c>
      <c r="K187" s="1" t="n">
        <v>21.8778</v>
      </c>
      <c r="M187" s="1" t="s">
        <v>248</v>
      </c>
      <c r="N187" s="1" t="n">
        <v>21.8148</v>
      </c>
      <c r="P187" s="1" t="s">
        <v>248</v>
      </c>
      <c r="Q187" s="1" t="n">
        <v>21.9508</v>
      </c>
      <c r="S187" s="1" t="s">
        <v>248</v>
      </c>
      <c r="T187" s="1" t="n">
        <v>21.8064</v>
      </c>
    </row>
    <row r="188" customFormat="false" ht="13.8" hidden="false" customHeight="false" outlineLevel="0" collapsed="false">
      <c r="A188" s="1" t="s">
        <v>249</v>
      </c>
      <c r="B188" s="1" t="n">
        <v>21.7816</v>
      </c>
      <c r="D188" s="1" t="s">
        <v>249</v>
      </c>
      <c r="E188" s="1" t="n">
        <v>21.6615</v>
      </c>
      <c r="G188" s="1" t="s">
        <v>249</v>
      </c>
      <c r="H188" s="1" t="n">
        <v>21.6099</v>
      </c>
      <c r="J188" s="1" t="s">
        <v>249</v>
      </c>
      <c r="K188" s="1" t="n">
        <v>21.85</v>
      </c>
      <c r="M188" s="1" t="s">
        <v>249</v>
      </c>
      <c r="N188" s="1" t="n">
        <v>21.7958</v>
      </c>
      <c r="P188" s="1" t="s">
        <v>249</v>
      </c>
      <c r="Q188" s="1" t="n">
        <v>21.9338</v>
      </c>
      <c r="S188" s="1" t="s">
        <v>249</v>
      </c>
      <c r="T188" s="1" t="n">
        <v>21.8138</v>
      </c>
    </row>
    <row r="189" customFormat="false" ht="13.8" hidden="false" customHeight="false" outlineLevel="0" collapsed="false">
      <c r="A189" s="1" t="s">
        <v>250</v>
      </c>
      <c r="B189" s="1" t="n">
        <v>21.7773</v>
      </c>
      <c r="D189" s="1" t="s">
        <v>250</v>
      </c>
      <c r="E189" s="1" t="n">
        <v>21.6898</v>
      </c>
      <c r="G189" s="1" t="s">
        <v>250</v>
      </c>
      <c r="H189" s="1" t="n">
        <v>21.6103</v>
      </c>
      <c r="J189" s="1" t="s">
        <v>250</v>
      </c>
      <c r="K189" s="1" t="n">
        <v>21.8632</v>
      </c>
      <c r="M189" s="1" t="s">
        <v>250</v>
      </c>
      <c r="N189" s="1" t="n">
        <v>21.778</v>
      </c>
      <c r="P189" s="1" t="s">
        <v>250</v>
      </c>
      <c r="Q189" s="1" t="n">
        <v>21.9103</v>
      </c>
      <c r="S189" s="1" t="s">
        <v>250</v>
      </c>
      <c r="T189" s="1" t="n">
        <v>21.79</v>
      </c>
    </row>
    <row r="190" customFormat="false" ht="13.8" hidden="false" customHeight="false" outlineLevel="0" collapsed="false">
      <c r="A190" s="1" t="s">
        <v>251</v>
      </c>
      <c r="B190" s="1" t="n">
        <v>21.7353</v>
      </c>
      <c r="D190" s="1" t="s">
        <v>251</v>
      </c>
      <c r="E190" s="1" t="n">
        <v>21.7243</v>
      </c>
      <c r="G190" s="1" t="s">
        <v>251</v>
      </c>
      <c r="H190" s="1" t="n">
        <v>21.6395</v>
      </c>
      <c r="J190" s="1" t="s">
        <v>251</v>
      </c>
      <c r="K190" s="1" t="n">
        <v>21.8796</v>
      </c>
      <c r="M190" s="1" t="s">
        <v>251</v>
      </c>
      <c r="N190" s="1" t="n">
        <v>21.7757</v>
      </c>
      <c r="P190" s="1" t="s">
        <v>251</v>
      </c>
      <c r="Q190" s="1" t="n">
        <v>21.9395</v>
      </c>
      <c r="S190" s="1" t="s">
        <v>251</v>
      </c>
      <c r="T190" s="1" t="n">
        <v>21.78</v>
      </c>
    </row>
    <row r="191" customFormat="false" ht="13.8" hidden="false" customHeight="false" outlineLevel="0" collapsed="false">
      <c r="A191" s="1" t="s">
        <v>252</v>
      </c>
      <c r="B191" s="1" t="n">
        <v>22.0177</v>
      </c>
      <c r="D191" s="1" t="s">
        <v>252</v>
      </c>
      <c r="E191" s="1" t="n">
        <v>21.8982</v>
      </c>
      <c r="G191" s="1" t="s">
        <v>252</v>
      </c>
      <c r="H191" s="1" t="n">
        <v>22.0441</v>
      </c>
      <c r="J191" s="1" t="s">
        <v>252</v>
      </c>
      <c r="K191" s="1" t="n">
        <v>22.0263</v>
      </c>
      <c r="M191" s="1" t="s">
        <v>252</v>
      </c>
      <c r="N191" s="1" t="n">
        <v>22.166</v>
      </c>
      <c r="P191" s="1" t="s">
        <v>252</v>
      </c>
      <c r="Q191" s="1" t="n">
        <v>22.0339</v>
      </c>
      <c r="S191" s="1" t="s">
        <v>252</v>
      </c>
      <c r="T191" s="1" t="n">
        <v>22.0725</v>
      </c>
    </row>
    <row r="192" customFormat="false" ht="13.8" hidden="false" customHeight="false" outlineLevel="0" collapsed="false">
      <c r="A192" s="1" t="s">
        <v>253</v>
      </c>
      <c r="B192" s="1" t="n">
        <v>21.7888</v>
      </c>
      <c r="D192" s="1" t="s">
        <v>253</v>
      </c>
      <c r="E192" s="1" t="n">
        <v>21.922</v>
      </c>
      <c r="G192" s="1" t="s">
        <v>253</v>
      </c>
      <c r="H192" s="1" t="n">
        <v>22.0137</v>
      </c>
      <c r="J192" s="1" t="s">
        <v>253</v>
      </c>
      <c r="K192" s="1" t="n">
        <v>22.0492</v>
      </c>
      <c r="M192" s="1" t="s">
        <v>253</v>
      </c>
      <c r="N192" s="1" t="n">
        <v>22.1584</v>
      </c>
      <c r="P192" s="1" t="s">
        <v>253</v>
      </c>
      <c r="Q192" s="1" t="n">
        <v>22.0188</v>
      </c>
      <c r="S192" s="1" t="s">
        <v>253</v>
      </c>
      <c r="T192" s="1" t="n">
        <v>22.0756</v>
      </c>
    </row>
    <row r="193" customFormat="false" ht="13.8" hidden="false" customHeight="false" outlineLevel="0" collapsed="false">
      <c r="A193" s="1" t="s">
        <v>254</v>
      </c>
      <c r="B193" s="1" t="n">
        <v>21.7788</v>
      </c>
      <c r="D193" s="1" t="s">
        <v>254</v>
      </c>
      <c r="E193" s="1" t="n">
        <v>21.9449</v>
      </c>
      <c r="G193" s="1" t="s">
        <v>254</v>
      </c>
      <c r="H193" s="1" t="n">
        <v>22.025</v>
      </c>
      <c r="J193" s="1" t="s">
        <v>254</v>
      </c>
      <c r="K193" s="1" t="n">
        <v>22.0259</v>
      </c>
      <c r="M193" s="1" t="s">
        <v>254</v>
      </c>
      <c r="N193" s="1" t="n">
        <v>22.1581</v>
      </c>
      <c r="P193" s="1" t="s">
        <v>254</v>
      </c>
      <c r="Q193" s="1" t="n">
        <v>22.0109</v>
      </c>
      <c r="S193" s="1" t="s">
        <v>254</v>
      </c>
      <c r="T193" s="1" t="n">
        <v>22.07</v>
      </c>
    </row>
    <row r="194" customFormat="false" ht="13.8" hidden="false" customHeight="false" outlineLevel="0" collapsed="false">
      <c r="A194" s="1" t="s">
        <v>255</v>
      </c>
      <c r="B194" s="1" t="n">
        <v>21.8708</v>
      </c>
      <c r="D194" s="1" t="s">
        <v>255</v>
      </c>
      <c r="E194" s="1" t="n">
        <v>22.0048</v>
      </c>
      <c r="G194" s="1" t="s">
        <v>255</v>
      </c>
      <c r="H194" s="1" t="n">
        <v>22.0125</v>
      </c>
      <c r="J194" s="1" t="s">
        <v>255</v>
      </c>
      <c r="K194" s="1" t="n">
        <v>22.0051</v>
      </c>
      <c r="M194" s="1" t="s">
        <v>255</v>
      </c>
      <c r="N194" s="1" t="n">
        <v>22.157</v>
      </c>
      <c r="P194" s="1" t="s">
        <v>255</v>
      </c>
      <c r="Q194" s="1" t="n">
        <v>21.9905</v>
      </c>
      <c r="S194" s="1" t="s">
        <v>255</v>
      </c>
      <c r="T194" s="1" t="n">
        <v>22.0722</v>
      </c>
    </row>
    <row r="195" customFormat="false" ht="13.8" hidden="false" customHeight="false" outlineLevel="0" collapsed="false">
      <c r="A195" s="1" t="s">
        <v>256</v>
      </c>
      <c r="B195" s="1" t="n">
        <v>21.9546</v>
      </c>
      <c r="D195" s="1" t="s">
        <v>256</v>
      </c>
      <c r="E195" s="1" t="n">
        <v>21.8172</v>
      </c>
      <c r="G195" s="1" t="s">
        <v>256</v>
      </c>
      <c r="H195" s="1" t="n">
        <v>22.0167</v>
      </c>
      <c r="J195" s="1" t="s">
        <v>256</v>
      </c>
      <c r="K195" s="1" t="n">
        <v>22.0054</v>
      </c>
      <c r="M195" s="1" t="s">
        <v>256</v>
      </c>
      <c r="N195" s="1" t="n">
        <v>22.1578</v>
      </c>
      <c r="P195" s="1" t="s">
        <v>256</v>
      </c>
      <c r="Q195" s="1" t="n">
        <v>22.0022</v>
      </c>
      <c r="S195" s="1" t="s">
        <v>256</v>
      </c>
      <c r="T195" s="1" t="n">
        <v>22.0516</v>
      </c>
    </row>
    <row r="196" customFormat="false" ht="13.8" hidden="false" customHeight="false" outlineLevel="0" collapsed="false">
      <c r="A196" s="1" t="s">
        <v>257</v>
      </c>
      <c r="B196" s="1" t="n">
        <v>22.0009</v>
      </c>
      <c r="D196" s="1" t="s">
        <v>257</v>
      </c>
      <c r="E196" s="1" t="n">
        <v>21.7812</v>
      </c>
      <c r="G196" s="1" t="s">
        <v>257</v>
      </c>
      <c r="H196" s="1" t="n">
        <v>21.9984</v>
      </c>
      <c r="J196" s="1" t="s">
        <v>257</v>
      </c>
      <c r="K196" s="1" t="n">
        <v>22.0075</v>
      </c>
      <c r="M196" s="1" t="s">
        <v>257</v>
      </c>
      <c r="N196" s="1" t="n">
        <v>22.1507</v>
      </c>
      <c r="P196" s="1" t="s">
        <v>257</v>
      </c>
      <c r="Q196" s="1" t="n">
        <v>21.9959</v>
      </c>
      <c r="S196" s="1" t="s">
        <v>257</v>
      </c>
      <c r="T196" s="1" t="n">
        <v>22.0421</v>
      </c>
    </row>
    <row r="197" customFormat="false" ht="13.8" hidden="false" customHeight="false" outlineLevel="0" collapsed="false">
      <c r="A197" s="1" t="s">
        <v>258</v>
      </c>
      <c r="B197" s="1" t="n">
        <v>22.013</v>
      </c>
      <c r="D197" s="1" t="s">
        <v>258</v>
      </c>
      <c r="E197" s="1" t="n">
        <v>21.8048</v>
      </c>
      <c r="G197" s="1" t="s">
        <v>258</v>
      </c>
      <c r="H197" s="1" t="n">
        <v>21.9815</v>
      </c>
      <c r="J197" s="1" t="s">
        <v>258</v>
      </c>
      <c r="K197" s="1" t="n">
        <v>22.0164</v>
      </c>
      <c r="M197" s="1" t="s">
        <v>258</v>
      </c>
      <c r="N197" s="1" t="n">
        <v>22.15</v>
      </c>
      <c r="P197" s="1" t="s">
        <v>258</v>
      </c>
      <c r="Q197" s="1" t="n">
        <v>21.9876</v>
      </c>
      <c r="S197" s="1" t="s">
        <v>258</v>
      </c>
      <c r="T197" s="1" t="n">
        <v>22.0519</v>
      </c>
    </row>
    <row r="198" customFormat="false" ht="13.8" hidden="false" customHeight="false" outlineLevel="0" collapsed="false">
      <c r="A198" s="1" t="s">
        <v>259</v>
      </c>
      <c r="B198" s="1" t="n">
        <v>21.9987</v>
      </c>
      <c r="D198" s="1" t="s">
        <v>259</v>
      </c>
      <c r="E198" s="1" t="n">
        <v>21.8819</v>
      </c>
      <c r="G198" s="1" t="s">
        <v>259</v>
      </c>
      <c r="H198" s="1" t="n">
        <v>21.9721</v>
      </c>
      <c r="J198" s="1" t="s">
        <v>259</v>
      </c>
      <c r="K198" s="1" t="n">
        <v>22.0162</v>
      </c>
      <c r="M198" s="1" t="s">
        <v>259</v>
      </c>
      <c r="N198" s="1" t="n">
        <v>22.1369</v>
      </c>
      <c r="P198" s="1" t="s">
        <v>259</v>
      </c>
      <c r="Q198" s="1" t="n">
        <v>21.9837</v>
      </c>
      <c r="S198" s="1" t="s">
        <v>259</v>
      </c>
      <c r="T198" s="1" t="n">
        <v>22.0459</v>
      </c>
    </row>
    <row r="199" customFormat="false" ht="13.8" hidden="false" customHeight="false" outlineLevel="0" collapsed="false">
      <c r="A199" s="1" t="s">
        <v>260</v>
      </c>
      <c r="B199" s="1" t="n">
        <v>21.9792</v>
      </c>
      <c r="D199" s="1" t="s">
        <v>260</v>
      </c>
      <c r="E199" s="1" t="n">
        <v>21.879</v>
      </c>
      <c r="G199" s="1" t="s">
        <v>260</v>
      </c>
      <c r="H199" s="1" t="n">
        <v>22.0067</v>
      </c>
      <c r="J199" s="1" t="s">
        <v>260</v>
      </c>
      <c r="K199" s="1" t="n">
        <v>22.0121</v>
      </c>
      <c r="M199" s="1" t="s">
        <v>260</v>
      </c>
      <c r="N199" s="1" t="n">
        <v>22.1353</v>
      </c>
      <c r="P199" s="1" t="s">
        <v>260</v>
      </c>
      <c r="Q199" s="1" t="n">
        <v>22.0113</v>
      </c>
      <c r="S199" s="1" t="s">
        <v>260</v>
      </c>
      <c r="T199" s="1" t="n">
        <v>22.0292</v>
      </c>
    </row>
    <row r="200" customFormat="false" ht="13.8" hidden="false" customHeight="false" outlineLevel="0" collapsed="false">
      <c r="A200" s="1" t="s">
        <v>261</v>
      </c>
      <c r="B200" s="1" t="n">
        <v>16.1042</v>
      </c>
      <c r="D200" s="1" t="s">
        <v>261</v>
      </c>
      <c r="E200" s="1" t="n">
        <v>16.0203</v>
      </c>
      <c r="G200" s="1" t="s">
        <v>261</v>
      </c>
      <c r="H200" s="1" t="n">
        <v>15.7972</v>
      </c>
      <c r="J200" s="1" t="s">
        <v>261</v>
      </c>
      <c r="K200" s="1" t="n">
        <v>15.7944</v>
      </c>
      <c r="M200" s="1" t="s">
        <v>261</v>
      </c>
      <c r="N200" s="1" t="n">
        <v>15.8068</v>
      </c>
      <c r="P200" s="1" t="s">
        <v>261</v>
      </c>
      <c r="Q200" s="1" t="n">
        <v>16.0291</v>
      </c>
      <c r="S200" s="1" t="s">
        <v>261</v>
      </c>
      <c r="T200" s="1" t="n">
        <v>15.7867</v>
      </c>
    </row>
    <row r="201" customFormat="false" ht="13.8" hidden="false" customHeight="false" outlineLevel="0" collapsed="false">
      <c r="A201" s="1" t="s">
        <v>262</v>
      </c>
      <c r="B201" s="1" t="n">
        <v>15.6431</v>
      </c>
      <c r="D201" s="1" t="s">
        <v>262</v>
      </c>
      <c r="E201" s="1" t="n">
        <v>16.0312</v>
      </c>
      <c r="G201" s="1" t="s">
        <v>262</v>
      </c>
      <c r="H201" s="1" t="n">
        <v>15.7954</v>
      </c>
      <c r="J201" s="1" t="s">
        <v>262</v>
      </c>
      <c r="K201" s="1" t="n">
        <v>15.7949</v>
      </c>
      <c r="M201" s="1" t="s">
        <v>262</v>
      </c>
      <c r="N201" s="1" t="n">
        <v>15.8052</v>
      </c>
      <c r="P201" s="1" t="s">
        <v>262</v>
      </c>
      <c r="Q201" s="1" t="n">
        <v>16.0561</v>
      </c>
      <c r="S201" s="1" t="s">
        <v>262</v>
      </c>
      <c r="T201" s="1" t="n">
        <v>15.8046</v>
      </c>
    </row>
    <row r="202" customFormat="false" ht="13.8" hidden="false" customHeight="false" outlineLevel="0" collapsed="false">
      <c r="A202" s="1" t="s">
        <v>263</v>
      </c>
      <c r="B202" s="1" t="n">
        <v>15.6963</v>
      </c>
      <c r="D202" s="1" t="s">
        <v>263</v>
      </c>
      <c r="E202" s="1" t="n">
        <v>16.0874</v>
      </c>
      <c r="G202" s="1" t="s">
        <v>263</v>
      </c>
      <c r="H202" s="1" t="n">
        <v>15.8098</v>
      </c>
      <c r="J202" s="1" t="s">
        <v>263</v>
      </c>
      <c r="K202" s="1" t="n">
        <v>15.815</v>
      </c>
      <c r="M202" s="1" t="s">
        <v>263</v>
      </c>
      <c r="N202" s="1" t="n">
        <v>15.8129</v>
      </c>
      <c r="P202" s="1" t="s">
        <v>263</v>
      </c>
      <c r="Q202" s="1" t="n">
        <v>16.0517</v>
      </c>
      <c r="S202" s="1" t="s">
        <v>263</v>
      </c>
      <c r="T202" s="1" t="n">
        <v>15.8059</v>
      </c>
    </row>
    <row r="203" customFormat="false" ht="13.8" hidden="false" customHeight="false" outlineLevel="0" collapsed="false">
      <c r="A203" s="1" t="s">
        <v>264</v>
      </c>
      <c r="B203" s="1" t="n">
        <v>15.8183</v>
      </c>
      <c r="D203" s="1" t="s">
        <v>264</v>
      </c>
      <c r="E203" s="1" t="n">
        <v>16.1854</v>
      </c>
      <c r="G203" s="1" t="s">
        <v>264</v>
      </c>
      <c r="H203" s="1" t="n">
        <v>15.822</v>
      </c>
      <c r="J203" s="1" t="s">
        <v>264</v>
      </c>
      <c r="K203" s="1" t="n">
        <v>15.8291</v>
      </c>
      <c r="M203" s="1" t="s">
        <v>264</v>
      </c>
      <c r="N203" s="1" t="n">
        <v>15.827</v>
      </c>
      <c r="P203" s="1" t="s">
        <v>264</v>
      </c>
      <c r="Q203" s="1" t="n">
        <v>16.0863</v>
      </c>
      <c r="S203" s="1" t="s">
        <v>264</v>
      </c>
      <c r="T203" s="1" t="n">
        <v>15.839</v>
      </c>
    </row>
    <row r="204" customFormat="false" ht="13.8" hidden="false" customHeight="false" outlineLevel="0" collapsed="false">
      <c r="A204" s="1" t="s">
        <v>265</v>
      </c>
      <c r="B204" s="1" t="n">
        <v>15.9412</v>
      </c>
      <c r="D204" s="1" t="s">
        <v>265</v>
      </c>
      <c r="E204" s="1" t="n">
        <v>15.7642</v>
      </c>
      <c r="G204" s="1" t="s">
        <v>265</v>
      </c>
      <c r="H204" s="1" t="n">
        <v>15.8272</v>
      </c>
      <c r="J204" s="1" t="s">
        <v>265</v>
      </c>
      <c r="K204" s="1" t="n">
        <v>15.8402</v>
      </c>
      <c r="M204" s="1" t="s">
        <v>265</v>
      </c>
      <c r="N204" s="1" t="n">
        <v>15.8532</v>
      </c>
      <c r="P204" s="1" t="s">
        <v>265</v>
      </c>
      <c r="Q204" s="1" t="n">
        <v>16.0229</v>
      </c>
      <c r="S204" s="1" t="s">
        <v>265</v>
      </c>
      <c r="T204" s="1" t="n">
        <v>15.815</v>
      </c>
    </row>
    <row r="205" customFormat="false" ht="13.8" hidden="false" customHeight="false" outlineLevel="0" collapsed="false">
      <c r="A205" s="1" t="s">
        <v>266</v>
      </c>
      <c r="B205" s="1" t="n">
        <v>15.9539</v>
      </c>
      <c r="D205" s="1" t="s">
        <v>266</v>
      </c>
      <c r="E205" s="1" t="n">
        <v>15.7892</v>
      </c>
      <c r="G205" s="1" t="s">
        <v>266</v>
      </c>
      <c r="H205" s="1" t="n">
        <v>15.8155</v>
      </c>
      <c r="J205" s="1" t="s">
        <v>266</v>
      </c>
      <c r="K205" s="1" t="n">
        <v>15.8358</v>
      </c>
      <c r="M205" s="1" t="s">
        <v>266</v>
      </c>
      <c r="N205" s="1" t="n">
        <v>15.8299</v>
      </c>
      <c r="P205" s="1" t="s">
        <v>266</v>
      </c>
      <c r="Q205" s="1" t="n">
        <v>16.0563</v>
      </c>
      <c r="S205" s="1" t="s">
        <v>266</v>
      </c>
      <c r="T205" s="1" t="n">
        <v>15.8532</v>
      </c>
    </row>
    <row r="206" customFormat="false" ht="13.8" hidden="false" customHeight="false" outlineLevel="0" collapsed="false">
      <c r="A206" s="1" t="s">
        <v>267</v>
      </c>
      <c r="B206" s="1" t="n">
        <v>16.0008</v>
      </c>
      <c r="D206" s="1" t="s">
        <v>267</v>
      </c>
      <c r="E206" s="1" t="n">
        <v>15.8247</v>
      </c>
      <c r="G206" s="1" t="s">
        <v>267</v>
      </c>
      <c r="H206" s="1" t="n">
        <v>15.8137</v>
      </c>
      <c r="J206" s="1" t="s">
        <v>267</v>
      </c>
      <c r="K206" s="1" t="n">
        <v>15.7829</v>
      </c>
      <c r="M206" s="1" t="s">
        <v>267</v>
      </c>
      <c r="N206" s="1" t="n">
        <v>15.8494</v>
      </c>
      <c r="P206" s="1" t="s">
        <v>267</v>
      </c>
      <c r="Q206" s="1" t="n">
        <v>16.0749</v>
      </c>
      <c r="S206" s="1" t="s">
        <v>267</v>
      </c>
      <c r="T206" s="1" t="n">
        <v>15.7992</v>
      </c>
    </row>
    <row r="207" customFormat="false" ht="13.8" hidden="false" customHeight="false" outlineLevel="0" collapsed="false">
      <c r="A207" s="1" t="s">
        <v>268</v>
      </c>
      <c r="B207" s="1" t="n">
        <v>16.0487</v>
      </c>
      <c r="D207" s="1" t="s">
        <v>268</v>
      </c>
      <c r="E207" s="1" t="n">
        <v>15.8809</v>
      </c>
      <c r="G207" s="1" t="s">
        <v>268</v>
      </c>
      <c r="H207" s="1" t="n">
        <v>15.8237</v>
      </c>
      <c r="J207" s="1" t="s">
        <v>268</v>
      </c>
      <c r="K207" s="1" t="n">
        <v>15.8206</v>
      </c>
      <c r="M207" s="1" t="s">
        <v>268</v>
      </c>
      <c r="N207" s="1" t="n">
        <v>15.84</v>
      </c>
      <c r="P207" s="1" t="s">
        <v>268</v>
      </c>
      <c r="Q207" s="1" t="n">
        <v>16.0644</v>
      </c>
      <c r="S207" s="1" t="s">
        <v>268</v>
      </c>
      <c r="T207" s="1" t="n">
        <v>15.7785</v>
      </c>
    </row>
    <row r="208" customFormat="false" ht="13.8" hidden="false" customHeight="false" outlineLevel="0" collapsed="false">
      <c r="A208" s="1" t="s">
        <v>269</v>
      </c>
      <c r="B208" s="1" t="n">
        <v>16.0254</v>
      </c>
      <c r="D208" s="1" t="s">
        <v>269</v>
      </c>
      <c r="E208" s="1" t="n">
        <v>15.9698</v>
      </c>
      <c r="G208" s="1" t="s">
        <v>269</v>
      </c>
      <c r="H208" s="1" t="n">
        <v>15.8312</v>
      </c>
      <c r="J208" s="1" t="s">
        <v>269</v>
      </c>
      <c r="K208" s="1" t="n">
        <v>15.7898</v>
      </c>
      <c r="M208" s="1" t="s">
        <v>269</v>
      </c>
      <c r="N208" s="1" t="n">
        <v>15.809</v>
      </c>
      <c r="P208" s="1" t="s">
        <v>269</v>
      </c>
      <c r="Q208" s="1" t="n">
        <v>16.046</v>
      </c>
      <c r="S208" s="1" t="s">
        <v>269</v>
      </c>
      <c r="T208" s="1" t="n">
        <v>15.8313</v>
      </c>
    </row>
    <row r="209" customFormat="false" ht="13.8" hidden="false" customHeight="false" outlineLevel="0" collapsed="false">
      <c r="A209" s="1" t="s">
        <v>270</v>
      </c>
      <c r="B209" s="1" t="n">
        <v>19.5606</v>
      </c>
      <c r="D209" s="1" t="s">
        <v>270</v>
      </c>
      <c r="E209" s="1" t="n">
        <v>19.3846</v>
      </c>
      <c r="G209" s="1" t="s">
        <v>270</v>
      </c>
      <c r="H209" s="1" t="n">
        <v>18.7578</v>
      </c>
      <c r="J209" s="1" t="s">
        <v>270</v>
      </c>
      <c r="K209" s="1" t="n">
        <v>18.6879</v>
      </c>
      <c r="M209" s="1" t="s">
        <v>270</v>
      </c>
      <c r="N209" s="1" t="n">
        <v>18.9407</v>
      </c>
      <c r="P209" s="1" t="s">
        <v>270</v>
      </c>
      <c r="Q209" s="1" t="n">
        <v>18.7369</v>
      </c>
      <c r="S209" s="1" t="s">
        <v>270</v>
      </c>
      <c r="T209" s="1" t="n">
        <v>18.7391</v>
      </c>
    </row>
    <row r="210" customFormat="false" ht="13.8" hidden="false" customHeight="false" outlineLevel="0" collapsed="false">
      <c r="A210" s="1" t="s">
        <v>271</v>
      </c>
      <c r="B210" s="1" t="n">
        <v>19.2069</v>
      </c>
      <c r="D210" s="1" t="s">
        <v>271</v>
      </c>
      <c r="E210" s="1" t="n">
        <v>19.3958</v>
      </c>
      <c r="G210" s="1" t="s">
        <v>271</v>
      </c>
      <c r="H210" s="1" t="n">
        <v>18.734</v>
      </c>
      <c r="J210" s="1" t="s">
        <v>271</v>
      </c>
      <c r="K210" s="1" t="n">
        <v>18.7109</v>
      </c>
      <c r="M210" s="1" t="s">
        <v>271</v>
      </c>
      <c r="N210" s="1" t="n">
        <v>18.9398</v>
      </c>
      <c r="P210" s="1" t="s">
        <v>271</v>
      </c>
      <c r="Q210" s="1" t="n">
        <v>18.7192</v>
      </c>
      <c r="S210" s="1" t="s">
        <v>271</v>
      </c>
      <c r="T210" s="1" t="n">
        <v>18.7358</v>
      </c>
    </row>
    <row r="211" customFormat="false" ht="13.8" hidden="false" customHeight="false" outlineLevel="0" collapsed="false">
      <c r="A211" s="1" t="s">
        <v>272</v>
      </c>
      <c r="B211" s="1" t="n">
        <v>19.2229</v>
      </c>
      <c r="D211" s="1" t="s">
        <v>272</v>
      </c>
      <c r="E211" s="1" t="n">
        <v>19.4668</v>
      </c>
      <c r="G211" s="1" t="s">
        <v>272</v>
      </c>
      <c r="H211" s="1" t="n">
        <v>18.7429</v>
      </c>
      <c r="J211" s="1" t="s">
        <v>272</v>
      </c>
      <c r="K211" s="1" t="n">
        <v>18.6818</v>
      </c>
      <c r="M211" s="1" t="s">
        <v>272</v>
      </c>
      <c r="N211" s="1" t="n">
        <v>18.9377</v>
      </c>
      <c r="P211" s="1" t="s">
        <v>272</v>
      </c>
      <c r="Q211" s="1" t="n">
        <v>18.7275</v>
      </c>
      <c r="S211" s="1" t="s">
        <v>272</v>
      </c>
      <c r="T211" s="1" t="n">
        <v>18.734</v>
      </c>
    </row>
    <row r="212" customFormat="false" ht="13.8" hidden="false" customHeight="false" outlineLevel="0" collapsed="false">
      <c r="A212" s="1" t="s">
        <v>273</v>
      </c>
      <c r="B212" s="1" t="n">
        <v>19.3118</v>
      </c>
      <c r="D212" s="1" t="s">
        <v>273</v>
      </c>
      <c r="E212" s="1" t="n">
        <v>19.5414</v>
      </c>
      <c r="G212" s="1" t="s">
        <v>273</v>
      </c>
      <c r="H212" s="1" t="n">
        <v>18.7415</v>
      </c>
      <c r="J212" s="1" t="s">
        <v>273</v>
      </c>
      <c r="K212" s="1" t="n">
        <v>18.6804</v>
      </c>
      <c r="M212" s="1" t="s">
        <v>273</v>
      </c>
      <c r="N212" s="1" t="n">
        <v>18.9413</v>
      </c>
      <c r="P212" s="1" t="s">
        <v>273</v>
      </c>
      <c r="Q212" s="1" t="n">
        <v>18.7039</v>
      </c>
      <c r="S212" s="1" t="s">
        <v>273</v>
      </c>
      <c r="T212" s="1" t="n">
        <v>18.7452</v>
      </c>
    </row>
    <row r="213" customFormat="false" ht="13.8" hidden="false" customHeight="false" outlineLevel="0" collapsed="false">
      <c r="A213" s="1" t="s">
        <v>274</v>
      </c>
      <c r="B213" s="1" t="n">
        <v>19.4195</v>
      </c>
      <c r="D213" s="1" t="s">
        <v>274</v>
      </c>
      <c r="E213" s="1" t="n">
        <v>19.2042</v>
      </c>
      <c r="G213" s="1" t="s">
        <v>274</v>
      </c>
      <c r="H213" s="1" t="n">
        <v>18.7274</v>
      </c>
      <c r="J213" s="1" t="s">
        <v>274</v>
      </c>
      <c r="K213" s="1" t="n">
        <v>18.6764</v>
      </c>
      <c r="M213" s="1" t="s">
        <v>274</v>
      </c>
      <c r="N213" s="1" t="n">
        <v>18.9379</v>
      </c>
      <c r="P213" s="1" t="s">
        <v>274</v>
      </c>
      <c r="Q213" s="1" t="n">
        <v>18.6995</v>
      </c>
      <c r="S213" s="1" t="s">
        <v>274</v>
      </c>
      <c r="T213" s="1" t="n">
        <v>18.7207</v>
      </c>
    </row>
    <row r="214" customFormat="false" ht="13.8" hidden="false" customHeight="false" outlineLevel="0" collapsed="false">
      <c r="A214" s="1" t="s">
        <v>275</v>
      </c>
      <c r="B214" s="1" t="n">
        <v>19.4797</v>
      </c>
      <c r="D214" s="1" t="s">
        <v>275</v>
      </c>
      <c r="E214" s="1" t="n">
        <v>19.2075</v>
      </c>
      <c r="G214" s="1" t="s">
        <v>275</v>
      </c>
      <c r="H214" s="1" t="n">
        <v>18.7165</v>
      </c>
      <c r="J214" s="1" t="s">
        <v>275</v>
      </c>
      <c r="K214" s="1" t="n">
        <v>18.6718</v>
      </c>
      <c r="M214" s="1" t="s">
        <v>275</v>
      </c>
      <c r="N214" s="1" t="n">
        <v>18.9279</v>
      </c>
      <c r="P214" s="1" t="s">
        <v>275</v>
      </c>
      <c r="Q214" s="1" t="n">
        <v>18.7104</v>
      </c>
      <c r="S214" s="1" t="s">
        <v>275</v>
      </c>
      <c r="T214" s="1" t="n">
        <v>18.7138</v>
      </c>
    </row>
    <row r="215" customFormat="false" ht="13.8" hidden="false" customHeight="false" outlineLevel="0" collapsed="false">
      <c r="A215" s="1" t="s">
        <v>276</v>
      </c>
      <c r="B215" s="1" t="n">
        <v>19.5225</v>
      </c>
      <c r="D215" s="1" t="s">
        <v>276</v>
      </c>
      <c r="E215" s="1" t="n">
        <v>19.2386</v>
      </c>
      <c r="G215" s="1" t="s">
        <v>276</v>
      </c>
      <c r="H215" s="1" t="n">
        <v>18.7056</v>
      </c>
      <c r="J215" s="1" t="s">
        <v>276</v>
      </c>
      <c r="K215" s="1" t="n">
        <v>18.6761</v>
      </c>
      <c r="M215" s="1" t="s">
        <v>276</v>
      </c>
      <c r="N215" s="1" t="n">
        <v>18.9251</v>
      </c>
      <c r="P215" s="1" t="s">
        <v>276</v>
      </c>
      <c r="Q215" s="1" t="n">
        <v>18.7048</v>
      </c>
      <c r="S215" s="1" t="s">
        <v>276</v>
      </c>
      <c r="T215" s="1" t="n">
        <v>18.7095</v>
      </c>
    </row>
    <row r="216" customFormat="false" ht="13.8" hidden="false" customHeight="false" outlineLevel="0" collapsed="false">
      <c r="A216" s="1" t="s">
        <v>277</v>
      </c>
      <c r="B216" s="1" t="n">
        <v>19.5326</v>
      </c>
      <c r="D216" s="1" t="s">
        <v>277</v>
      </c>
      <c r="E216" s="1" t="n">
        <v>19.3485</v>
      </c>
      <c r="G216" s="1" t="s">
        <v>277</v>
      </c>
      <c r="H216" s="1" t="n">
        <v>18.6893</v>
      </c>
      <c r="J216" s="1" t="s">
        <v>277</v>
      </c>
      <c r="K216" s="1" t="n">
        <v>18.6683</v>
      </c>
      <c r="M216" s="1" t="s">
        <v>277</v>
      </c>
      <c r="N216" s="1" t="n">
        <v>18.9162</v>
      </c>
      <c r="P216" s="1" t="s">
        <v>277</v>
      </c>
      <c r="Q216" s="1" t="n">
        <v>18.6883</v>
      </c>
      <c r="S216" s="1" t="s">
        <v>277</v>
      </c>
      <c r="T216" s="1" t="n">
        <v>18.6963</v>
      </c>
    </row>
    <row r="217" customFormat="false" ht="13.8" hidden="false" customHeight="false" outlineLevel="0" collapsed="false">
      <c r="A217" s="1" t="s">
        <v>278</v>
      </c>
      <c r="B217" s="1" t="n">
        <v>19.5393</v>
      </c>
      <c r="D217" s="1" t="s">
        <v>278</v>
      </c>
      <c r="E217" s="1" t="n">
        <v>19.346</v>
      </c>
      <c r="G217" s="1" t="s">
        <v>278</v>
      </c>
      <c r="H217" s="1" t="n">
        <v>18.7229</v>
      </c>
      <c r="J217" s="1" t="s">
        <v>278</v>
      </c>
      <c r="K217" s="1" t="n">
        <v>18.6615</v>
      </c>
      <c r="M217" s="1" t="s">
        <v>278</v>
      </c>
      <c r="N217" s="1" t="n">
        <v>18.9059</v>
      </c>
      <c r="P217" s="1" t="s">
        <v>278</v>
      </c>
      <c r="Q217" s="1" t="n">
        <v>18.696</v>
      </c>
      <c r="S217" s="1" t="s">
        <v>278</v>
      </c>
      <c r="T217" s="1" t="n">
        <v>18.6922</v>
      </c>
    </row>
    <row r="218" customFormat="false" ht="13.8" hidden="false" customHeight="false" outlineLevel="0" collapsed="false">
      <c r="A218" s="1" t="s">
        <v>279</v>
      </c>
      <c r="B218" s="1" t="n">
        <v>21.8152</v>
      </c>
      <c r="D218" s="1" t="s">
        <v>279</v>
      </c>
      <c r="E218" s="1" t="n">
        <v>21.7417</v>
      </c>
      <c r="G218" s="1" t="s">
        <v>279</v>
      </c>
      <c r="H218" s="1" t="n">
        <v>38.0853</v>
      </c>
      <c r="J218" s="1" t="s">
        <v>279</v>
      </c>
      <c r="K218" s="1" t="n">
        <v>38.1378</v>
      </c>
      <c r="M218" s="1" t="s">
        <v>279</v>
      </c>
      <c r="N218" s="1" t="n">
        <v>38.2383</v>
      </c>
      <c r="P218" s="1" t="s">
        <v>279</v>
      </c>
      <c r="Q218" s="1" t="n">
        <v>37.9381</v>
      </c>
      <c r="S218" s="1" t="s">
        <v>279</v>
      </c>
      <c r="T218" s="1" t="n">
        <v>38.1057</v>
      </c>
    </row>
    <row r="219" customFormat="false" ht="13.8" hidden="false" customHeight="false" outlineLevel="0" collapsed="false">
      <c r="A219" s="1" t="s">
        <v>280</v>
      </c>
      <c r="B219" s="1" t="n">
        <v>21.5966</v>
      </c>
      <c r="D219" s="1" t="s">
        <v>280</v>
      </c>
      <c r="E219" s="1" t="n">
        <v>21.782</v>
      </c>
      <c r="G219" s="1" t="s">
        <v>280</v>
      </c>
      <c r="H219" s="1" t="n">
        <v>38.046</v>
      </c>
      <c r="J219" s="1" t="s">
        <v>280</v>
      </c>
      <c r="K219" s="1" t="n">
        <v>38.1481</v>
      </c>
      <c r="M219" s="1" t="s">
        <v>280</v>
      </c>
      <c r="N219" s="1" t="n">
        <v>38.2041</v>
      </c>
      <c r="P219" s="1" t="s">
        <v>280</v>
      </c>
      <c r="Q219" s="1" t="n">
        <v>38.009</v>
      </c>
      <c r="S219" s="1" t="s">
        <v>280</v>
      </c>
      <c r="T219" s="1" t="n">
        <v>38.2473</v>
      </c>
    </row>
    <row r="220" customFormat="false" ht="13.8" hidden="false" customHeight="false" outlineLevel="0" collapsed="false">
      <c r="A220" s="1" t="s">
        <v>281</v>
      </c>
      <c r="B220" s="1" t="n">
        <v>21.578</v>
      </c>
      <c r="D220" s="1" t="s">
        <v>281</v>
      </c>
      <c r="E220" s="1" t="n">
        <v>21.7688</v>
      </c>
      <c r="G220" s="1" t="s">
        <v>281</v>
      </c>
      <c r="H220" s="1" t="n">
        <v>38.1237</v>
      </c>
      <c r="J220" s="1" t="s">
        <v>281</v>
      </c>
      <c r="K220" s="1" t="n">
        <v>38.2635</v>
      </c>
      <c r="M220" s="1" t="s">
        <v>281</v>
      </c>
      <c r="N220" s="1" t="n">
        <v>38.2774</v>
      </c>
      <c r="P220" s="1" t="s">
        <v>281</v>
      </c>
      <c r="Q220" s="1" t="n">
        <v>37.9332</v>
      </c>
      <c r="S220" s="1" t="s">
        <v>281</v>
      </c>
      <c r="T220" s="1" t="n">
        <v>38.2501</v>
      </c>
    </row>
    <row r="221" customFormat="false" ht="13.8" hidden="false" customHeight="false" outlineLevel="0" collapsed="false">
      <c r="A221" s="1" t="s">
        <v>282</v>
      </c>
      <c r="B221" s="1" t="n">
        <v>21.6849</v>
      </c>
      <c r="D221" s="1" t="s">
        <v>282</v>
      </c>
      <c r="E221" s="1" t="n">
        <v>21.8242</v>
      </c>
      <c r="G221" s="1" t="s">
        <v>282</v>
      </c>
      <c r="H221" s="1" t="n">
        <v>38.067</v>
      </c>
      <c r="J221" s="1" t="s">
        <v>282</v>
      </c>
      <c r="K221" s="1" t="n">
        <v>38.178</v>
      </c>
      <c r="M221" s="1" t="s">
        <v>282</v>
      </c>
      <c r="N221" s="1" t="n">
        <v>38.2664</v>
      </c>
      <c r="P221" s="1" t="s">
        <v>282</v>
      </c>
      <c r="Q221" s="1" t="n">
        <v>38.0492</v>
      </c>
      <c r="S221" s="1" t="s">
        <v>282</v>
      </c>
      <c r="T221" s="1" t="n">
        <v>38.2164</v>
      </c>
    </row>
    <row r="222" customFormat="false" ht="13.8" hidden="false" customHeight="false" outlineLevel="0" collapsed="false">
      <c r="A222" s="1" t="s">
        <v>283</v>
      </c>
      <c r="B222" s="1" t="n">
        <v>21.7591</v>
      </c>
      <c r="D222" s="1" t="s">
        <v>283</v>
      </c>
      <c r="E222" s="1" t="n">
        <v>21.6762</v>
      </c>
      <c r="G222" s="1" t="s">
        <v>283</v>
      </c>
      <c r="H222" s="1" t="n">
        <v>38.2063</v>
      </c>
      <c r="J222" s="1" t="s">
        <v>283</v>
      </c>
      <c r="K222" s="1" t="n">
        <v>38.2649</v>
      </c>
      <c r="M222" s="1" t="s">
        <v>283</v>
      </c>
      <c r="N222" s="1" t="n">
        <v>38.3528</v>
      </c>
      <c r="P222" s="1" t="s">
        <v>283</v>
      </c>
      <c r="Q222" s="1" t="n">
        <v>38.0368</v>
      </c>
      <c r="S222" s="1" t="s">
        <v>283</v>
      </c>
      <c r="T222" s="1" t="n">
        <v>38.217</v>
      </c>
    </row>
    <row r="223" customFormat="false" ht="13.8" hidden="false" customHeight="false" outlineLevel="0" collapsed="false">
      <c r="A223" s="1" t="s">
        <v>284</v>
      </c>
      <c r="B223" s="1" t="n">
        <v>21.779</v>
      </c>
      <c r="D223" s="1" t="s">
        <v>284</v>
      </c>
      <c r="E223" s="1" t="n">
        <v>21.6357</v>
      </c>
      <c r="G223" s="1" t="s">
        <v>284</v>
      </c>
      <c r="H223" s="1" t="n">
        <v>38.1591</v>
      </c>
      <c r="J223" s="1" t="s">
        <v>284</v>
      </c>
      <c r="K223" s="1" t="n">
        <v>38.2768</v>
      </c>
      <c r="M223" s="1" t="s">
        <v>284</v>
      </c>
      <c r="N223" s="1" t="n">
        <v>38.3185</v>
      </c>
      <c r="P223" s="1" t="s">
        <v>284</v>
      </c>
      <c r="Q223" s="1" t="n">
        <v>37.986</v>
      </c>
      <c r="S223" s="1" t="s">
        <v>284</v>
      </c>
      <c r="T223" s="1" t="n">
        <v>38.3128</v>
      </c>
    </row>
    <row r="224" customFormat="false" ht="13.8" hidden="false" customHeight="false" outlineLevel="0" collapsed="false">
      <c r="A224" s="1" t="s">
        <v>285</v>
      </c>
      <c r="B224" s="1" t="n">
        <v>21.7816</v>
      </c>
      <c r="D224" s="1" t="s">
        <v>285</v>
      </c>
      <c r="E224" s="1" t="n">
        <v>21.6615</v>
      </c>
      <c r="G224" s="1" t="s">
        <v>285</v>
      </c>
      <c r="H224" s="1" t="n">
        <v>38.1207</v>
      </c>
      <c r="J224" s="1" t="s">
        <v>285</v>
      </c>
      <c r="K224" s="1" t="n">
        <v>38.1824</v>
      </c>
      <c r="M224" s="1" t="s">
        <v>285</v>
      </c>
      <c r="N224" s="1" t="n">
        <v>38.4</v>
      </c>
      <c r="P224" s="1" t="s">
        <v>285</v>
      </c>
      <c r="Q224" s="1" t="n">
        <v>38.0235</v>
      </c>
      <c r="S224" s="1" t="s">
        <v>285</v>
      </c>
      <c r="T224" s="1" t="n">
        <v>38.3249</v>
      </c>
    </row>
    <row r="225" customFormat="false" ht="13.8" hidden="false" customHeight="false" outlineLevel="0" collapsed="false">
      <c r="A225" s="1" t="s">
        <v>286</v>
      </c>
      <c r="B225" s="1" t="n">
        <v>21.7773</v>
      </c>
      <c r="D225" s="1" t="s">
        <v>286</v>
      </c>
      <c r="E225" s="1" t="n">
        <v>21.6898</v>
      </c>
      <c r="G225" s="1" t="s">
        <v>286</v>
      </c>
      <c r="H225" s="1" t="n">
        <v>38.2401</v>
      </c>
      <c r="J225" s="1" t="s">
        <v>286</v>
      </c>
      <c r="K225" s="1" t="n">
        <v>38.3393</v>
      </c>
      <c r="M225" s="1" t="s">
        <v>286</v>
      </c>
      <c r="N225" s="1" t="n">
        <v>38.347</v>
      </c>
      <c r="P225" s="1" t="s">
        <v>286</v>
      </c>
      <c r="Q225" s="1" t="n">
        <v>38.109</v>
      </c>
      <c r="S225" s="1" t="s">
        <v>286</v>
      </c>
      <c r="T225" s="1" t="n">
        <v>38.3444</v>
      </c>
    </row>
    <row r="226" customFormat="false" ht="13.8" hidden="false" customHeight="false" outlineLevel="0" collapsed="false">
      <c r="A226" s="1" t="s">
        <v>287</v>
      </c>
      <c r="B226" s="1" t="n">
        <v>21.7353</v>
      </c>
      <c r="D226" s="1" t="s">
        <v>287</v>
      </c>
      <c r="E226" s="1" t="n">
        <v>21.7243</v>
      </c>
      <c r="G226" s="1" t="s">
        <v>287</v>
      </c>
      <c r="H226" s="1" t="n">
        <v>38.2364</v>
      </c>
      <c r="J226" s="1" t="s">
        <v>287</v>
      </c>
      <c r="K226" s="1" t="n">
        <v>38.2913</v>
      </c>
      <c r="M226" s="1" t="s">
        <v>287</v>
      </c>
      <c r="N226" s="1" t="n">
        <v>38.4</v>
      </c>
      <c r="P226" s="1" t="s">
        <v>287</v>
      </c>
      <c r="Q226" s="1" t="n">
        <v>38.1998</v>
      </c>
      <c r="S226" s="1" t="s">
        <v>287</v>
      </c>
      <c r="T226" s="1" t="n">
        <v>38.4083</v>
      </c>
    </row>
    <row r="227" customFormat="false" ht="13.8" hidden="false" customHeight="false" outlineLevel="0" collapsed="false">
      <c r="A227" s="1" t="s">
        <v>288</v>
      </c>
      <c r="B227" s="1" t="n">
        <v>19.0548</v>
      </c>
      <c r="D227" s="1" t="s">
        <v>288</v>
      </c>
      <c r="E227" s="1" t="n">
        <v>18.8985</v>
      </c>
      <c r="G227" s="1" t="s">
        <v>288</v>
      </c>
      <c r="H227" s="1" t="n">
        <v>19.0251</v>
      </c>
      <c r="J227" s="1" t="s">
        <v>288</v>
      </c>
      <c r="K227" s="1" t="n">
        <v>18.9952</v>
      </c>
      <c r="M227" s="1" t="s">
        <v>288</v>
      </c>
      <c r="N227" s="1" t="n">
        <v>19.0227</v>
      </c>
      <c r="P227" s="1" t="s">
        <v>288</v>
      </c>
      <c r="Q227" s="1" t="n">
        <v>19.0143</v>
      </c>
      <c r="S227" s="1" t="s">
        <v>288</v>
      </c>
      <c r="T227" s="1" t="n">
        <v>19.0026</v>
      </c>
    </row>
    <row r="228" customFormat="false" ht="13.8" hidden="false" customHeight="false" outlineLevel="0" collapsed="false">
      <c r="A228" s="1" t="s">
        <v>289</v>
      </c>
      <c r="B228" s="1" t="n">
        <v>18.7399</v>
      </c>
      <c r="D228" s="1" t="s">
        <v>289</v>
      </c>
      <c r="E228" s="1" t="n">
        <v>18.9295</v>
      </c>
      <c r="G228" s="1" t="s">
        <v>289</v>
      </c>
      <c r="H228" s="1" t="n">
        <v>19.0125</v>
      </c>
      <c r="J228" s="1" t="s">
        <v>289</v>
      </c>
      <c r="K228" s="1" t="n">
        <v>19.0137</v>
      </c>
      <c r="M228" s="1" t="s">
        <v>289</v>
      </c>
      <c r="N228" s="1" t="n">
        <v>19.0267</v>
      </c>
      <c r="P228" s="1" t="s">
        <v>289</v>
      </c>
      <c r="Q228" s="1" t="n">
        <v>19.0133</v>
      </c>
      <c r="S228" s="1" t="s">
        <v>289</v>
      </c>
      <c r="T228" s="1" t="n">
        <v>19.0212</v>
      </c>
    </row>
    <row r="229" customFormat="false" ht="13.8" hidden="false" customHeight="false" outlineLevel="0" collapsed="false">
      <c r="A229" s="1" t="s">
        <v>290</v>
      </c>
      <c r="B229" s="1" t="n">
        <v>18.7462</v>
      </c>
      <c r="D229" s="1" t="s">
        <v>290</v>
      </c>
      <c r="E229" s="1" t="n">
        <v>18.9892</v>
      </c>
      <c r="G229" s="1" t="s">
        <v>290</v>
      </c>
      <c r="H229" s="1" t="n">
        <v>19.0282</v>
      </c>
      <c r="J229" s="1" t="s">
        <v>290</v>
      </c>
      <c r="K229" s="1" t="n">
        <v>19.0102</v>
      </c>
      <c r="M229" s="1" t="s">
        <v>290</v>
      </c>
      <c r="N229" s="1" t="n">
        <v>19.0406</v>
      </c>
      <c r="P229" s="1" t="s">
        <v>290</v>
      </c>
      <c r="Q229" s="1" t="n">
        <v>19.0206</v>
      </c>
      <c r="S229" s="1" t="s">
        <v>290</v>
      </c>
      <c r="T229" s="1" t="n">
        <v>19.0174</v>
      </c>
    </row>
    <row r="230" customFormat="false" ht="13.8" hidden="false" customHeight="false" outlineLevel="0" collapsed="false">
      <c r="A230" s="1" t="s">
        <v>291</v>
      </c>
      <c r="B230" s="1" t="n">
        <v>18.857</v>
      </c>
      <c r="D230" s="1" t="s">
        <v>291</v>
      </c>
      <c r="E230" s="1" t="n">
        <v>19.0624</v>
      </c>
      <c r="G230" s="1" t="s">
        <v>291</v>
      </c>
      <c r="H230" s="1" t="n">
        <v>19.0241</v>
      </c>
      <c r="J230" s="1" t="s">
        <v>291</v>
      </c>
      <c r="K230" s="1" t="n">
        <v>19.0057</v>
      </c>
      <c r="M230" s="1" t="s">
        <v>291</v>
      </c>
      <c r="N230" s="1" t="n">
        <v>19.0503</v>
      </c>
      <c r="P230" s="1" t="s">
        <v>291</v>
      </c>
      <c r="Q230" s="1" t="n">
        <v>19.0221</v>
      </c>
      <c r="S230" s="1" t="s">
        <v>291</v>
      </c>
      <c r="T230" s="1" t="n">
        <v>19.0384</v>
      </c>
    </row>
    <row r="231" customFormat="false" ht="13.8" hidden="false" customHeight="false" outlineLevel="0" collapsed="false">
      <c r="A231" s="1" t="s">
        <v>292</v>
      </c>
      <c r="B231" s="1" t="n">
        <v>18.9649</v>
      </c>
      <c r="D231" s="1" t="s">
        <v>292</v>
      </c>
      <c r="E231" s="1" t="n">
        <v>18.7775</v>
      </c>
      <c r="G231" s="1" t="s">
        <v>292</v>
      </c>
      <c r="H231" s="1" t="n">
        <v>19.0318</v>
      </c>
      <c r="J231" s="1" t="s">
        <v>292</v>
      </c>
      <c r="K231" s="1" t="n">
        <v>19.0091</v>
      </c>
      <c r="M231" s="1" t="s">
        <v>292</v>
      </c>
      <c r="N231" s="1" t="n">
        <v>19.0558</v>
      </c>
      <c r="P231" s="1" t="s">
        <v>292</v>
      </c>
      <c r="Q231" s="1" t="n">
        <v>19.0023</v>
      </c>
      <c r="S231" s="1" t="s">
        <v>292</v>
      </c>
      <c r="T231" s="1" t="n">
        <v>19.0212</v>
      </c>
    </row>
    <row r="232" customFormat="false" ht="13.8" hidden="false" customHeight="false" outlineLevel="0" collapsed="false">
      <c r="A232" s="1" t="s">
        <v>293</v>
      </c>
      <c r="B232" s="1" t="n">
        <v>19.0224</v>
      </c>
      <c r="D232" s="1" t="s">
        <v>293</v>
      </c>
      <c r="E232" s="1" t="n">
        <v>18.753</v>
      </c>
      <c r="G232" s="1" t="s">
        <v>293</v>
      </c>
      <c r="H232" s="1" t="n">
        <v>19.0267</v>
      </c>
      <c r="J232" s="1" t="s">
        <v>293</v>
      </c>
      <c r="K232" s="1" t="n">
        <v>19.0111</v>
      </c>
      <c r="M232" s="1" t="s">
        <v>293</v>
      </c>
      <c r="N232" s="1" t="n">
        <v>19.0484</v>
      </c>
      <c r="P232" s="1" t="s">
        <v>293</v>
      </c>
      <c r="Q232" s="1" t="n">
        <v>19.0156</v>
      </c>
      <c r="S232" s="1" t="s">
        <v>293</v>
      </c>
      <c r="T232" s="1" t="n">
        <v>19.0306</v>
      </c>
    </row>
    <row r="233" customFormat="false" ht="13.8" hidden="false" customHeight="false" outlineLevel="0" collapsed="false">
      <c r="A233" s="1" t="s">
        <v>294</v>
      </c>
      <c r="B233" s="1" t="n">
        <v>19.0515</v>
      </c>
      <c r="D233" s="1" t="s">
        <v>294</v>
      </c>
      <c r="E233" s="1" t="n">
        <v>18.7906</v>
      </c>
      <c r="G233" s="1" t="s">
        <v>294</v>
      </c>
      <c r="H233" s="1" t="n">
        <v>18.9894</v>
      </c>
      <c r="J233" s="1" t="s">
        <v>294</v>
      </c>
      <c r="K233" s="1" t="n">
        <v>19.0166</v>
      </c>
      <c r="M233" s="1" t="s">
        <v>294</v>
      </c>
      <c r="N233" s="1" t="n">
        <v>19.0611</v>
      </c>
      <c r="P233" s="1" t="s">
        <v>294</v>
      </c>
      <c r="Q233" s="1" t="n">
        <v>19.016</v>
      </c>
      <c r="S233" s="1" t="s">
        <v>294</v>
      </c>
      <c r="T233" s="1" t="n">
        <v>19.0173</v>
      </c>
    </row>
    <row r="234" customFormat="false" ht="13.8" hidden="false" customHeight="false" outlineLevel="0" collapsed="false">
      <c r="A234" s="1" t="s">
        <v>295</v>
      </c>
      <c r="B234" s="1" t="n">
        <v>19.0548</v>
      </c>
      <c r="D234" s="1" t="s">
        <v>295</v>
      </c>
      <c r="E234" s="1" t="n">
        <v>18.8779</v>
      </c>
      <c r="G234" s="1" t="s">
        <v>295</v>
      </c>
      <c r="H234" s="1" t="n">
        <v>19.016</v>
      </c>
      <c r="J234" s="1" t="s">
        <v>295</v>
      </c>
      <c r="K234" s="1" t="n">
        <v>19.022</v>
      </c>
      <c r="M234" s="1" t="s">
        <v>295</v>
      </c>
      <c r="N234" s="1" t="n">
        <v>19.0575</v>
      </c>
      <c r="P234" s="1" t="s">
        <v>295</v>
      </c>
      <c r="Q234" s="1" t="n">
        <v>19.0213</v>
      </c>
      <c r="S234" s="1" t="s">
        <v>295</v>
      </c>
      <c r="T234" s="1" t="n">
        <v>19.0187</v>
      </c>
    </row>
    <row r="235" customFormat="false" ht="13.8" hidden="false" customHeight="false" outlineLevel="0" collapsed="false">
      <c r="A235" s="1" t="s">
        <v>296</v>
      </c>
      <c r="B235" s="1" t="n">
        <v>19.0564</v>
      </c>
      <c r="D235" s="1" t="s">
        <v>296</v>
      </c>
      <c r="E235" s="1" t="n">
        <v>18.9079</v>
      </c>
      <c r="G235" s="1" t="s">
        <v>296</v>
      </c>
      <c r="H235" s="1" t="n">
        <v>19.038</v>
      </c>
      <c r="J235" s="1" t="s">
        <v>296</v>
      </c>
      <c r="K235" s="1" t="n">
        <v>19.014</v>
      </c>
      <c r="M235" s="1" t="s">
        <v>296</v>
      </c>
      <c r="N235" s="1" t="n">
        <v>19.0534</v>
      </c>
      <c r="P235" s="1" t="s">
        <v>296</v>
      </c>
      <c r="Q235" s="1" t="n">
        <v>19.0398</v>
      </c>
      <c r="S235" s="1" t="s">
        <v>296</v>
      </c>
      <c r="T235" s="1" t="n">
        <v>19.0291</v>
      </c>
    </row>
    <row r="236" customFormat="false" ht="13.8" hidden="false" customHeight="false" outlineLevel="0" collapsed="false">
      <c r="A236" s="1" t="s">
        <v>297</v>
      </c>
      <c r="B236" s="1" t="n">
        <v>23.0298</v>
      </c>
      <c r="D236" s="1" t="s">
        <v>297</v>
      </c>
      <c r="E236" s="1" t="n">
        <v>22.9621</v>
      </c>
      <c r="G236" s="1" t="s">
        <v>297</v>
      </c>
      <c r="H236" s="1" t="n">
        <v>22.8848</v>
      </c>
      <c r="J236" s="1" t="s">
        <v>297</v>
      </c>
      <c r="K236" s="1" t="n">
        <v>22.9315</v>
      </c>
      <c r="M236" s="1" t="s">
        <v>297</v>
      </c>
      <c r="N236" s="1" t="n">
        <v>23.1777</v>
      </c>
      <c r="P236" s="1" t="s">
        <v>297</v>
      </c>
      <c r="Q236" s="1" t="n">
        <v>23.0458</v>
      </c>
      <c r="S236" s="1" t="s">
        <v>297</v>
      </c>
      <c r="T236" s="1" t="n">
        <v>23.0128</v>
      </c>
    </row>
    <row r="237" customFormat="false" ht="13.8" hidden="false" customHeight="false" outlineLevel="0" collapsed="false">
      <c r="A237" s="1" t="s">
        <v>298</v>
      </c>
      <c r="B237" s="1" t="n">
        <v>22.7785</v>
      </c>
      <c r="D237" s="1" t="s">
        <v>298</v>
      </c>
      <c r="E237" s="1" t="n">
        <v>22.9791</v>
      </c>
      <c r="G237" s="1" t="s">
        <v>298</v>
      </c>
      <c r="H237" s="1" t="n">
        <v>22.8488</v>
      </c>
      <c r="J237" s="1" t="s">
        <v>298</v>
      </c>
      <c r="K237" s="1" t="n">
        <v>22.9491</v>
      </c>
      <c r="M237" s="1" t="s">
        <v>298</v>
      </c>
      <c r="N237" s="1" t="n">
        <v>23.1596</v>
      </c>
      <c r="P237" s="1" t="s">
        <v>298</v>
      </c>
      <c r="Q237" s="1" t="n">
        <v>23.0368</v>
      </c>
      <c r="S237" s="1" t="s">
        <v>298</v>
      </c>
      <c r="T237" s="1" t="n">
        <v>23.0013</v>
      </c>
    </row>
    <row r="238" customFormat="false" ht="13.8" hidden="false" customHeight="false" outlineLevel="0" collapsed="false">
      <c r="A238" s="1" t="s">
        <v>299</v>
      </c>
      <c r="B238" s="1" t="n">
        <v>22.762</v>
      </c>
      <c r="D238" s="1" t="s">
        <v>299</v>
      </c>
      <c r="E238" s="1" t="n">
        <v>22.9705</v>
      </c>
      <c r="G238" s="1" t="s">
        <v>299</v>
      </c>
      <c r="H238" s="1" t="n">
        <v>22.8601</v>
      </c>
      <c r="J238" s="1" t="s">
        <v>299</v>
      </c>
      <c r="K238" s="1" t="n">
        <v>22.9235</v>
      </c>
      <c r="M238" s="1" t="s">
        <v>299</v>
      </c>
      <c r="N238" s="1" t="n">
        <v>23.146</v>
      </c>
      <c r="P238" s="1" t="s">
        <v>299</v>
      </c>
      <c r="Q238" s="1" t="n">
        <v>23.0097</v>
      </c>
      <c r="S238" s="1" t="s">
        <v>299</v>
      </c>
      <c r="T238" s="1" t="n">
        <v>23.0038</v>
      </c>
    </row>
    <row r="239" customFormat="false" ht="13.8" hidden="false" customHeight="false" outlineLevel="0" collapsed="false">
      <c r="A239" s="1" t="s">
        <v>300</v>
      </c>
      <c r="B239" s="1" t="n">
        <v>22.8372</v>
      </c>
      <c r="D239" s="1" t="s">
        <v>300</v>
      </c>
      <c r="E239" s="1" t="n">
        <v>23.0248</v>
      </c>
      <c r="G239" s="1" t="s">
        <v>300</v>
      </c>
      <c r="H239" s="1" t="n">
        <v>22.8492</v>
      </c>
      <c r="J239" s="1" t="s">
        <v>300</v>
      </c>
      <c r="K239" s="1" t="n">
        <v>22.8998</v>
      </c>
      <c r="M239" s="1" t="s">
        <v>300</v>
      </c>
      <c r="N239" s="1" t="n">
        <v>23.1423</v>
      </c>
      <c r="P239" s="1" t="s">
        <v>300</v>
      </c>
      <c r="Q239" s="1" t="n">
        <v>22.9893</v>
      </c>
      <c r="S239" s="1" t="s">
        <v>300</v>
      </c>
      <c r="T239" s="1" t="n">
        <v>22.9989</v>
      </c>
    </row>
    <row r="240" customFormat="false" ht="13.8" hidden="false" customHeight="false" outlineLevel="0" collapsed="false">
      <c r="A240" s="1" t="s">
        <v>301</v>
      </c>
      <c r="B240" s="1" t="n">
        <v>22.906</v>
      </c>
      <c r="D240" s="1" t="s">
        <v>301</v>
      </c>
      <c r="E240" s="1" t="n">
        <v>22.8299</v>
      </c>
      <c r="G240" s="1" t="s">
        <v>301</v>
      </c>
      <c r="H240" s="1" t="n">
        <v>22.8488</v>
      </c>
      <c r="J240" s="1" t="s">
        <v>301</v>
      </c>
      <c r="K240" s="1" t="n">
        <v>22.9041</v>
      </c>
      <c r="M240" s="1" t="s">
        <v>301</v>
      </c>
      <c r="N240" s="1" t="n">
        <v>23.1507</v>
      </c>
      <c r="P240" s="1" t="s">
        <v>301</v>
      </c>
      <c r="Q240" s="1" t="n">
        <v>23.0057</v>
      </c>
      <c r="S240" s="1" t="s">
        <v>301</v>
      </c>
      <c r="T240" s="1" t="n">
        <v>22.9687</v>
      </c>
    </row>
    <row r="241" customFormat="false" ht="13.8" hidden="false" customHeight="false" outlineLevel="0" collapsed="false">
      <c r="A241" s="1" t="s">
        <v>302</v>
      </c>
      <c r="B241" s="1" t="n">
        <v>22.925</v>
      </c>
      <c r="D241" s="1" t="s">
        <v>302</v>
      </c>
      <c r="E241" s="1" t="n">
        <v>22.8268</v>
      </c>
      <c r="G241" s="1" t="s">
        <v>302</v>
      </c>
      <c r="H241" s="1" t="n">
        <v>22.8153</v>
      </c>
      <c r="J241" s="1" t="s">
        <v>302</v>
      </c>
      <c r="K241" s="1" t="n">
        <v>22.9066</v>
      </c>
      <c r="M241" s="1" t="s">
        <v>302</v>
      </c>
      <c r="N241" s="1" t="n">
        <v>23.1363</v>
      </c>
      <c r="P241" s="1" t="s">
        <v>302</v>
      </c>
      <c r="Q241" s="1" t="n">
        <v>22.9992</v>
      </c>
      <c r="S241" s="1" t="s">
        <v>302</v>
      </c>
      <c r="T241" s="1" t="n">
        <v>22.9603</v>
      </c>
    </row>
    <row r="242" customFormat="false" ht="13.8" hidden="false" customHeight="false" outlineLevel="0" collapsed="false">
      <c r="A242" s="1" t="s">
        <v>303</v>
      </c>
      <c r="B242" s="1" t="n">
        <v>22.9448</v>
      </c>
      <c r="D242" s="1" t="s">
        <v>303</v>
      </c>
      <c r="E242" s="1" t="n">
        <v>22.8437</v>
      </c>
      <c r="G242" s="1" t="s">
        <v>303</v>
      </c>
      <c r="H242" s="1" t="n">
        <v>22.8399</v>
      </c>
      <c r="J242" s="1" t="s">
        <v>303</v>
      </c>
      <c r="K242" s="1" t="n">
        <v>22.8786</v>
      </c>
      <c r="M242" s="1" t="s">
        <v>303</v>
      </c>
      <c r="N242" s="1" t="n">
        <v>23.1246</v>
      </c>
      <c r="P242" s="1" t="s">
        <v>303</v>
      </c>
      <c r="Q242" s="1" t="n">
        <v>22.9894</v>
      </c>
      <c r="S242" s="1" t="s">
        <v>303</v>
      </c>
      <c r="T242" s="1" t="n">
        <v>22.9719</v>
      </c>
    </row>
    <row r="243" customFormat="false" ht="13.8" hidden="false" customHeight="false" outlineLevel="0" collapsed="false">
      <c r="A243" s="1" t="s">
        <v>304</v>
      </c>
      <c r="B243" s="1" t="n">
        <v>22.9498</v>
      </c>
      <c r="D243" s="1" t="s">
        <v>304</v>
      </c>
      <c r="E243" s="1" t="n">
        <v>22.8923</v>
      </c>
      <c r="G243" s="1" t="s">
        <v>304</v>
      </c>
      <c r="H243" s="1" t="n">
        <v>22.79</v>
      </c>
      <c r="J243" s="1" t="s">
        <v>304</v>
      </c>
      <c r="K243" s="1" t="n">
        <v>22.8987</v>
      </c>
      <c r="M243" s="1" t="s">
        <v>304</v>
      </c>
      <c r="N243" s="1" t="n">
        <v>23.1063</v>
      </c>
      <c r="P243" s="1" t="s">
        <v>304</v>
      </c>
      <c r="Q243" s="1" t="n">
        <v>22.9713</v>
      </c>
      <c r="S243" s="1" t="s">
        <v>304</v>
      </c>
      <c r="T243" s="1" t="n">
        <v>22.9469</v>
      </c>
    </row>
    <row r="244" customFormat="false" ht="13.8" hidden="false" customHeight="false" outlineLevel="0" collapsed="false">
      <c r="A244" s="1" t="s">
        <v>305</v>
      </c>
      <c r="B244" s="1" t="n">
        <v>22.9093</v>
      </c>
      <c r="D244" s="1" t="s">
        <v>305</v>
      </c>
      <c r="E244" s="1" t="n">
        <v>22.8796</v>
      </c>
      <c r="G244" s="1" t="s">
        <v>305</v>
      </c>
      <c r="H244" s="1" t="n">
        <v>22.8327</v>
      </c>
      <c r="J244" s="1" t="s">
        <v>305</v>
      </c>
      <c r="K244" s="1" t="n">
        <v>22.8841</v>
      </c>
      <c r="M244" s="1" t="s">
        <v>305</v>
      </c>
      <c r="N244" s="1" t="n">
        <v>23.0911</v>
      </c>
      <c r="P244" s="1" t="s">
        <v>305</v>
      </c>
      <c r="Q244" s="1" t="n">
        <v>22.9855</v>
      </c>
      <c r="S244" s="1" t="s">
        <v>305</v>
      </c>
      <c r="T244" s="1" t="n">
        <v>22.9309</v>
      </c>
    </row>
    <row r="245" customFormat="false" ht="13.8" hidden="false" customHeight="false" outlineLevel="0" collapsed="false">
      <c r="G245" s="1" t="s">
        <v>306</v>
      </c>
      <c r="H245" s="1" t="n">
        <v>15.5956</v>
      </c>
      <c r="J245" s="1" t="s">
        <v>306</v>
      </c>
      <c r="K245" s="1" t="n">
        <v>15.3894</v>
      </c>
      <c r="M245" s="1" t="s">
        <v>306</v>
      </c>
      <c r="N245" s="1" t="n">
        <v>15.6777</v>
      </c>
      <c r="P245" s="1" t="s">
        <v>306</v>
      </c>
      <c r="Q245" s="1" t="n">
        <v>15.487</v>
      </c>
      <c r="S245" s="1" t="s">
        <v>306</v>
      </c>
      <c r="T245" s="1" t="n">
        <v>15.5076</v>
      </c>
    </row>
    <row r="246" customFormat="false" ht="13.8" hidden="false" customHeight="false" outlineLevel="0" collapsed="false">
      <c r="G246" s="1" t="s">
        <v>307</v>
      </c>
      <c r="H246" s="1" t="n">
        <v>15.5756</v>
      </c>
      <c r="J246" s="1" t="s">
        <v>307</v>
      </c>
      <c r="K246" s="1" t="n">
        <v>15.4042</v>
      </c>
      <c r="M246" s="1" t="s">
        <v>307</v>
      </c>
      <c r="N246" s="1" t="n">
        <v>15.6814</v>
      </c>
      <c r="P246" s="1" t="s">
        <v>307</v>
      </c>
      <c r="Q246" s="1" t="n">
        <v>15.4786</v>
      </c>
      <c r="S246" s="1" t="s">
        <v>307</v>
      </c>
      <c r="T246" s="1" t="n">
        <v>15.5162</v>
      </c>
    </row>
    <row r="247" customFormat="false" ht="13.8" hidden="false" customHeight="false" outlineLevel="0" collapsed="false">
      <c r="G247" s="1" t="s">
        <v>308</v>
      </c>
      <c r="H247" s="1" t="n">
        <v>15.5875</v>
      </c>
      <c r="J247" s="1" t="s">
        <v>308</v>
      </c>
      <c r="K247" s="1" t="n">
        <v>15.3881</v>
      </c>
      <c r="M247" s="1" t="s">
        <v>308</v>
      </c>
      <c r="N247" s="1" t="n">
        <v>15.6713</v>
      </c>
      <c r="P247" s="1" t="s">
        <v>308</v>
      </c>
      <c r="Q247" s="1" t="n">
        <v>15.4908</v>
      </c>
      <c r="S247" s="1" t="s">
        <v>308</v>
      </c>
      <c r="T247" s="1" t="n">
        <v>15.5023</v>
      </c>
    </row>
    <row r="248" customFormat="false" ht="13.8" hidden="false" customHeight="false" outlineLevel="0" collapsed="false">
      <c r="G248" s="1" t="s">
        <v>309</v>
      </c>
      <c r="H248" s="1" t="n">
        <v>15.5699</v>
      </c>
      <c r="J248" s="1" t="s">
        <v>309</v>
      </c>
      <c r="K248" s="1" t="n">
        <v>15.3884</v>
      </c>
      <c r="M248" s="1" t="s">
        <v>309</v>
      </c>
      <c r="N248" s="1" t="n">
        <v>15.6756</v>
      </c>
      <c r="P248" s="1" t="s">
        <v>309</v>
      </c>
      <c r="Q248" s="1" t="n">
        <v>15.4581</v>
      </c>
      <c r="S248" s="1" t="s">
        <v>309</v>
      </c>
      <c r="T248" s="1" t="n">
        <v>15.5295</v>
      </c>
    </row>
    <row r="249" customFormat="false" ht="13.8" hidden="false" customHeight="false" outlineLevel="0" collapsed="false">
      <c r="G249" s="1" t="s">
        <v>310</v>
      </c>
      <c r="H249" s="1" t="n">
        <v>15.547</v>
      </c>
      <c r="J249" s="1" t="s">
        <v>310</v>
      </c>
      <c r="K249" s="1" t="n">
        <v>15.3865</v>
      </c>
      <c r="M249" s="1" t="s">
        <v>310</v>
      </c>
      <c r="N249" s="1" t="n">
        <v>15.6711</v>
      </c>
      <c r="P249" s="1" t="s">
        <v>310</v>
      </c>
      <c r="Q249" s="1" t="n">
        <v>15.4651</v>
      </c>
      <c r="S249" s="1" t="s">
        <v>310</v>
      </c>
      <c r="T249" s="1" t="n">
        <v>15.4974</v>
      </c>
    </row>
    <row r="250" customFormat="false" ht="13.8" hidden="false" customHeight="false" outlineLevel="0" collapsed="false">
      <c r="G250" s="1" t="s">
        <v>311</v>
      </c>
      <c r="H250" s="1" t="n">
        <v>15.5547</v>
      </c>
      <c r="J250" s="1" t="s">
        <v>311</v>
      </c>
      <c r="K250" s="1" t="n">
        <v>15.3689</v>
      </c>
      <c r="M250" s="1" t="s">
        <v>311</v>
      </c>
      <c r="N250" s="1" t="n">
        <v>15.6604</v>
      </c>
      <c r="P250" s="1" t="s">
        <v>311</v>
      </c>
      <c r="Q250" s="1" t="n">
        <v>15.4577</v>
      </c>
      <c r="S250" s="1" t="s">
        <v>311</v>
      </c>
      <c r="T250" s="1" t="n">
        <v>15.5087</v>
      </c>
    </row>
    <row r="251" customFormat="false" ht="13.8" hidden="false" customHeight="false" outlineLevel="0" collapsed="false">
      <c r="G251" s="1" t="s">
        <v>312</v>
      </c>
      <c r="H251" s="1" t="n">
        <v>15.5331</v>
      </c>
      <c r="J251" s="1" t="s">
        <v>312</v>
      </c>
      <c r="K251" s="1" t="n">
        <v>15.3812</v>
      </c>
      <c r="M251" s="1" t="s">
        <v>312</v>
      </c>
      <c r="N251" s="1" t="n">
        <v>15.6473</v>
      </c>
      <c r="P251" s="1" t="s">
        <v>312</v>
      </c>
      <c r="Q251" s="1" t="n">
        <v>15.4505</v>
      </c>
      <c r="S251" s="1" t="s">
        <v>312</v>
      </c>
      <c r="T251" s="1" t="n">
        <v>15.4739</v>
      </c>
    </row>
    <row r="252" customFormat="false" ht="13.8" hidden="false" customHeight="false" outlineLevel="0" collapsed="false">
      <c r="G252" s="1" t="s">
        <v>313</v>
      </c>
      <c r="H252" s="1" t="n">
        <v>15.517</v>
      </c>
      <c r="J252" s="1" t="s">
        <v>313</v>
      </c>
      <c r="K252" s="1" t="n">
        <v>15.3647</v>
      </c>
      <c r="M252" s="1" t="s">
        <v>313</v>
      </c>
      <c r="N252" s="1" t="n">
        <v>15.6519</v>
      </c>
      <c r="P252" s="1" t="s">
        <v>313</v>
      </c>
      <c r="Q252" s="1" t="n">
        <v>15.4298</v>
      </c>
      <c r="S252" s="1" t="s">
        <v>313</v>
      </c>
      <c r="T252" s="1" t="n">
        <v>15.4629</v>
      </c>
    </row>
    <row r="253" customFormat="false" ht="13.8" hidden="false" customHeight="false" outlineLevel="0" collapsed="false">
      <c r="G253" s="1" t="s">
        <v>314</v>
      </c>
      <c r="H253" s="1" t="n">
        <v>15.5318</v>
      </c>
      <c r="J253" s="1" t="s">
        <v>314</v>
      </c>
      <c r="K253" s="1" t="n">
        <v>15.3411</v>
      </c>
      <c r="M253" s="1" t="s">
        <v>314</v>
      </c>
      <c r="N253" s="1" t="n">
        <v>15.632</v>
      </c>
      <c r="P253" s="1" t="s">
        <v>314</v>
      </c>
      <c r="Q253" s="1" t="n">
        <v>15.4203</v>
      </c>
      <c r="S253" s="1" t="s">
        <v>314</v>
      </c>
      <c r="T253" s="1" t="n">
        <v>15.4695</v>
      </c>
    </row>
    <row r="254" customFormat="false" ht="13.8" hidden="false" customHeight="false" outlineLevel="0" collapsed="false">
      <c r="G254" s="1" t="s">
        <v>315</v>
      </c>
      <c r="H254" s="1" t="n">
        <v>29.8327</v>
      </c>
      <c r="J254" s="1" t="s">
        <v>315</v>
      </c>
      <c r="K254" s="1" t="n">
        <v>29.9758</v>
      </c>
      <c r="M254" s="1" t="s">
        <v>315</v>
      </c>
      <c r="N254" s="1" t="n">
        <v>29.9452</v>
      </c>
      <c r="P254" s="1" t="s">
        <v>315</v>
      </c>
      <c r="Q254" s="1" t="n">
        <v>29.9277</v>
      </c>
      <c r="S254" s="1" t="s">
        <v>315</v>
      </c>
      <c r="T254" s="1" t="n">
        <v>29.8545</v>
      </c>
    </row>
    <row r="255" customFormat="false" ht="13.8" hidden="false" customHeight="false" outlineLevel="0" collapsed="false">
      <c r="G255" s="1" t="s">
        <v>316</v>
      </c>
      <c r="H255" s="1" t="n">
        <v>29.7962</v>
      </c>
      <c r="J255" s="1" t="s">
        <v>316</v>
      </c>
      <c r="K255" s="1" t="n">
        <v>29.9987</v>
      </c>
      <c r="M255" s="1" t="s">
        <v>316</v>
      </c>
      <c r="N255" s="1" t="n">
        <v>29.9101</v>
      </c>
      <c r="P255" s="1" t="s">
        <v>316</v>
      </c>
      <c r="Q255" s="1" t="n">
        <v>29.9289</v>
      </c>
      <c r="S255" s="1" t="s">
        <v>316</v>
      </c>
      <c r="T255" s="1" t="n">
        <v>29.8548</v>
      </c>
    </row>
    <row r="256" customFormat="false" ht="13.8" hidden="false" customHeight="false" outlineLevel="0" collapsed="false">
      <c r="G256" s="1" t="s">
        <v>317</v>
      </c>
      <c r="H256" s="1" t="n">
        <v>29.8057</v>
      </c>
      <c r="J256" s="1" t="s">
        <v>317</v>
      </c>
      <c r="K256" s="1" t="n">
        <v>29.9731</v>
      </c>
      <c r="M256" s="1" t="s">
        <v>317</v>
      </c>
      <c r="N256" s="1" t="n">
        <v>29.9246</v>
      </c>
      <c r="P256" s="1" t="s">
        <v>317</v>
      </c>
      <c r="Q256" s="1" t="n">
        <v>29.89</v>
      </c>
      <c r="S256" s="1" t="s">
        <v>317</v>
      </c>
      <c r="T256" s="1" t="n">
        <v>29.8669</v>
      </c>
    </row>
    <row r="257" customFormat="false" ht="13.8" hidden="false" customHeight="false" outlineLevel="0" collapsed="false">
      <c r="G257" s="1" t="s">
        <v>318</v>
      </c>
      <c r="H257" s="1" t="n">
        <v>29.7962</v>
      </c>
      <c r="J257" s="1" t="s">
        <v>318</v>
      </c>
      <c r="K257" s="1" t="n">
        <v>29.9309</v>
      </c>
      <c r="M257" s="1" t="s">
        <v>318</v>
      </c>
      <c r="N257" s="1" t="n">
        <v>29.9178</v>
      </c>
      <c r="P257" s="1" t="s">
        <v>318</v>
      </c>
      <c r="Q257" s="1" t="n">
        <v>29.923</v>
      </c>
      <c r="S257" s="1" t="s">
        <v>318</v>
      </c>
      <c r="T257" s="1" t="n">
        <v>29.833</v>
      </c>
    </row>
    <row r="258" customFormat="false" ht="13.8" hidden="false" customHeight="false" outlineLevel="0" collapsed="false">
      <c r="G258" s="1" t="s">
        <v>319</v>
      </c>
      <c r="H258" s="1" t="n">
        <v>29.8455</v>
      </c>
      <c r="J258" s="1" t="s">
        <v>319</v>
      </c>
      <c r="K258" s="1" t="n">
        <v>29.9419</v>
      </c>
      <c r="M258" s="1" t="s">
        <v>319</v>
      </c>
      <c r="N258" s="1" t="n">
        <v>29.9335</v>
      </c>
      <c r="P258" s="1" t="s">
        <v>319</v>
      </c>
      <c r="Q258" s="1" t="n">
        <v>29.8914</v>
      </c>
      <c r="S258" s="1" t="s">
        <v>319</v>
      </c>
      <c r="T258" s="1" t="n">
        <v>29.819</v>
      </c>
    </row>
    <row r="259" customFormat="false" ht="13.8" hidden="false" customHeight="false" outlineLevel="0" collapsed="false">
      <c r="G259" s="1" t="s">
        <v>320</v>
      </c>
      <c r="H259" s="1" t="n">
        <v>29.7861</v>
      </c>
      <c r="J259" s="1" t="s">
        <v>320</v>
      </c>
      <c r="K259" s="1" t="n">
        <v>29.9626</v>
      </c>
      <c r="M259" s="1" t="s">
        <v>320</v>
      </c>
      <c r="N259" s="1" t="n">
        <v>29.9087</v>
      </c>
      <c r="P259" s="1" t="s">
        <v>320</v>
      </c>
      <c r="Q259" s="1" t="n">
        <v>29.8957</v>
      </c>
      <c r="S259" s="1" t="s">
        <v>320</v>
      </c>
      <c r="T259" s="1" t="n">
        <v>29.7983</v>
      </c>
    </row>
    <row r="260" customFormat="false" ht="13.8" hidden="false" customHeight="false" outlineLevel="0" collapsed="false">
      <c r="G260" s="1" t="s">
        <v>321</v>
      </c>
      <c r="H260" s="1" t="n">
        <v>29.7691</v>
      </c>
      <c r="J260" s="1" t="s">
        <v>321</v>
      </c>
      <c r="K260" s="1" t="n">
        <v>29.9175</v>
      </c>
      <c r="M260" s="1" t="s">
        <v>321</v>
      </c>
      <c r="N260" s="1" t="n">
        <v>29.9333</v>
      </c>
      <c r="P260" s="1" t="s">
        <v>321</v>
      </c>
      <c r="Q260" s="1" t="n">
        <v>29.8976</v>
      </c>
      <c r="S260" s="1" t="s">
        <v>321</v>
      </c>
      <c r="T260" s="1" t="n">
        <v>29.8346</v>
      </c>
    </row>
    <row r="261" customFormat="false" ht="13.8" hidden="false" customHeight="false" outlineLevel="0" collapsed="false">
      <c r="G261" s="1" t="s">
        <v>322</v>
      </c>
      <c r="H261" s="1" t="n">
        <v>29.7818</v>
      </c>
      <c r="J261" s="1" t="s">
        <v>322</v>
      </c>
      <c r="K261" s="1" t="n">
        <v>29.9595</v>
      </c>
      <c r="M261" s="1" t="s">
        <v>322</v>
      </c>
      <c r="N261" s="1" t="n">
        <v>29.8856</v>
      </c>
      <c r="P261" s="1" t="s">
        <v>322</v>
      </c>
      <c r="Q261" s="1" t="n">
        <v>29.9054</v>
      </c>
      <c r="S261" s="1" t="s">
        <v>322</v>
      </c>
      <c r="T261" s="1" t="n">
        <v>29.8257</v>
      </c>
    </row>
    <row r="262" customFormat="false" ht="13.8" hidden="false" customHeight="false" outlineLevel="0" collapsed="false">
      <c r="G262" s="1" t="s">
        <v>323</v>
      </c>
      <c r="H262" s="1" t="n">
        <v>29.8239</v>
      </c>
      <c r="J262" s="1" t="s">
        <v>323</v>
      </c>
      <c r="K262" s="1" t="n">
        <v>29.9646</v>
      </c>
      <c r="M262" s="1" t="s">
        <v>323</v>
      </c>
      <c r="N262" s="1" t="n">
        <v>29.9021</v>
      </c>
      <c r="P262" s="1" t="s">
        <v>323</v>
      </c>
      <c r="Q262" s="1" t="n">
        <v>29.9588</v>
      </c>
      <c r="S262" s="1" t="s">
        <v>323</v>
      </c>
      <c r="T262" s="1" t="n">
        <v>29.8119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  <tableParts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7" min="1" style="1" width="12.15"/>
    <col collapsed="false" customWidth="true" hidden="false" outlineLevel="0" max="8" min="8" style="1" width="11.43"/>
  </cols>
  <sheetData>
    <row r="1" customFormat="false" ht="13.8" hidden="false" customHeight="false" outlineLevel="0" collapsed="false">
      <c r="A1" s="1" t="s">
        <v>324</v>
      </c>
      <c r="B1" s="1" t="s">
        <v>1</v>
      </c>
      <c r="C1" s="1" t="s">
        <v>325</v>
      </c>
      <c r="D1" s="1" t="s">
        <v>326</v>
      </c>
      <c r="E1" s="1" t="s">
        <v>327</v>
      </c>
      <c r="F1" s="1" t="s">
        <v>328</v>
      </c>
      <c r="G1" s="1" t="s">
        <v>329</v>
      </c>
    </row>
    <row r="2" customFormat="false" ht="13.8" hidden="false" customHeight="false" outlineLevel="0" collapsed="false">
      <c r="A2" s="1" t="n">
        <v>1</v>
      </c>
      <c r="B2" s="1" t="n">
        <f aca="false">-465-300*$A2*$A2</f>
        <v>-765</v>
      </c>
      <c r="C2" s="1" t="n">
        <f aca="false">-465-300*$A2*($A2-1)</f>
        <v>-465</v>
      </c>
      <c r="D2" s="1" t="n">
        <f aca="false">-465-150*$A2*(2*$A2-1)</f>
        <v>-615</v>
      </c>
      <c r="E2" s="1" t="n">
        <f aca="false">-465-150*$A2*$A2</f>
        <v>-615</v>
      </c>
      <c r="F2" s="2" t="n">
        <f aca="false">C2/B2-1</f>
        <v>-0.392156862745098</v>
      </c>
      <c r="G2" s="2" t="n">
        <f aca="false">D2/B2-1</f>
        <v>-0.196078431372549</v>
      </c>
    </row>
    <row r="3" customFormat="false" ht="13.8" hidden="false" customHeight="false" outlineLevel="0" collapsed="false">
      <c r="A3" s="1" t="n">
        <f aca="false">1+A2</f>
        <v>2</v>
      </c>
      <c r="B3" s="1" t="n">
        <f aca="false">-465-300*$A3*$A3</f>
        <v>-1665</v>
      </c>
      <c r="C3" s="1" t="n">
        <f aca="false">-465-300*$A3*($A3-1)</f>
        <v>-1065</v>
      </c>
      <c r="D3" s="1" t="n">
        <f aca="false">-465-150*$A3*(2*$A3-1)</f>
        <v>-1365</v>
      </c>
      <c r="E3" s="1" t="n">
        <f aca="false">-465-150*$A3*$A3</f>
        <v>-1065</v>
      </c>
      <c r="F3" s="2" t="n">
        <f aca="false">C3/B3-1</f>
        <v>-0.36036036036036</v>
      </c>
      <c r="G3" s="2" t="n">
        <f aca="false">D3/B3-1</f>
        <v>-0.18018018018018</v>
      </c>
    </row>
    <row r="4" customFormat="false" ht="13.8" hidden="false" customHeight="false" outlineLevel="0" collapsed="false">
      <c r="A4" s="1" t="n">
        <f aca="false">1+A3</f>
        <v>3</v>
      </c>
      <c r="B4" s="1" t="n">
        <f aca="false">-465-300*$A4*$A4</f>
        <v>-3165</v>
      </c>
      <c r="C4" s="1" t="n">
        <f aca="false">-465-300*$A4*($A4-1)</f>
        <v>-2265</v>
      </c>
      <c r="D4" s="1" t="n">
        <f aca="false">-465-150*$A4*(2*$A4-1)</f>
        <v>-2715</v>
      </c>
      <c r="E4" s="1" t="n">
        <f aca="false">-465-150*$A4*$A4</f>
        <v>-1815</v>
      </c>
      <c r="F4" s="2" t="n">
        <f aca="false">C4/B4-1</f>
        <v>-0.28436018957346</v>
      </c>
      <c r="G4" s="2" t="n">
        <f aca="false">D4/B4-1</f>
        <v>-0.14218009478673</v>
      </c>
    </row>
    <row r="5" customFormat="false" ht="13.8" hidden="false" customHeight="false" outlineLevel="0" collapsed="false">
      <c r="A5" s="1" t="n">
        <f aca="false">1+A4</f>
        <v>4</v>
      </c>
      <c r="B5" s="1" t="n">
        <f aca="false">-465-300*$A5*$A5</f>
        <v>-5265</v>
      </c>
      <c r="C5" s="1" t="n">
        <f aca="false">-465-300*$A5*($A5-1)</f>
        <v>-4065</v>
      </c>
      <c r="D5" s="1" t="n">
        <f aca="false">-465-150*$A5*(2*$A5-1)</f>
        <v>-4665</v>
      </c>
      <c r="E5" s="1" t="n">
        <f aca="false">-465-150*$A5*$A5</f>
        <v>-2865</v>
      </c>
      <c r="F5" s="2" t="n">
        <f aca="false">C5/B5-1</f>
        <v>-0.227920227920228</v>
      </c>
      <c r="G5" s="2" t="n">
        <f aca="false">D5/B5-1</f>
        <v>-0.113960113960114</v>
      </c>
    </row>
    <row r="6" customFormat="false" ht="13.8" hidden="false" customHeight="false" outlineLevel="0" collapsed="false">
      <c r="A6" s="1" t="n">
        <f aca="false">1+A5</f>
        <v>5</v>
      </c>
      <c r="B6" s="1" t="n">
        <f aca="false">-465-300*$A6*$A6</f>
        <v>-7965</v>
      </c>
      <c r="C6" s="1" t="n">
        <f aca="false">-465-300*$A6*($A6-1)</f>
        <v>-6465</v>
      </c>
      <c r="D6" s="1" t="n">
        <f aca="false">-465-150*$A6*(2*$A6-1)</f>
        <v>-7215</v>
      </c>
      <c r="E6" s="1" t="n">
        <f aca="false">-465-150*$A6*$A6</f>
        <v>-4215</v>
      </c>
      <c r="F6" s="2" t="n">
        <f aca="false">C6/B6-1</f>
        <v>-0.188323917137476</v>
      </c>
      <c r="G6" s="2" t="n">
        <f aca="false">D6/B6-1</f>
        <v>-0.0941619585687382</v>
      </c>
    </row>
    <row r="7" customFormat="false" ht="13.8" hidden="false" customHeight="false" outlineLevel="0" collapsed="false">
      <c r="A7" s="1" t="n">
        <f aca="false">1+A6</f>
        <v>6</v>
      </c>
      <c r="B7" s="1" t="n">
        <f aca="false">-465-300*$A7*$A7</f>
        <v>-11265</v>
      </c>
      <c r="C7" s="1" t="n">
        <f aca="false">-465-300*$A7*($A7-1)</f>
        <v>-9465</v>
      </c>
      <c r="D7" s="1" t="n">
        <f aca="false">-465-150*$A7*(2*$A7-1)</f>
        <v>-10365</v>
      </c>
      <c r="E7" s="1" t="n">
        <f aca="false">-465-150*$A7*$A7</f>
        <v>-5865</v>
      </c>
      <c r="F7" s="2" t="n">
        <f aca="false">C7/B7-1</f>
        <v>-0.159786950732357</v>
      </c>
      <c r="G7" s="2" t="n">
        <f aca="false">D7/B7-1</f>
        <v>-0.0798934753661784</v>
      </c>
    </row>
    <row r="8" customFormat="false" ht="13.8" hidden="false" customHeight="false" outlineLevel="0" collapsed="false">
      <c r="A8" s="1" t="n">
        <f aca="false">1+A7</f>
        <v>7</v>
      </c>
      <c r="B8" s="1" t="n">
        <f aca="false">-465-300*$A8*$A8</f>
        <v>-15165</v>
      </c>
      <c r="C8" s="1" t="n">
        <f aca="false">-465-300*$A8*($A8-1)</f>
        <v>-13065</v>
      </c>
      <c r="D8" s="1" t="n">
        <f aca="false">-465-150*$A8*(2*$A8-1)</f>
        <v>-14115</v>
      </c>
      <c r="E8" s="1" t="n">
        <f aca="false">-465-150*$A8*$A8</f>
        <v>-7815</v>
      </c>
      <c r="F8" s="2" t="n">
        <f aca="false">C8/B8-1</f>
        <v>-0.138476755687438</v>
      </c>
      <c r="G8" s="2" t="n">
        <f aca="false">D8/B8-1</f>
        <v>-0.0692383778437191</v>
      </c>
    </row>
    <row r="9" customFormat="false" ht="13.8" hidden="false" customHeight="false" outlineLevel="0" collapsed="false">
      <c r="A9" s="1" t="n">
        <f aca="false">1+A8</f>
        <v>8</v>
      </c>
      <c r="B9" s="1" t="n">
        <f aca="false">-465-300*$A9*$A9</f>
        <v>-19665</v>
      </c>
      <c r="C9" s="1" t="n">
        <f aca="false">-465-300*$A9*($A9-1)</f>
        <v>-17265</v>
      </c>
      <c r="D9" s="1" t="n">
        <f aca="false">-465-150*$A9*(2*$A9-1)</f>
        <v>-18465</v>
      </c>
      <c r="E9" s="1" t="n">
        <f aca="false">-465-150*$A9*$A9</f>
        <v>-10065</v>
      </c>
      <c r="F9" s="2" t="n">
        <f aca="false">C9/B9-1</f>
        <v>-0.122044241037376</v>
      </c>
      <c r="G9" s="2" t="n">
        <f aca="false">D9/B9-1</f>
        <v>-0.0610221205186881</v>
      </c>
    </row>
    <row r="10" customFormat="false" ht="13.8" hidden="false" customHeight="false" outlineLevel="0" collapsed="false">
      <c r="A10" s="1" t="n">
        <f aca="false">1+A9</f>
        <v>9</v>
      </c>
      <c r="B10" s="1" t="n">
        <f aca="false">-465-300*$A10*$A10</f>
        <v>-24765</v>
      </c>
      <c r="C10" s="1" t="n">
        <f aca="false">-465-300*$A10*($A10-1)</f>
        <v>-22065</v>
      </c>
      <c r="D10" s="1" t="n">
        <f aca="false">-465-150*$A10*(2*$A10-1)</f>
        <v>-23415</v>
      </c>
      <c r="E10" s="1" t="n">
        <f aca="false">-465-150*$A10*$A10</f>
        <v>-12615</v>
      </c>
      <c r="F10" s="2" t="n">
        <f aca="false">C10/B10-1</f>
        <v>-0.109024833434282</v>
      </c>
      <c r="G10" s="2" t="n">
        <f aca="false">D10/B10-1</f>
        <v>-0.0545124167171411</v>
      </c>
    </row>
    <row r="11" customFormat="false" ht="13.8" hidden="false" customHeight="false" outlineLevel="0" collapsed="false">
      <c r="A11" s="1" t="n">
        <f aca="false">1+A10</f>
        <v>10</v>
      </c>
      <c r="B11" s="1" t="n">
        <f aca="false">-465-300*$A11*$A11</f>
        <v>-30465</v>
      </c>
      <c r="C11" s="1" t="n">
        <f aca="false">-465-300*$A11*($A11-1)</f>
        <v>-27465</v>
      </c>
      <c r="D11" s="1" t="n">
        <f aca="false">-465-150*$A11*(2*$A11-1)</f>
        <v>-28965</v>
      </c>
      <c r="E11" s="1" t="n">
        <f aca="false">-465-150*$A11*$A11</f>
        <v>-15465</v>
      </c>
      <c r="F11" s="2" t="n">
        <f aca="false">C11/B11-1</f>
        <v>-0.0984736582964058</v>
      </c>
      <c r="G11" s="2" t="n">
        <f aca="false">D11/B11-1</f>
        <v>-0.0492368291482028</v>
      </c>
    </row>
    <row r="12" customFormat="false" ht="13.8" hidden="false" customHeight="false" outlineLevel="0" collapsed="false">
      <c r="A12" s="1" t="n">
        <f aca="false">1+A11</f>
        <v>11</v>
      </c>
      <c r="B12" s="1" t="n">
        <f aca="false">-465-300*$A12*$A12</f>
        <v>-36765</v>
      </c>
      <c r="C12" s="1" t="n">
        <f aca="false">-465-300*$A12*($A12-1)</f>
        <v>-33465</v>
      </c>
      <c r="D12" s="1" t="n">
        <f aca="false">-465-150*$A12*(2*$A12-1)</f>
        <v>-35115</v>
      </c>
      <c r="E12" s="1" t="n">
        <f aca="false">-465-150*$A12*$A12</f>
        <v>-18615</v>
      </c>
      <c r="F12" s="2" t="n">
        <f aca="false">C12/B12-1</f>
        <v>-0.0897592819257446</v>
      </c>
      <c r="G12" s="2" t="n">
        <f aca="false">D12/B12-1</f>
        <v>-0.0448796409628723</v>
      </c>
    </row>
    <row r="13" customFormat="false" ht="13.8" hidden="false" customHeight="false" outlineLevel="0" collapsed="false">
      <c r="A13" s="1" t="n">
        <f aca="false">1+A12</f>
        <v>12</v>
      </c>
      <c r="B13" s="1" t="n">
        <f aca="false">-465-300*$A13*$A13</f>
        <v>-43665</v>
      </c>
      <c r="C13" s="1" t="n">
        <f aca="false">-465-300*$A13*($A13-1)</f>
        <v>-40065</v>
      </c>
      <c r="D13" s="1" t="n">
        <f aca="false">-465-150*$A13*(2*$A13-1)</f>
        <v>-41865</v>
      </c>
      <c r="E13" s="1" t="n">
        <f aca="false">-465-150*$A13*$A13</f>
        <v>-22065</v>
      </c>
      <c r="F13" s="2" t="n">
        <f aca="false">C13/B13-1</f>
        <v>-0.082445894881484</v>
      </c>
      <c r="G13" s="2" t="n">
        <f aca="false">D13/B13-1</f>
        <v>-0.0412229474407421</v>
      </c>
    </row>
    <row r="14" customFormat="false" ht="13.8" hidden="false" customHeight="false" outlineLevel="0" collapsed="false">
      <c r="A14" s="1" t="n">
        <f aca="false">1+A13</f>
        <v>13</v>
      </c>
      <c r="B14" s="1" t="n">
        <f aca="false">-465-300*$A14*$A14</f>
        <v>-51165</v>
      </c>
      <c r="C14" s="1" t="n">
        <f aca="false">-465-300*$A14*($A14-1)</f>
        <v>-47265</v>
      </c>
      <c r="D14" s="1" t="n">
        <f aca="false">-465-150*$A14*(2*$A14-1)</f>
        <v>-49215</v>
      </c>
      <c r="E14" s="1" t="n">
        <f aca="false">-465-150*$A14*$A14</f>
        <v>-25815</v>
      </c>
      <c r="F14" s="2" t="n">
        <f aca="false">C14/B14-1</f>
        <v>-0.0762239812371739</v>
      </c>
      <c r="G14" s="2" t="n">
        <f aca="false">D14/B14-1</f>
        <v>-0.0381119906185869</v>
      </c>
    </row>
    <row r="15" customFormat="false" ht="13.8" hidden="false" customHeight="false" outlineLevel="0" collapsed="false">
      <c r="A15" s="1" t="n">
        <f aca="false">1+A14</f>
        <v>14</v>
      </c>
      <c r="B15" s="1" t="n">
        <f aca="false">-465-300*$A15*$A15</f>
        <v>-59265</v>
      </c>
      <c r="C15" s="1" t="n">
        <f aca="false">-465-300*$A15*($A15-1)</f>
        <v>-55065</v>
      </c>
      <c r="D15" s="1" t="n">
        <f aca="false">-465-150*$A15*(2*$A15-1)</f>
        <v>-57165</v>
      </c>
      <c r="E15" s="1" t="n">
        <f aca="false">-465-150*$A15*$A15</f>
        <v>-29865</v>
      </c>
      <c r="F15" s="2" t="n">
        <f aca="false">C15/B15-1</f>
        <v>-0.0708681346494559</v>
      </c>
      <c r="G15" s="2" t="n">
        <f aca="false">D15/B15-1</f>
        <v>-0.0354340673247279</v>
      </c>
    </row>
    <row r="16" customFormat="false" ht="13.8" hidden="false" customHeight="false" outlineLevel="0" collapsed="false">
      <c r="A16" s="1" t="n">
        <f aca="false">1+A15</f>
        <v>15</v>
      </c>
      <c r="B16" s="1" t="n">
        <f aca="false">-465-300*$A16*$A16</f>
        <v>-67965</v>
      </c>
      <c r="C16" s="1" t="n">
        <f aca="false">-465-300*$A16*($A16-1)</f>
        <v>-63465</v>
      </c>
      <c r="D16" s="1" t="n">
        <f aca="false">-465-150*$A16*(2*$A16-1)</f>
        <v>-65715</v>
      </c>
      <c r="E16" s="1" t="n">
        <f aca="false">-465-150*$A16*$A16</f>
        <v>-34215</v>
      </c>
      <c r="F16" s="2" t="n">
        <f aca="false">C16/B16-1</f>
        <v>-0.0662105495475612</v>
      </c>
      <c r="G16" s="2" t="n">
        <f aca="false">D16/B16-1</f>
        <v>-0.0331052747737807</v>
      </c>
    </row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3201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2026-06-21T01:23:42Z</dcterms:created>
  <dc:creator>Stefan</dc:creator>
  <dc:description/>
  <dc:language>de-DE</dc:language>
  <cp:lastModifiedBy/>
  <dcterms:modified xsi:type="dcterms:W3CDTF">2026-07-26T12:59:10Z</dcterms:modified>
  <cp:revision>439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