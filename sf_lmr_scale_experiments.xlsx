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queryTables/queryTable1.xml" ContentType="application/vnd.openxmlformats-officedocument.spreadsheetml.queryTable+xml"/>
  <Override PartName="/xl/charts/chart9.xml" ContentType="application/vnd.openxmlformats-officedocument.drawingml.chart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stefan\git\Stockfish\"/>
    </mc:Choice>
  </mc:AlternateContent>
  <xr:revisionPtr revIDLastSave="0" documentId="13_ncr:9_{B4000F47-FA7A-459F-97CD-2C894A51D913}" xr6:coauthVersionLast="47" xr6:coauthVersionMax="47" xr10:uidLastSave="{00000000-0000-0000-0000-000000000000}"/>
  <bookViews>
    <workbookView xWindow="28950" yWindow="0" windowWidth="28650" windowHeight="15315" activeTab="1" xr2:uid="{901604EC-F95D-4EF3-92BC-AF7563F67124}"/>
  </bookViews>
  <sheets>
    <sheet name="depth_stats_ltc_new" sheetId="11" r:id="rId1"/>
    <sheet name="depth_stats_stc_new" sheetId="10" r:id="rId2"/>
    <sheet name="depth_stats_ltc" sheetId="1" r:id="rId3"/>
    <sheet name="depth_stats_stc" sheetId="2" r:id="rId4"/>
    <sheet name="Tabelle4" sheetId="3" r:id="rId5"/>
    <sheet name="Tabelle1" sheetId="4" r:id="rId6"/>
    <sheet name="allnode" sheetId="5" r:id="rId7"/>
    <sheet name="!pvnode" sheetId="6" r:id="rId8"/>
    <sheet name="Tabelle5" sheetId="7" r:id="rId9"/>
    <sheet name="Tabelle6" sheetId="8" r:id="rId10"/>
    <sheet name="Tabelle7" sheetId="9" r:id="rId11"/>
  </sheets>
  <definedNames>
    <definedName name="Verbindung1" localSheetId="4">Tabelle4!$B$2:$C$202</definedName>
    <definedName name="Verbindung2" localSheetId="4">Tabelle4!$B$2:$C$202</definedName>
    <definedName name="Verbindung2" localSheetId="9">Tabelle6!$A$2:$B$244</definedName>
    <definedName name="Verbindung3" localSheetId="9">Tabelle6!$A$2:$B$244</definedName>
    <definedName name="Verbindung4" localSheetId="9">Tabelle6!$D$2:$E$244</definedName>
    <definedName name="Verbindung5" localSheetId="9">Tabelle6!$G$2:$H$262</definedName>
    <definedName name="Verbindung6" localSheetId="9">Tabelle6!$J$2:$K$262</definedName>
    <definedName name="Verbindung7" localSheetId="9">Tabelle6!$M$2:$N$262</definedName>
    <definedName name="Verbindung8" localSheetId="9">Tabelle6!$P$2:$Q$262</definedName>
    <definedName name="Verbindung9" localSheetId="9">Tabelle6!$S$2:$T$262</definedName>
  </definedNames>
  <calcPr calcId="181029" fullCalcOnLoad="1"/>
</workbook>
</file>

<file path=xl/calcChain.xml><?xml version="1.0" encoding="utf-8"?>
<calcChain xmlns="http://schemas.openxmlformats.org/spreadsheetml/2006/main">
  <c r="AE33" i="10" l="1"/>
  <c r="AD33" i="10"/>
  <c r="AE32" i="10"/>
  <c r="AD32" i="10"/>
  <c r="AE31" i="10"/>
  <c r="AD31" i="10"/>
  <c r="AE30" i="10"/>
  <c r="AD30" i="10"/>
  <c r="AE29" i="10"/>
  <c r="AD29" i="10"/>
  <c r="AE28" i="10"/>
  <c r="AD28" i="10"/>
  <c r="AE27" i="10"/>
  <c r="AD27" i="10"/>
  <c r="AE26" i="10"/>
  <c r="AD26" i="10"/>
  <c r="AE25" i="10"/>
  <c r="AD25" i="10"/>
  <c r="AE24" i="10"/>
  <c r="AD24" i="10"/>
  <c r="AE23" i="10"/>
  <c r="AD23" i="10"/>
  <c r="AE22" i="10"/>
  <c r="AD22" i="10"/>
  <c r="AE21" i="10"/>
  <c r="AD21" i="10"/>
  <c r="AE20" i="10"/>
  <c r="AD20" i="10"/>
  <c r="AE19" i="10"/>
  <c r="AD19" i="10"/>
  <c r="AE18" i="10"/>
  <c r="AD18" i="10"/>
  <c r="AE17" i="10"/>
  <c r="AD17" i="10"/>
  <c r="AE16" i="10"/>
  <c r="AD16" i="10"/>
  <c r="AE15" i="10"/>
  <c r="AD15" i="10"/>
  <c r="AE14" i="10"/>
  <c r="AD14" i="10"/>
  <c r="AE13" i="10"/>
  <c r="AD13" i="10"/>
  <c r="AE12" i="10"/>
  <c r="AD12" i="10"/>
  <c r="AE11" i="10"/>
  <c r="AD11" i="10"/>
  <c r="AE10" i="10"/>
  <c r="AD10" i="10"/>
  <c r="AE9" i="10"/>
  <c r="AD9" i="10"/>
  <c r="AE8" i="10"/>
  <c r="AD8" i="10"/>
  <c r="AE7" i="10"/>
  <c r="AD7" i="10"/>
  <c r="AE6" i="10"/>
  <c r="AD6" i="10"/>
  <c r="AE5" i="10"/>
  <c r="AD5" i="10"/>
  <c r="AE4" i="10"/>
  <c r="AD4" i="10"/>
  <c r="AE3" i="10"/>
  <c r="AD3" i="10"/>
  <c r="AE2" i="10"/>
  <c r="AE1" i="10"/>
  <c r="AD2" i="10"/>
  <c r="AD1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C3" i="10"/>
  <c r="AB3" i="10"/>
  <c r="AC2" i="10"/>
  <c r="AC1" i="10"/>
  <c r="AB2" i="10"/>
  <c r="AB1" i="10"/>
  <c r="Q33" i="11"/>
  <c r="P33" i="11"/>
  <c r="Q32" i="11"/>
  <c r="P32" i="11"/>
  <c r="Q31" i="11"/>
  <c r="P31" i="11"/>
  <c r="Q30" i="11"/>
  <c r="P30" i="11"/>
  <c r="Q29" i="11"/>
  <c r="P29" i="11"/>
  <c r="Q28" i="11"/>
  <c r="P28" i="11"/>
  <c r="Q27" i="11"/>
  <c r="P27" i="11"/>
  <c r="Q26" i="11"/>
  <c r="P26" i="11"/>
  <c r="Q25" i="11"/>
  <c r="P25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Q18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Q6" i="11"/>
  <c r="P6" i="11"/>
  <c r="Q5" i="11"/>
  <c r="P5" i="11"/>
  <c r="Q4" i="11"/>
  <c r="P4" i="11"/>
  <c r="Q3" i="11"/>
  <c r="P3" i="11"/>
  <c r="Q2" i="11"/>
  <c r="Q1" i="11"/>
  <c r="P2" i="11"/>
  <c r="P1" i="11"/>
  <c r="AA33" i="10"/>
  <c r="Z33" i="10"/>
  <c r="AA32" i="10"/>
  <c r="Z32" i="10"/>
  <c r="AA31" i="10"/>
  <c r="Z31" i="10"/>
  <c r="AA30" i="10"/>
  <c r="Z30" i="10"/>
  <c r="AA29" i="10"/>
  <c r="Z29" i="10"/>
  <c r="AA28" i="10"/>
  <c r="Z28" i="10"/>
  <c r="AA27" i="10"/>
  <c r="Z27" i="10"/>
  <c r="AA26" i="10"/>
  <c r="Z26" i="10"/>
  <c r="AA25" i="10"/>
  <c r="Z25" i="10"/>
  <c r="AA24" i="10"/>
  <c r="Z24" i="10"/>
  <c r="AA23" i="10"/>
  <c r="Z23" i="10"/>
  <c r="AA22" i="10"/>
  <c r="Z22" i="10"/>
  <c r="AA21" i="10"/>
  <c r="Z21" i="10"/>
  <c r="AA20" i="10"/>
  <c r="Z20" i="10"/>
  <c r="AA19" i="10"/>
  <c r="Z19" i="10"/>
  <c r="AA18" i="10"/>
  <c r="Z18" i="10"/>
  <c r="AA17" i="10"/>
  <c r="Z17" i="10"/>
  <c r="AA16" i="10"/>
  <c r="Z16" i="10"/>
  <c r="AA15" i="10"/>
  <c r="Z15" i="10"/>
  <c r="AA14" i="10"/>
  <c r="Z14" i="10"/>
  <c r="AA13" i="10"/>
  <c r="Z13" i="10"/>
  <c r="AA12" i="10"/>
  <c r="Z12" i="10"/>
  <c r="AA11" i="10"/>
  <c r="Z11" i="10"/>
  <c r="AA10" i="10"/>
  <c r="Z10" i="10"/>
  <c r="AA9" i="10"/>
  <c r="Z9" i="10"/>
  <c r="AA8" i="10"/>
  <c r="Z8" i="10"/>
  <c r="AA7" i="10"/>
  <c r="Z7" i="10"/>
  <c r="AA6" i="10"/>
  <c r="Z6" i="10"/>
  <c r="AA5" i="10"/>
  <c r="Z5" i="10"/>
  <c r="AA4" i="10"/>
  <c r="Z4" i="10"/>
  <c r="AA3" i="10"/>
  <c r="Z3" i="10"/>
  <c r="AA2" i="10"/>
  <c r="AA1" i="10"/>
  <c r="Z2" i="10"/>
  <c r="Z1" i="10"/>
  <c r="O33" i="11"/>
  <c r="N33" i="11"/>
  <c r="O32" i="11"/>
  <c r="N32" i="11"/>
  <c r="O31" i="11"/>
  <c r="N31" i="11"/>
  <c r="O30" i="11"/>
  <c r="N30" i="11"/>
  <c r="O29" i="11"/>
  <c r="N29" i="11"/>
  <c r="O28" i="11"/>
  <c r="N28" i="11"/>
  <c r="O27" i="11"/>
  <c r="N27" i="11"/>
  <c r="O26" i="11"/>
  <c r="N26" i="11"/>
  <c r="O25" i="11"/>
  <c r="N25" i="11"/>
  <c r="O24" i="11"/>
  <c r="N24" i="11"/>
  <c r="O23" i="11"/>
  <c r="N23" i="11"/>
  <c r="O22" i="11"/>
  <c r="N22" i="11"/>
  <c r="O21" i="11"/>
  <c r="N21" i="11"/>
  <c r="O20" i="11"/>
  <c r="N20" i="11"/>
  <c r="O19" i="11"/>
  <c r="N19" i="11"/>
  <c r="O18" i="11"/>
  <c r="N18" i="11"/>
  <c r="O17" i="11"/>
  <c r="N17" i="11"/>
  <c r="O16" i="11"/>
  <c r="N16" i="11"/>
  <c r="O15" i="11"/>
  <c r="N15" i="11"/>
  <c r="O14" i="11"/>
  <c r="N14" i="11"/>
  <c r="O13" i="11"/>
  <c r="N13" i="11"/>
  <c r="O12" i="11"/>
  <c r="N12" i="11"/>
  <c r="O11" i="11"/>
  <c r="N11" i="11"/>
  <c r="O10" i="11"/>
  <c r="N10" i="11"/>
  <c r="O9" i="11"/>
  <c r="N9" i="11"/>
  <c r="O8" i="11"/>
  <c r="N8" i="11"/>
  <c r="O7" i="11"/>
  <c r="N7" i="11"/>
  <c r="O6" i="11"/>
  <c r="N6" i="11"/>
  <c r="O5" i="11"/>
  <c r="N5" i="11"/>
  <c r="O4" i="11"/>
  <c r="N4" i="11"/>
  <c r="O3" i="11"/>
  <c r="N3" i="11"/>
  <c r="O2" i="11"/>
  <c r="N2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4" i="11"/>
  <c r="L4" i="11"/>
  <c r="M3" i="11"/>
  <c r="L3" i="11"/>
  <c r="M2" i="11"/>
  <c r="L2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4" i="11"/>
  <c r="J2" i="11"/>
  <c r="Y33" i="10"/>
  <c r="X33" i="10"/>
  <c r="Y32" i="10"/>
  <c r="X32" i="10"/>
  <c r="Y31" i="10"/>
  <c r="X31" i="10"/>
  <c r="Y30" i="10"/>
  <c r="X30" i="10"/>
  <c r="Y29" i="10"/>
  <c r="X29" i="10"/>
  <c r="Y28" i="10"/>
  <c r="X28" i="10"/>
  <c r="Y27" i="10"/>
  <c r="X27" i="10"/>
  <c r="Y26" i="10"/>
  <c r="X26" i="10"/>
  <c r="Y25" i="10"/>
  <c r="X25" i="10"/>
  <c r="Y24" i="10"/>
  <c r="X24" i="10"/>
  <c r="Y23" i="10"/>
  <c r="X23" i="10"/>
  <c r="Y22" i="10"/>
  <c r="X22" i="10"/>
  <c r="Y21" i="10"/>
  <c r="X21" i="10"/>
  <c r="Y20" i="10"/>
  <c r="X20" i="10"/>
  <c r="Y19" i="10"/>
  <c r="X19" i="10"/>
  <c r="Y18" i="10"/>
  <c r="X18" i="10"/>
  <c r="Y17" i="10"/>
  <c r="X17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Y4" i="10"/>
  <c r="X4" i="10"/>
  <c r="Y3" i="10"/>
  <c r="X3" i="10"/>
  <c r="Y2" i="10"/>
  <c r="Y1" i="10"/>
  <c r="X2" i="10"/>
  <c r="X1" i="10"/>
  <c r="W33" i="10"/>
  <c r="V33" i="10"/>
  <c r="W32" i="10"/>
  <c r="V32" i="10"/>
  <c r="W31" i="10"/>
  <c r="V31" i="10"/>
  <c r="W30" i="10"/>
  <c r="V30" i="10"/>
  <c r="W29" i="10"/>
  <c r="V29" i="10"/>
  <c r="W28" i="10"/>
  <c r="V28" i="10"/>
  <c r="W27" i="10"/>
  <c r="V27" i="10"/>
  <c r="W26" i="10"/>
  <c r="V26" i="10"/>
  <c r="W25" i="10"/>
  <c r="V25" i="10"/>
  <c r="W24" i="10"/>
  <c r="V24" i="10"/>
  <c r="W23" i="10"/>
  <c r="V23" i="10"/>
  <c r="W22" i="10"/>
  <c r="V22" i="10"/>
  <c r="W21" i="10"/>
  <c r="V21" i="10"/>
  <c r="W20" i="10"/>
  <c r="V20" i="10"/>
  <c r="W19" i="10"/>
  <c r="V19" i="10"/>
  <c r="W18" i="10"/>
  <c r="V18" i="10"/>
  <c r="W17" i="10"/>
  <c r="V17" i="10"/>
  <c r="W16" i="10"/>
  <c r="V16" i="10"/>
  <c r="W15" i="10"/>
  <c r="V15" i="10"/>
  <c r="W14" i="10"/>
  <c r="V14" i="10"/>
  <c r="W13" i="10"/>
  <c r="V13" i="10"/>
  <c r="W12" i="10"/>
  <c r="V12" i="10"/>
  <c r="W11" i="10"/>
  <c r="V11" i="10"/>
  <c r="W10" i="10"/>
  <c r="V10" i="10"/>
  <c r="W9" i="10"/>
  <c r="V9" i="10"/>
  <c r="W8" i="10"/>
  <c r="V8" i="10"/>
  <c r="W7" i="10"/>
  <c r="V7" i="10"/>
  <c r="W6" i="10"/>
  <c r="V6" i="10"/>
  <c r="W5" i="10"/>
  <c r="V5" i="10"/>
  <c r="W4" i="10"/>
  <c r="V4" i="10"/>
  <c r="W3" i="10"/>
  <c r="V3" i="10"/>
  <c r="W2" i="10"/>
  <c r="W1" i="10"/>
  <c r="V2" i="10"/>
  <c r="V1" i="10"/>
  <c r="M4" i="10"/>
  <c r="U33" i="10"/>
  <c r="T33" i="10"/>
  <c r="U32" i="10"/>
  <c r="T32" i="10"/>
  <c r="U31" i="10"/>
  <c r="T31" i="10"/>
  <c r="U30" i="10"/>
  <c r="T30" i="10"/>
  <c r="U29" i="10"/>
  <c r="T29" i="10"/>
  <c r="U28" i="10"/>
  <c r="T28" i="10"/>
  <c r="U27" i="10"/>
  <c r="T27" i="10"/>
  <c r="U26" i="10"/>
  <c r="T26" i="10"/>
  <c r="U25" i="10"/>
  <c r="T25" i="10"/>
  <c r="U24" i="10"/>
  <c r="T24" i="10"/>
  <c r="U23" i="10"/>
  <c r="T23" i="10"/>
  <c r="U22" i="10"/>
  <c r="T22" i="10"/>
  <c r="U21" i="10"/>
  <c r="T21" i="10"/>
  <c r="U20" i="10"/>
  <c r="T20" i="10"/>
  <c r="U19" i="10"/>
  <c r="T19" i="10"/>
  <c r="U18" i="10"/>
  <c r="T18" i="10"/>
  <c r="U17" i="10"/>
  <c r="T17" i="10"/>
  <c r="U16" i="10"/>
  <c r="T16" i="10"/>
  <c r="U15" i="10"/>
  <c r="T15" i="10"/>
  <c r="U14" i="10"/>
  <c r="T14" i="10"/>
  <c r="U13" i="10"/>
  <c r="T13" i="10"/>
  <c r="U12" i="10"/>
  <c r="T12" i="10"/>
  <c r="U11" i="10"/>
  <c r="T11" i="10"/>
  <c r="U10" i="10"/>
  <c r="T10" i="10"/>
  <c r="U9" i="10"/>
  <c r="T9" i="10"/>
  <c r="U8" i="10"/>
  <c r="T8" i="10"/>
  <c r="U7" i="10"/>
  <c r="T7" i="10"/>
  <c r="U6" i="10"/>
  <c r="T6" i="10"/>
  <c r="U5" i="10"/>
  <c r="T5" i="10"/>
  <c r="U4" i="10"/>
  <c r="T4" i="10"/>
  <c r="U3" i="10"/>
  <c r="T3" i="10"/>
  <c r="T2" i="10"/>
  <c r="U2" i="10"/>
  <c r="U1" i="10"/>
  <c r="T1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R5" i="10"/>
  <c r="R4" i="10"/>
  <c r="R3" i="10"/>
  <c r="R2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Q2" i="10"/>
  <c r="O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N8" i="10"/>
  <c r="N7" i="10"/>
  <c r="N6" i="10"/>
  <c r="N5" i="10"/>
  <c r="N4" i="10"/>
  <c r="N3" i="10"/>
  <c r="N2" i="10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I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K2" i="11"/>
  <c r="I2" i="11"/>
  <c r="O1" i="11"/>
  <c r="N1" i="11"/>
  <c r="M1" i="11"/>
  <c r="L1" i="11"/>
  <c r="K1" i="11"/>
  <c r="J1" i="11"/>
  <c r="S33" i="10"/>
  <c r="Q33" i="10"/>
  <c r="S32" i="10"/>
  <c r="Q32" i="10"/>
  <c r="S31" i="10"/>
  <c r="Q31" i="10"/>
  <c r="S30" i="10"/>
  <c r="Q30" i="10"/>
  <c r="S29" i="10"/>
  <c r="Q29" i="10"/>
  <c r="S28" i="10"/>
  <c r="Q28" i="10"/>
  <c r="S27" i="10"/>
  <c r="Q27" i="10"/>
  <c r="S26" i="10"/>
  <c r="Q26" i="10"/>
  <c r="S25" i="10"/>
  <c r="Q25" i="10"/>
  <c r="S24" i="10"/>
  <c r="Q24" i="10"/>
  <c r="S23" i="10"/>
  <c r="Q23" i="10"/>
  <c r="S22" i="10"/>
  <c r="Q22" i="10"/>
  <c r="S21" i="10"/>
  <c r="Q21" i="10"/>
  <c r="S20" i="10"/>
  <c r="Q20" i="10"/>
  <c r="S19" i="10"/>
  <c r="Q19" i="10"/>
  <c r="S18" i="10"/>
  <c r="Q18" i="10"/>
  <c r="S17" i="10"/>
  <c r="Q17" i="10"/>
  <c r="S16" i="10"/>
  <c r="Q16" i="10"/>
  <c r="S15" i="10"/>
  <c r="Q15" i="10"/>
  <c r="S14" i="10"/>
  <c r="Q14" i="10"/>
  <c r="S13" i="10"/>
  <c r="Q13" i="10"/>
  <c r="S12" i="10"/>
  <c r="Q12" i="10"/>
  <c r="S11" i="10"/>
  <c r="Q11" i="10"/>
  <c r="S10" i="10"/>
  <c r="Q10" i="10"/>
  <c r="S9" i="10"/>
  <c r="Q9" i="10"/>
  <c r="S8" i="10"/>
  <c r="Q8" i="10"/>
  <c r="S7" i="10"/>
  <c r="Q7" i="10"/>
  <c r="S6" i="10"/>
  <c r="Q6" i="10"/>
  <c r="S5" i="10"/>
  <c r="Q5" i="10"/>
  <c r="S4" i="10"/>
  <c r="Q4" i="10"/>
  <c r="S3" i="10"/>
  <c r="Q3" i="10"/>
  <c r="M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S2" i="10"/>
  <c r="M2" i="10"/>
  <c r="S1" i="10"/>
  <c r="R1" i="10"/>
  <c r="Q1" i="10"/>
  <c r="P1" i="10"/>
  <c r="O1" i="10"/>
  <c r="N1" i="10"/>
  <c r="A4" i="9"/>
  <c r="E3" i="9"/>
  <c r="D3" i="9"/>
  <c r="C3" i="9"/>
  <c r="F3" i="9" s="1"/>
  <c r="A3" i="9"/>
  <c r="B3" i="9" s="1"/>
  <c r="F2" i="9"/>
  <c r="E2" i="9"/>
  <c r="D2" i="9"/>
  <c r="C2" i="9"/>
  <c r="B2" i="9"/>
  <c r="B10" i="7"/>
  <c r="B11" i="7" s="1"/>
  <c r="B8" i="7"/>
  <c r="B9" i="7" s="1"/>
  <c r="A8" i="7"/>
  <c r="A9" i="7" s="1"/>
  <c r="A10" i="7" s="1"/>
  <c r="A11" i="7" s="1"/>
  <c r="F7" i="7"/>
  <c r="F8" i="7" s="1"/>
  <c r="F9" i="7" s="1"/>
  <c r="F10" i="7" s="1"/>
  <c r="F11" i="7" s="1"/>
  <c r="B6" i="7"/>
  <c r="B7" i="7" s="1"/>
  <c r="A6" i="7"/>
  <c r="A7" i="7" s="1"/>
  <c r="D5" i="7"/>
  <c r="D6" i="7" s="1"/>
  <c r="D7" i="7" s="1"/>
  <c r="D8" i="7" s="1"/>
  <c r="D9" i="7" s="1"/>
  <c r="D10" i="7" s="1"/>
  <c r="D11" i="7" s="1"/>
  <c r="C5" i="7"/>
  <c r="C6" i="7" s="1"/>
  <c r="C7" i="7" s="1"/>
  <c r="C8" i="7" s="1"/>
  <c r="C9" i="7" s="1"/>
  <c r="C10" i="7" s="1"/>
  <c r="C11" i="7" s="1"/>
  <c r="E4" i="7"/>
  <c r="E5" i="7" s="1"/>
  <c r="E6" i="7" s="1"/>
  <c r="E7" i="7" s="1"/>
  <c r="E8" i="7" s="1"/>
  <c r="E9" i="7" s="1"/>
  <c r="E10" i="7" s="1"/>
  <c r="E11" i="7" s="1"/>
  <c r="D4" i="7"/>
  <c r="B4" i="7"/>
  <c r="B5" i="7" s="1"/>
  <c r="A4" i="7"/>
  <c r="A5" i="7" s="1"/>
  <c r="F3" i="7"/>
  <c r="F4" i="7" s="1"/>
  <c r="F5" i="7" s="1"/>
  <c r="F6" i="7" s="1"/>
  <c r="E3" i="7"/>
  <c r="D3" i="7"/>
  <c r="C3" i="7"/>
  <c r="C4" i="7" s="1"/>
  <c r="B3" i="7"/>
  <c r="A3" i="7"/>
  <c r="A139" i="6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2" i="6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" i="4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D4" i="3"/>
  <c r="D3" i="3"/>
  <c r="E3" i="3" s="1"/>
  <c r="E4" i="3" s="1"/>
  <c r="A3" i="3"/>
  <c r="A4" i="3" s="1"/>
  <c r="D2" i="3"/>
  <c r="E2" i="3" s="1"/>
  <c r="M33" i="2"/>
  <c r="L33" i="2"/>
  <c r="K33" i="2"/>
  <c r="J33" i="2"/>
  <c r="I33" i="2"/>
  <c r="H33" i="2"/>
  <c r="M32" i="2"/>
  <c r="L32" i="2"/>
  <c r="K32" i="2"/>
  <c r="J32" i="2"/>
  <c r="I32" i="2"/>
  <c r="H32" i="2"/>
  <c r="M31" i="2"/>
  <c r="L31" i="2"/>
  <c r="K31" i="2"/>
  <c r="J31" i="2"/>
  <c r="I31" i="2"/>
  <c r="H31" i="2"/>
  <c r="M30" i="2"/>
  <c r="L30" i="2"/>
  <c r="K30" i="2"/>
  <c r="J30" i="2"/>
  <c r="I30" i="2"/>
  <c r="H30" i="2"/>
  <c r="M29" i="2"/>
  <c r="L29" i="2"/>
  <c r="K29" i="2"/>
  <c r="J29" i="2"/>
  <c r="I29" i="2"/>
  <c r="H29" i="2"/>
  <c r="M28" i="2"/>
  <c r="L28" i="2"/>
  <c r="K28" i="2"/>
  <c r="J28" i="2"/>
  <c r="I28" i="2"/>
  <c r="H28" i="2"/>
  <c r="M27" i="2"/>
  <c r="L27" i="2"/>
  <c r="K27" i="2"/>
  <c r="J27" i="2"/>
  <c r="I27" i="2"/>
  <c r="H27" i="2"/>
  <c r="M26" i="2"/>
  <c r="L26" i="2"/>
  <c r="K26" i="2"/>
  <c r="J26" i="2"/>
  <c r="I26" i="2"/>
  <c r="H26" i="2"/>
  <c r="M25" i="2"/>
  <c r="L25" i="2"/>
  <c r="K25" i="2"/>
  <c r="J25" i="2"/>
  <c r="I25" i="2"/>
  <c r="H25" i="2"/>
  <c r="M24" i="2"/>
  <c r="L24" i="2"/>
  <c r="K24" i="2"/>
  <c r="J24" i="2"/>
  <c r="I24" i="2"/>
  <c r="H24" i="2"/>
  <c r="M23" i="2"/>
  <c r="L23" i="2"/>
  <c r="K23" i="2"/>
  <c r="J23" i="2"/>
  <c r="I23" i="2"/>
  <c r="H23" i="2"/>
  <c r="M22" i="2"/>
  <c r="L22" i="2"/>
  <c r="K22" i="2"/>
  <c r="J22" i="2"/>
  <c r="I22" i="2"/>
  <c r="H22" i="2"/>
  <c r="M21" i="2"/>
  <c r="L21" i="2"/>
  <c r="K21" i="2"/>
  <c r="J21" i="2"/>
  <c r="I21" i="2"/>
  <c r="H21" i="2"/>
  <c r="M20" i="2"/>
  <c r="L20" i="2"/>
  <c r="K20" i="2"/>
  <c r="J20" i="2"/>
  <c r="I20" i="2"/>
  <c r="H20" i="2"/>
  <c r="M19" i="2"/>
  <c r="L19" i="2"/>
  <c r="K19" i="2"/>
  <c r="J19" i="2"/>
  <c r="I19" i="2"/>
  <c r="H19" i="2"/>
  <c r="M18" i="2"/>
  <c r="L18" i="2"/>
  <c r="K18" i="2"/>
  <c r="J18" i="2"/>
  <c r="I18" i="2"/>
  <c r="H18" i="2"/>
  <c r="M17" i="2"/>
  <c r="L17" i="2"/>
  <c r="K17" i="2"/>
  <c r="J17" i="2"/>
  <c r="I17" i="2"/>
  <c r="H17" i="2"/>
  <c r="M16" i="2"/>
  <c r="L16" i="2"/>
  <c r="K16" i="2"/>
  <c r="J16" i="2"/>
  <c r="I16" i="2"/>
  <c r="H16" i="2"/>
  <c r="M15" i="2"/>
  <c r="L15" i="2"/>
  <c r="K15" i="2"/>
  <c r="J15" i="2"/>
  <c r="I15" i="2"/>
  <c r="H15" i="2"/>
  <c r="M14" i="2"/>
  <c r="L14" i="2"/>
  <c r="K14" i="2"/>
  <c r="J14" i="2"/>
  <c r="I14" i="2"/>
  <c r="H14" i="2"/>
  <c r="M13" i="2"/>
  <c r="L13" i="2"/>
  <c r="K13" i="2"/>
  <c r="J13" i="2"/>
  <c r="I13" i="2"/>
  <c r="H13" i="2"/>
  <c r="M12" i="2"/>
  <c r="L12" i="2"/>
  <c r="K12" i="2"/>
  <c r="J12" i="2"/>
  <c r="I12" i="2"/>
  <c r="H12" i="2"/>
  <c r="M11" i="2"/>
  <c r="L11" i="2"/>
  <c r="K11" i="2"/>
  <c r="J11" i="2"/>
  <c r="I11" i="2"/>
  <c r="H11" i="2"/>
  <c r="M10" i="2"/>
  <c r="L10" i="2"/>
  <c r="K10" i="2"/>
  <c r="J10" i="2"/>
  <c r="I10" i="2"/>
  <c r="H10" i="2"/>
  <c r="M9" i="2"/>
  <c r="L9" i="2"/>
  <c r="K9" i="2"/>
  <c r="J9" i="2"/>
  <c r="I9" i="2"/>
  <c r="H9" i="2"/>
  <c r="M8" i="2"/>
  <c r="L8" i="2"/>
  <c r="K8" i="2"/>
  <c r="J8" i="2"/>
  <c r="I8" i="2"/>
  <c r="H8" i="2"/>
  <c r="M7" i="2"/>
  <c r="L7" i="2"/>
  <c r="K7" i="2"/>
  <c r="J7" i="2"/>
  <c r="I7" i="2"/>
  <c r="H7" i="2"/>
  <c r="M6" i="2"/>
  <c r="L6" i="2"/>
  <c r="K6" i="2"/>
  <c r="J6" i="2"/>
  <c r="I6" i="2"/>
  <c r="H6" i="2"/>
  <c r="M5" i="2"/>
  <c r="L5" i="2"/>
  <c r="K5" i="2"/>
  <c r="J5" i="2"/>
  <c r="I5" i="2"/>
  <c r="H5" i="2"/>
  <c r="M4" i="2"/>
  <c r="L4" i="2"/>
  <c r="K4" i="2"/>
  <c r="J4" i="2"/>
  <c r="I4" i="2"/>
  <c r="H4" i="2"/>
  <c r="M3" i="2"/>
  <c r="L3" i="2"/>
  <c r="K3" i="2"/>
  <c r="J3" i="2"/>
  <c r="I3" i="2"/>
  <c r="H3" i="2"/>
  <c r="G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M2" i="2"/>
  <c r="L2" i="2"/>
  <c r="K2" i="2"/>
  <c r="J2" i="2"/>
  <c r="I2" i="2"/>
  <c r="H2" i="2"/>
  <c r="G2" i="2"/>
  <c r="M1" i="2"/>
  <c r="L1" i="2"/>
  <c r="K1" i="2"/>
  <c r="J1" i="2"/>
  <c r="I1" i="2"/>
  <c r="H1" i="2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1" i="1"/>
  <c r="H11" i="1"/>
  <c r="I10" i="1"/>
  <c r="H10" i="1"/>
  <c r="I9" i="1"/>
  <c r="H9" i="1"/>
  <c r="I8" i="1"/>
  <c r="H8" i="1"/>
  <c r="A8" i="1"/>
  <c r="A9" i="1" s="1"/>
  <c r="A10" i="1" s="1"/>
  <c r="A11" i="1" s="1"/>
  <c r="I7" i="1"/>
  <c r="H7" i="1"/>
  <c r="I6" i="1"/>
  <c r="H6" i="1"/>
  <c r="I5" i="1"/>
  <c r="H5" i="1"/>
  <c r="I4" i="1"/>
  <c r="H4" i="1"/>
  <c r="A4" i="1"/>
  <c r="A5" i="1" s="1"/>
  <c r="A6" i="1" s="1"/>
  <c r="A7" i="1" s="1"/>
  <c r="I3" i="1"/>
  <c r="H3" i="1"/>
  <c r="G3" i="1"/>
  <c r="A3" i="1"/>
  <c r="I2" i="1"/>
  <c r="H2" i="1"/>
  <c r="G2" i="1"/>
  <c r="M1" i="1"/>
  <c r="L1" i="1"/>
  <c r="K1" i="1"/>
  <c r="J1" i="1"/>
  <c r="I1" i="1"/>
  <c r="H1" i="1"/>
  <c r="E5" i="3" l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G3" i="9"/>
  <c r="E4" i="9"/>
  <c r="C4" i="9"/>
  <c r="B4" i="9"/>
  <c r="D4" i="9"/>
  <c r="G2" i="9"/>
  <c r="A5" i="9"/>
  <c r="F4" i="9" l="1"/>
  <c r="G4" i="9"/>
  <c r="A6" i="9"/>
  <c r="B5" i="9"/>
  <c r="C5" i="9"/>
  <c r="F5" i="9" s="1"/>
  <c r="E5" i="9"/>
  <c r="D5" i="9"/>
  <c r="G5" i="9" s="1"/>
  <c r="E6" i="9" l="1"/>
  <c r="D6" i="9"/>
  <c r="C6" i="9"/>
  <c r="A7" i="9"/>
  <c r="B6" i="9"/>
  <c r="A8" i="9" l="1"/>
  <c r="D7" i="9"/>
  <c r="C7" i="9"/>
  <c r="B7" i="9"/>
  <c r="E7" i="9"/>
  <c r="F6" i="9"/>
  <c r="G6" i="9"/>
  <c r="C8" i="9" l="1"/>
  <c r="B8" i="9"/>
  <c r="A9" i="9"/>
  <c r="E8" i="9"/>
  <c r="D8" i="9"/>
  <c r="G8" i="9" s="1"/>
  <c r="F7" i="9"/>
  <c r="G7" i="9"/>
  <c r="A10" i="9" l="1"/>
  <c r="D9" i="9"/>
  <c r="E9" i="9"/>
  <c r="C9" i="9"/>
  <c r="B9" i="9"/>
  <c r="F8" i="9"/>
  <c r="C10" i="9" l="1"/>
  <c r="F10" i="9" s="1"/>
  <c r="B10" i="9"/>
  <c r="A11" i="9"/>
  <c r="D10" i="9"/>
  <c r="G10" i="9" s="1"/>
  <c r="E10" i="9"/>
  <c r="F9" i="9"/>
  <c r="G9" i="9"/>
  <c r="E11" i="9" l="1"/>
  <c r="D11" i="9"/>
  <c r="B11" i="9"/>
  <c r="A12" i="9"/>
  <c r="C11" i="9"/>
  <c r="F11" i="9" s="1"/>
  <c r="E12" i="9" l="1"/>
  <c r="D12" i="9"/>
  <c r="C12" i="9"/>
  <c r="B12" i="9"/>
  <c r="A13" i="9"/>
  <c r="G11" i="9"/>
  <c r="D13" i="9" l="1"/>
  <c r="C13" i="9"/>
  <c r="B13" i="9"/>
  <c r="A14" i="9"/>
  <c r="E13" i="9"/>
  <c r="F12" i="9"/>
  <c r="G12" i="9"/>
  <c r="A15" i="9" l="1"/>
  <c r="E14" i="9"/>
  <c r="D14" i="9"/>
  <c r="C14" i="9"/>
  <c r="B14" i="9"/>
  <c r="F13" i="9"/>
  <c r="G13" i="9"/>
  <c r="G14" i="9" l="1"/>
  <c r="F14" i="9"/>
  <c r="B15" i="9"/>
  <c r="A16" i="9"/>
  <c r="C15" i="9"/>
  <c r="F15" i="9" s="1"/>
  <c r="E15" i="9"/>
  <c r="D15" i="9"/>
  <c r="G15" i="9" s="1"/>
  <c r="E16" i="9" l="1"/>
  <c r="D16" i="9"/>
  <c r="C16" i="9"/>
  <c r="B16" i="9"/>
  <c r="F16" i="9" l="1"/>
  <c r="G16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name="Verbindung1" type="4" refreshedVersion="3" background="1" saveData="1">
    <webPr sourceData="1" parsePre="1" consecutive="1" xl2000="1" url="file://wsl.localhost/Ubuntu-24.04/home/toor/git/Stockfish/src/b.txt" htmlTables="1">
      <tables count="1">
        <s v="CSV_all"/>
      </tables>
    </webPr>
  </connection>
  <connection id="2" xr16:uid="{00000000-0000-0000-0000-000000000000}" name="Verbindung2" type="4" refreshedVersion="3" background="1" saveData="1">
    <webPr sourceData="1" parsePre="1" consecutive="1" xl2000="1" url="file://wsl.localhost/Ubuntu-24.04/home/toor/git/Stockfish/src/b.txt" htmlTables="1">
      <tables count="1">
        <s v="CSV_all"/>
      </tables>
    </webPr>
  </connection>
  <connection id="3" xr16:uid="{00000000-0000-0000-0000-000000000000}" name="Verbindung3" type="4" refreshedVersion="3" background="1" saveData="1">
    <webPr sourceData="1" parsePre="1" consecutive="1" xl2000="1" url="file://wsl.localhost/Ubuntu-24.04/home/toor/git/Stockfish/src/b1.txt" htmlTables="1">
      <tables count="1">
        <s v="CSV_all"/>
      </tables>
    </webPr>
  </connection>
  <connection id="4" xr16:uid="{00000000-0000-0000-0000-000000000000}" name="Verbindung4" type="4" refreshedVersion="3" background="1" saveData="1">
    <webPr sourceData="1" parsePre="1" consecutive="1" xl2000="1" url="file://wsl.localhost/Ubuntu-24.04/home/toor/git/Stockfish/src/b2.txt" htmlTables="1">
      <tables count="1">
        <s v="CSV_all"/>
      </tables>
    </webPr>
  </connection>
  <connection id="5" xr16:uid="{00000000-0000-0000-0000-000000000000}" name="Verbindung5" type="4" refreshedVersion="3" background="1" saveData="1">
    <webPr sourceData="1" parsePre="1" consecutive="1" xl2000="1" url="file://wsl.localhost/Ubuntu-24.04/home/toor/git/Stockfish/src/b3.txt" htmlTables="1">
      <tables count="1">
        <s v="CSV_all"/>
      </tables>
    </webPr>
  </connection>
  <connection id="6" xr16:uid="{00000000-0000-0000-0000-000000000000}" name="Verbindung6" type="4" refreshedVersion="3" background="1" saveData="1">
    <webPr sourceData="1" parsePre="1" consecutive="1" xl2000="1" url="file://wsl.localhost/Ubuntu-24.04/home/toor/git/Stockfish/src/b4.txt" htmlTables="1">
      <tables count="1">
        <s v="CSV_all"/>
      </tables>
    </webPr>
  </connection>
  <connection id="7" xr16:uid="{00000000-0000-0000-0000-000000000000}" name="Verbindung7" type="4" refreshedVersion="3" background="1" saveData="1">
    <webPr sourceData="1" parsePre="1" consecutive="1" xl2000="1" url="file://wsl.localhost/Ubuntu-24.04/home/toor/git/Stockfish/src/b5.txt" htmlTables="1">
      <tables count="1">
        <s v="CSV_all"/>
      </tables>
    </webPr>
  </connection>
  <connection id="8" xr16:uid="{00000000-0000-0000-0000-000000000000}" name="Verbindung8" type="4" refreshedVersion="3" background="1" saveData="1">
    <webPr sourceData="1" parsePre="1" consecutive="1" xl2000="1" url="file://wsl.localhost/Ubuntu-24.04/home/toor/git/Stockfish/src/b6.txt" htmlTables="1">
      <tables count="1">
        <s v="CSV_all"/>
      </tables>
    </webPr>
  </connection>
</connections>
</file>

<file path=xl/sharedStrings.xml><?xml version="1.0" encoding="utf-8"?>
<sst xmlns="http://schemas.openxmlformats.org/spreadsheetml/2006/main" count="1930" uniqueCount="339">
  <si>
    <t>depth</t>
  </si>
  <si>
    <t>master</t>
  </si>
  <si>
    <t>n%(r+653)</t>
  </si>
  <si>
    <t>n%(+128)</t>
  </si>
  <si>
    <t>n%(w-d)</t>
  </si>
  <si>
    <t>V</t>
  </si>
  <si>
    <t>n</t>
  </si>
  <si>
    <t>fh%</t>
  </si>
  <si>
    <t>n%</t>
  </si>
  <si>
    <t>cum_n%</t>
  </si>
  <si>
    <t>#70:</t>
  </si>
  <si>
    <t>PF</t>
  </si>
  <si>
    <t>#50:</t>
  </si>
  <si>
    <t>#10:</t>
  </si>
  <si>
    <t>#150:</t>
  </si>
  <si>
    <t>#100:</t>
  </si>
  <si>
    <t>#190:</t>
  </si>
  <si>
    <t>#260:</t>
  </si>
  <si>
    <t>#240:</t>
  </si>
  <si>
    <t>#170:</t>
  </si>
  <si>
    <t>#220:</t>
  </si>
  <si>
    <t>#40:</t>
  </si>
  <si>
    <t>#120:</t>
  </si>
  <si>
    <t>#0:</t>
  </si>
  <si>
    <t>#140:</t>
  </si>
  <si>
    <t>#180:</t>
  </si>
  <si>
    <t>#160:</t>
  </si>
  <si>
    <t>#30:</t>
  </si>
  <si>
    <t>#110:</t>
  </si>
  <si>
    <t>#60:</t>
  </si>
  <si>
    <t>#230:</t>
  </si>
  <si>
    <t>#250:</t>
  </si>
  <si>
    <t>#200:</t>
  </si>
  <si>
    <t>#20:</t>
  </si>
  <si>
    <t>#210:</t>
  </si>
  <si>
    <t>#80:</t>
  </si>
  <si>
    <t>#90:</t>
  </si>
  <si>
    <t>#1:</t>
  </si>
  <si>
    <t>#11:</t>
  </si>
  <si>
    <t>#21:</t>
  </si>
  <si>
    <t>#31:</t>
  </si>
  <si>
    <t>#41:</t>
  </si>
  <si>
    <t>#51:</t>
  </si>
  <si>
    <t>#61:</t>
  </si>
  <si>
    <t>#71:</t>
  </si>
  <si>
    <t>#81:</t>
  </si>
  <si>
    <t>#91:</t>
  </si>
  <si>
    <t>#101:</t>
  </si>
  <si>
    <t>#111:</t>
  </si>
  <si>
    <t>#121:</t>
  </si>
  <si>
    <t>#141:</t>
  </si>
  <si>
    <t>#151:</t>
  </si>
  <si>
    <t>#161:</t>
  </si>
  <si>
    <t>#171:</t>
  </si>
  <si>
    <t>#181:</t>
  </si>
  <si>
    <t>#191:</t>
  </si>
  <si>
    <t>#201:</t>
  </si>
  <si>
    <t>#211:</t>
  </si>
  <si>
    <t>#221:</t>
  </si>
  <si>
    <t>#231:</t>
  </si>
  <si>
    <t>#241:</t>
  </si>
  <si>
    <t>#251:</t>
  </si>
  <si>
    <t>#261:</t>
  </si>
  <si>
    <t>A=1</t>
  </si>
  <si>
    <t>A=2</t>
  </si>
  <si>
    <t>A=4</t>
  </si>
  <si>
    <t>A=5</t>
  </si>
  <si>
    <t>A=7</t>
  </si>
  <si>
    <t>A=8</t>
  </si>
  <si>
    <t>condition</t>
  </si>
  <si>
    <t>26</t>
  </si>
  <si>
    <t>2861</t>
  </si>
  <si>
    <t>#12:</t>
  </si>
  <si>
    <t>#13:</t>
  </si>
  <si>
    <t>#14:</t>
  </si>
  <si>
    <t>#15:</t>
  </si>
  <si>
    <t>#16:</t>
  </si>
  <si>
    <t>#17:</t>
  </si>
  <si>
    <t>#18:</t>
  </si>
  <si>
    <t>#102:</t>
  </si>
  <si>
    <t>#103:</t>
  </si>
  <si>
    <t>#104:</t>
  </si>
  <si>
    <t>#105:</t>
  </si>
  <si>
    <t>#106:</t>
  </si>
  <si>
    <t>#107:</t>
  </si>
  <si>
    <t>#108:</t>
  </si>
  <si>
    <t>#112:</t>
  </si>
  <si>
    <t>#113:</t>
  </si>
  <si>
    <t>#114:</t>
  </si>
  <si>
    <t>#115:</t>
  </si>
  <si>
    <t>#116:</t>
  </si>
  <si>
    <t>#117:</t>
  </si>
  <si>
    <t>#118:</t>
  </si>
  <si>
    <t>#202:</t>
  </si>
  <si>
    <t>#203:</t>
  </si>
  <si>
    <t>#204:</t>
  </si>
  <si>
    <t>#205:</t>
  </si>
  <si>
    <t>#206:</t>
  </si>
  <si>
    <t>#207:</t>
  </si>
  <si>
    <t>#208:</t>
  </si>
  <si>
    <t>#212:</t>
  </si>
  <si>
    <t>#213:</t>
  </si>
  <si>
    <t>#214:</t>
  </si>
  <si>
    <t>#215:</t>
  </si>
  <si>
    <t>#216:</t>
  </si>
  <si>
    <t>#217:</t>
  </si>
  <si>
    <t>#218:</t>
  </si>
  <si>
    <t>#300:</t>
  </si>
  <si>
    <t>#301:</t>
  </si>
  <si>
    <t>#302:</t>
  </si>
  <si>
    <t>#303:</t>
  </si>
  <si>
    <t>#304:</t>
  </si>
  <si>
    <t>#305:</t>
  </si>
  <si>
    <t>#306:</t>
  </si>
  <si>
    <t>#307:</t>
  </si>
  <si>
    <t>#308:</t>
  </si>
  <si>
    <t>#310:</t>
  </si>
  <si>
    <t>#311:</t>
  </si>
  <si>
    <t>#312:</t>
  </si>
  <si>
    <t>#313:</t>
  </si>
  <si>
    <t>#314:</t>
  </si>
  <si>
    <t>#315:</t>
  </si>
  <si>
    <t>#316:</t>
  </si>
  <si>
    <t>#317:</t>
  </si>
  <si>
    <t>#318:</t>
  </si>
  <si>
    <t>#400:</t>
  </si>
  <si>
    <t>#401:</t>
  </si>
  <si>
    <t>#402:</t>
  </si>
  <si>
    <t>#403:</t>
  </si>
  <si>
    <t>#404:</t>
  </si>
  <si>
    <t>#405:</t>
  </si>
  <si>
    <t>#406:</t>
  </si>
  <si>
    <t>#407:</t>
  </si>
  <si>
    <t>#408:</t>
  </si>
  <si>
    <t>#410:</t>
  </si>
  <si>
    <t>#411:</t>
  </si>
  <si>
    <t>#412:</t>
  </si>
  <si>
    <t>#413:</t>
  </si>
  <si>
    <t>#414:</t>
  </si>
  <si>
    <t>#415:</t>
  </si>
  <si>
    <t>#416:</t>
  </si>
  <si>
    <t>#417:</t>
  </si>
  <si>
    <t>#418:</t>
  </si>
  <si>
    <t>#500:</t>
  </si>
  <si>
    <t>#501:</t>
  </si>
  <si>
    <t>#502:</t>
  </si>
  <si>
    <t>#503:</t>
  </si>
  <si>
    <t>#504:</t>
  </si>
  <si>
    <t>#505:</t>
  </si>
  <si>
    <t>#506:</t>
  </si>
  <si>
    <t>#507:</t>
  </si>
  <si>
    <t>#508:</t>
  </si>
  <si>
    <t>#510:</t>
  </si>
  <si>
    <t>#511:</t>
  </si>
  <si>
    <t>#512:</t>
  </si>
  <si>
    <t>#513:</t>
  </si>
  <si>
    <t>#514:</t>
  </si>
  <si>
    <t>#515:</t>
  </si>
  <si>
    <t>#516:</t>
  </si>
  <si>
    <t>#517:</t>
  </si>
  <si>
    <t>#518:</t>
  </si>
  <si>
    <t>#600:</t>
  </si>
  <si>
    <t>#601:</t>
  </si>
  <si>
    <t>#602:</t>
  </si>
  <si>
    <t>#603:</t>
  </si>
  <si>
    <t>#604:</t>
  </si>
  <si>
    <t>#605:</t>
  </si>
  <si>
    <t>#606:</t>
  </si>
  <si>
    <t>#607:</t>
  </si>
  <si>
    <t>#608:</t>
  </si>
  <si>
    <t>#610:</t>
  </si>
  <si>
    <t>#611:</t>
  </si>
  <si>
    <t>#612:</t>
  </si>
  <si>
    <t>#613:</t>
  </si>
  <si>
    <t>#614:</t>
  </si>
  <si>
    <t>#615:</t>
  </si>
  <si>
    <t>#616:</t>
  </si>
  <si>
    <t>#617:</t>
  </si>
  <si>
    <t>#618:</t>
  </si>
  <si>
    <t>#700:</t>
  </si>
  <si>
    <t>#701:</t>
  </si>
  <si>
    <t>#702:</t>
  </si>
  <si>
    <t>#703:</t>
  </si>
  <si>
    <t>#704:</t>
  </si>
  <si>
    <t>#705:</t>
  </si>
  <si>
    <t>#706:</t>
  </si>
  <si>
    <t>#707:</t>
  </si>
  <si>
    <t>#708:</t>
  </si>
  <si>
    <t>#710:</t>
  </si>
  <si>
    <t>#711:</t>
  </si>
  <si>
    <t>#712:</t>
  </si>
  <si>
    <t>#713:</t>
  </si>
  <si>
    <t>#714:</t>
  </si>
  <si>
    <t>#715:</t>
  </si>
  <si>
    <t>#716:</t>
  </si>
  <si>
    <t>#717:</t>
  </si>
  <si>
    <t>#718:</t>
  </si>
  <si>
    <t>#800:</t>
  </si>
  <si>
    <t>#801:</t>
  </si>
  <si>
    <t>#802:</t>
  </si>
  <si>
    <t>#803:</t>
  </si>
  <si>
    <t>#804:</t>
  </si>
  <si>
    <t>#805:</t>
  </si>
  <si>
    <t>#806:</t>
  </si>
  <si>
    <t>#807:</t>
  </si>
  <si>
    <t>#808:</t>
  </si>
  <si>
    <t>#810:</t>
  </si>
  <si>
    <t>#811:</t>
  </si>
  <si>
    <t>#812:</t>
  </si>
  <si>
    <t>#813:</t>
  </si>
  <si>
    <t>#814:</t>
  </si>
  <si>
    <t>#815:</t>
  </si>
  <si>
    <t>#816:</t>
  </si>
  <si>
    <t>#817:</t>
  </si>
  <si>
    <t>#818:</t>
  </si>
  <si>
    <t>#900:</t>
  </si>
  <si>
    <t>#901:</t>
  </si>
  <si>
    <t>#902:</t>
  </si>
  <si>
    <t>#903:</t>
  </si>
  <si>
    <t>#904:</t>
  </si>
  <si>
    <t>#905:</t>
  </si>
  <si>
    <t>#906:</t>
  </si>
  <si>
    <t>#907:</t>
  </si>
  <si>
    <t>#908:</t>
  </si>
  <si>
    <t>#910:</t>
  </si>
  <si>
    <t>#911:</t>
  </si>
  <si>
    <t>#912:</t>
  </si>
  <si>
    <t>#913:</t>
  </si>
  <si>
    <t>#914:</t>
  </si>
  <si>
    <t>#915:</t>
  </si>
  <si>
    <t>#916:</t>
  </si>
  <si>
    <t>#917:</t>
  </si>
  <si>
    <t>#918:</t>
  </si>
  <si>
    <t>#1000:</t>
  </si>
  <si>
    <t>#1001:</t>
  </si>
  <si>
    <t>#1002:</t>
  </si>
  <si>
    <t>#1003:</t>
  </si>
  <si>
    <t>#1004:</t>
  </si>
  <si>
    <t>#1005:</t>
  </si>
  <si>
    <t>#1006:</t>
  </si>
  <si>
    <t>#1007:</t>
  </si>
  <si>
    <t>#1008:</t>
  </si>
  <si>
    <t>#1010:</t>
  </si>
  <si>
    <t>#1011:</t>
  </si>
  <si>
    <t>#1012:</t>
  </si>
  <si>
    <t>#1013:</t>
  </si>
  <si>
    <t>#1014:</t>
  </si>
  <si>
    <t>#1015:</t>
  </si>
  <si>
    <t>#1016:</t>
  </si>
  <si>
    <t>#1017:</t>
  </si>
  <si>
    <t>#1018:</t>
  </si>
  <si>
    <t>#1100:</t>
  </si>
  <si>
    <t>#1101:</t>
  </si>
  <si>
    <t>#1102:</t>
  </si>
  <si>
    <t>#1103:</t>
  </si>
  <si>
    <t>#1104:</t>
  </si>
  <si>
    <t>#1105:</t>
  </si>
  <si>
    <t>#1106:</t>
  </si>
  <si>
    <t>#1107:</t>
  </si>
  <si>
    <t>#1108:</t>
  </si>
  <si>
    <t>#1110:</t>
  </si>
  <si>
    <t>#1111:</t>
  </si>
  <si>
    <t>#1112:</t>
  </si>
  <si>
    <t>#1113:</t>
  </si>
  <si>
    <t>#1114:</t>
  </si>
  <si>
    <t>#1115:</t>
  </si>
  <si>
    <t>#1116:</t>
  </si>
  <si>
    <t>#1117:</t>
  </si>
  <si>
    <t>#1118:</t>
  </si>
  <si>
    <t>#1200:</t>
  </si>
  <si>
    <t>#1201:</t>
  </si>
  <si>
    <t>#1202:</t>
  </si>
  <si>
    <t>#1203:</t>
  </si>
  <si>
    <t>#1204:</t>
  </si>
  <si>
    <t>#1205:</t>
  </si>
  <si>
    <t>#1206:</t>
  </si>
  <si>
    <t>#1207:</t>
  </si>
  <si>
    <t>#1208:</t>
  </si>
  <si>
    <t>#1210:</t>
  </si>
  <si>
    <t>#1211:</t>
  </si>
  <si>
    <t>#1212:</t>
  </si>
  <si>
    <t>#1213:</t>
  </si>
  <si>
    <t>#1214:</t>
  </si>
  <si>
    <t>#1215:</t>
  </si>
  <si>
    <t>#1216:</t>
  </si>
  <si>
    <t>#1217:</t>
  </si>
  <si>
    <t>#1218:</t>
  </si>
  <si>
    <t>#1300:</t>
  </si>
  <si>
    <t>#1301:</t>
  </si>
  <si>
    <t>#1302:</t>
  </si>
  <si>
    <t>#1303:</t>
  </si>
  <si>
    <t>#1304:</t>
  </si>
  <si>
    <t>#1305:</t>
  </si>
  <si>
    <t>#1306:</t>
  </si>
  <si>
    <t>#1307:</t>
  </si>
  <si>
    <t>#1308:</t>
  </si>
  <si>
    <t>#1310:</t>
  </si>
  <si>
    <t>#1311:</t>
  </si>
  <si>
    <t>#1312:</t>
  </si>
  <si>
    <t>#1313:</t>
  </si>
  <si>
    <t>#1314:</t>
  </si>
  <si>
    <t>#1315:</t>
  </si>
  <si>
    <t>#1316:</t>
  </si>
  <si>
    <t>#1317:</t>
  </si>
  <si>
    <t>#1318:</t>
  </si>
  <si>
    <t>#1400:</t>
  </si>
  <si>
    <t>#1401:</t>
  </si>
  <si>
    <t>#1402:</t>
  </si>
  <si>
    <t>#1403:</t>
  </si>
  <si>
    <t>#1404:</t>
  </si>
  <si>
    <t>#1405:</t>
  </si>
  <si>
    <t>#1406:</t>
  </si>
  <si>
    <t>#1407:</t>
  </si>
  <si>
    <t>#1408:</t>
  </si>
  <si>
    <t>#1410:</t>
  </si>
  <si>
    <t>#1411:</t>
  </si>
  <si>
    <t>#1412:</t>
  </si>
  <si>
    <t>#1413:</t>
  </si>
  <si>
    <t>#1414:</t>
  </si>
  <si>
    <t>#1415:</t>
  </si>
  <si>
    <t>#1416:</t>
  </si>
  <si>
    <t>#1417:</t>
  </si>
  <si>
    <t>#1418:</t>
  </si>
  <si>
    <t>d</t>
  </si>
  <si>
    <t>prior</t>
  </si>
  <si>
    <t>prior2</t>
  </si>
  <si>
    <t>priorf</t>
  </si>
  <si>
    <t>prior%</t>
  </si>
  <si>
    <t>prior2%</t>
  </si>
  <si>
    <t>master_old</t>
  </si>
  <si>
    <t>n%(w+8)</t>
  </si>
  <si>
    <t>n%(w+16)</t>
  </si>
  <si>
    <t>master(3pp-net)</t>
  </si>
  <si>
    <t>n%(w+10)</t>
  </si>
  <si>
    <t>n%(w+6)</t>
  </si>
  <si>
    <t>n%(w+4)</t>
  </si>
  <si>
    <t>n%(w+5)</t>
  </si>
  <si>
    <t>n%(razor+64pc)</t>
  </si>
  <si>
    <t>n%(razor+128pc)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</si>
</sst>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 &quot;%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C0000"/>
      <name val="Calibri"/>
      <family val="2"/>
      <scheme val="minor"/>
    </font>
    <font>
      <sz val="10"/>
      <color rgb="FF000000"/>
      <name val="Liberation Sans"/>
    </font>
    <font>
      <i/>
      <sz val="11"/>
      <color rgb="FF808080"/>
      <name val="Calibri"/>
      <family val="2"/>
      <scheme val="minor"/>
    </font>
    <font>
      <sz val="11"/>
      <color rgb="FF00660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rgb="FF0000EE"/>
      <name val="Calibri"/>
      <family val="2"/>
      <scheme val="minor"/>
    </font>
    <font>
      <sz val="11"/>
      <color rgb="FF996600"/>
      <name val="Calibri"/>
      <family val="2"/>
      <scheme val="minor"/>
    </font>
    <font>
      <sz val="11"/>
      <color rgb="FF333333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2" fillId="8" borderId="0" applyNumberFormat="0" applyBorder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0" borderId="0" applyNumberFormat="0" applyBorder="0" applyProtection="0"/>
    <xf numFmtId="0" fontId="3" fillId="6" borderId="0" applyNumberFormat="0" applyBorder="0" applyProtection="0"/>
    <xf numFmtId="0" fontId="6" fillId="0" borderId="0" applyNumberFormat="0" applyFill="0" applyBorder="0" applyProtection="0"/>
    <xf numFmtId="0" fontId="7" fillId="7" borderId="0" applyNumberFormat="0" applyBorder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0" applyNumberFormat="0" applyFill="0" applyBorder="0" applyProtection="0"/>
    <xf numFmtId="0" fontId="13" fillId="8" borderId="1" applyNumberFormat="0" applyProtection="0"/>
    <xf numFmtId="0" fontId="14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3">
    <xf numFmtId="0" fontId="0" fillId="0" borderId="0" xfId="0"/>
    <xf numFmtId="164" fontId="0" fillId="0" borderId="0" xfId="0" applyNumberFormat="1"/>
    <xf numFmtId="11" fontId="0" fillId="0" borderId="0" xfId="0" applyNumberFormat="1"/>
  </cellXfs>
  <cellStyles count="20">
    <cellStyle name="Accent" xfId="2" xr:uid="{AE40B9F1-0545-4747-A197-CA3F0A999256}"/>
    <cellStyle name="Accent 1" xfId="3" xr:uid="{FD7EFE33-E03C-493D-A7C8-9DA1F4987037}"/>
    <cellStyle name="Accent 2" xfId="4" xr:uid="{5D7E5180-A995-4999-80E7-A2A43FF613E5}"/>
    <cellStyle name="Accent 3" xfId="5" xr:uid="{67B2B80B-1E3B-4E2B-8BCC-C1827D7980C3}"/>
    <cellStyle name="Bad" xfId="6" xr:uid="{4F7009EB-246D-435E-BB8B-993BC82FAFDA}"/>
    <cellStyle name="Default" xfId="7" xr:uid="{5F82A8F9-F3C2-419F-A9C0-62D2AD27E0A5}"/>
    <cellStyle name="Error" xfId="8" xr:uid="{B41F7C6A-982B-45F4-95B5-6509259622AF}"/>
    <cellStyle name="Footnote" xfId="9" xr:uid="{3CD02FA6-59D5-4174-92F4-B6230DC5C5B6}"/>
    <cellStyle name="Good" xfId="10" xr:uid="{05F7BA05-4246-48F0-92C2-62CAD312863A}"/>
    <cellStyle name="Heading" xfId="11" xr:uid="{528097E8-1635-498B-8528-2CE3977E9E49}"/>
    <cellStyle name="Heading 1" xfId="12" xr:uid="{1B78315A-8C30-4EDE-B5B4-1DA2BD3F7564}"/>
    <cellStyle name="Heading 2" xfId="13" xr:uid="{F3370DF3-394E-4D00-A01D-DC364602808B}"/>
    <cellStyle name="Hyperlink" xfId="14" xr:uid="{CFC2B4C2-DA76-4EDC-B5B5-B356B7CAD120}"/>
    <cellStyle name="Neutral" xfId="1" builtinId="28" customBuiltin="1"/>
    <cellStyle name="Note" xfId="15" xr:uid="{CDEDAE0C-B058-4B9B-99AC-04C777A256F5}"/>
    <cellStyle name="Result" xfId="16" xr:uid="{19157655-B1D2-44A0-817F-AC696979B811}"/>
    <cellStyle name="Standard" xfId="0" builtinId="0" customBuiltin="1"/>
    <cellStyle name="Status" xfId="17" xr:uid="{50E872CA-F5F0-41C2-99B7-E1CAD696FB73}"/>
    <cellStyle name="Text" xfId="18" xr:uid="{A8BF1A6D-2225-4115-BC7A-2AF6AD050FE2}"/>
    <cellStyle name="Warning" xfId="19" xr:uid="{8358D24D-A18A-4E62-96C4-F056646B5B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oleObject" Target="NULL" TargetMode="Externa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oleObject" Target="NULL" TargetMode="Externa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oleObject" Target="NULL" TargetMode="Externa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depth_stats_ltc_new!$J$1</c:f>
              <c:strCache>
                <c:ptCount val="1"/>
                <c:pt idx="0">
                  <c:v>master_old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depth_stats_ltc_new!$J$2:$J$33</c:f>
              <c:numCache>
                <c:formatCode>0.00" "%</c:formatCode>
                <c:ptCount val="32"/>
                <c:pt idx="0">
                  <c:v>1.7811486663536158E-2</c:v>
                </c:pt>
                <c:pt idx="1">
                  <c:v>4.0371269583392433E-3</c:v>
                </c:pt>
                <c:pt idx="2">
                  <c:v>7.7783698572959636E-3</c:v>
                </c:pt>
                <c:pt idx="3">
                  <c:v>1.3281922690698167E-2</c:v>
                </c:pt>
                <c:pt idx="4">
                  <c:v>-7.5330169002563174E-4</c:v>
                </c:pt>
                <c:pt idx="5">
                  <c:v>-2.6816363274952959E-2</c:v>
                </c:pt>
                <c:pt idx="6">
                  <c:v>-4.4491784346542662E-2</c:v>
                </c:pt>
                <c:pt idx="7">
                  <c:v>-4.9226838700370479E-2</c:v>
                </c:pt>
                <c:pt idx="8">
                  <c:v>-3.780819302950611E-2</c:v>
                </c:pt>
                <c:pt idx="9">
                  <c:v>-2.270217646023398E-2</c:v>
                </c:pt>
                <c:pt idx="10">
                  <c:v>-1.1255343536671902E-2</c:v>
                </c:pt>
                <c:pt idx="11">
                  <c:v>-4.1666667269485425E-4</c:v>
                </c:pt>
                <c:pt idx="12">
                  <c:v>-5.5047525630455424E-3</c:v>
                </c:pt>
                <c:pt idx="13">
                  <c:v>-2.0721521398271714E-2</c:v>
                </c:pt>
                <c:pt idx="14">
                  <c:v>-3.9420248647701772E-2</c:v>
                </c:pt>
                <c:pt idx="15">
                  <c:v>-5.849962864245084E-2</c:v>
                </c:pt>
                <c:pt idx="16">
                  <c:v>-6.8528078042328966E-2</c:v>
                </c:pt>
                <c:pt idx="17">
                  <c:v>-7.3178829975120152E-2</c:v>
                </c:pt>
                <c:pt idx="18">
                  <c:v>-6.9325081775603925E-2</c:v>
                </c:pt>
                <c:pt idx="19">
                  <c:v>-5.9491491395070373E-2</c:v>
                </c:pt>
                <c:pt idx="20">
                  <c:v>-4.3359261482764033E-2</c:v>
                </c:pt>
                <c:pt idx="21">
                  <c:v>-2.3923482984483879E-2</c:v>
                </c:pt>
                <c:pt idx="22">
                  <c:v>-8.7556998510152084E-5</c:v>
                </c:pt>
                <c:pt idx="23">
                  <c:v>3.1862620238616302E-2</c:v>
                </c:pt>
                <c:pt idx="24">
                  <c:v>6.6129161083160248E-2</c:v>
                </c:pt>
                <c:pt idx="25">
                  <c:v>0.10217790336776211</c:v>
                </c:pt>
                <c:pt idx="26">
                  <c:v>0.14518358567852108</c:v>
                </c:pt>
                <c:pt idx="27">
                  <c:v>0.19666178959844771</c:v>
                </c:pt>
                <c:pt idx="28">
                  <c:v>0.24989226344053694</c:v>
                </c:pt>
                <c:pt idx="29">
                  <c:v>0.32551727570759859</c:v>
                </c:pt>
                <c:pt idx="30">
                  <c:v>0.40739247454637351</c:v>
                </c:pt>
                <c:pt idx="31">
                  <c:v>0.49448611654699715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C2-4280-910D-383B3543B649}"/>
            </c:ext>
          </c:extLst>
        </c:ser>
        <c:ser>
          <c:idx val="1"/>
          <c:order val="1"/>
          <c:tx>
            <c:strRef>
              <c:f>depth_stats_ltc_new!$L$1</c:f>
              <c:strCache>
                <c:ptCount val="1"/>
                <c:pt idx="0">
                  <c:v>n%(w+6)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0.00" "%</c:formatCode>
                <c:ptCount val="32"/>
                <c:pt idx="0">
                  <c:v>8.6169339917576693E-3</c:v>
                </c:pt>
                <c:pt idx="1">
                  <c:v>1.3776275029938834E-2</c:v>
                </c:pt>
                <c:pt idx="2">
                  <c:v>-6.487497484659599E-4</c:v>
                </c:pt>
                <c:pt idx="3">
                  <c:v>-4.4838033401202182E-3</c:v>
                </c:pt>
                <c:pt idx="4">
                  <c:v>-7.6819366748679396E-3</c:v>
                </c:pt>
                <c:pt idx="5">
                  <c:v>-1.0740581819515205E-2</c:v>
                </c:pt>
                <c:pt idx="6">
                  <c:v>-1.2983208879652652E-2</c:v>
                </c:pt>
                <c:pt idx="7">
                  <c:v>-1.7019136516257083E-2</c:v>
                </c:pt>
                <c:pt idx="8">
                  <c:v>-2.3896279511154583E-2</c:v>
                </c:pt>
                <c:pt idx="9">
                  <c:v>-3.6628410145608026E-2</c:v>
                </c:pt>
                <c:pt idx="10">
                  <c:v>-4.2076837908118336E-2</c:v>
                </c:pt>
                <c:pt idx="11">
                  <c:v>-4.5816045113090675E-2</c:v>
                </c:pt>
                <c:pt idx="12">
                  <c:v>-4.2234665261331315E-2</c:v>
                </c:pt>
                <c:pt idx="13">
                  <c:v>-3.3840057604928087E-2</c:v>
                </c:pt>
                <c:pt idx="14">
                  <c:v>-2.4361668658651525E-2</c:v>
                </c:pt>
                <c:pt idx="15">
                  <c:v>-1.9083249997715268E-2</c:v>
                </c:pt>
                <c:pt idx="16">
                  <c:v>-1.6126461646324142E-2</c:v>
                </c:pt>
                <c:pt idx="17">
                  <c:v>-1.3969692225043406E-2</c:v>
                </c:pt>
                <c:pt idx="18">
                  <c:v>-1.2083377277890994E-2</c:v>
                </c:pt>
                <c:pt idx="19">
                  <c:v>-7.9423498147423999E-3</c:v>
                </c:pt>
                <c:pt idx="20">
                  <c:v>1.0304183003531087E-3</c:v>
                </c:pt>
                <c:pt idx="21">
                  <c:v>1.435951747861175E-2</c:v>
                </c:pt>
                <c:pt idx="22">
                  <c:v>3.2737646315652125E-2</c:v>
                </c:pt>
                <c:pt idx="23">
                  <c:v>6.123755864568281E-2</c:v>
                </c:pt>
                <c:pt idx="24">
                  <c:v>9.478634255349716E-2</c:v>
                </c:pt>
                <c:pt idx="25">
                  <c:v>0.13327071770167453</c:v>
                </c:pt>
                <c:pt idx="26">
                  <c:v>0.18248693372417435</c:v>
                </c:pt>
                <c:pt idx="27">
                  <c:v>0.23857848741958332</c:v>
                </c:pt>
                <c:pt idx="28">
                  <c:v>0.2913124871344257</c:v>
                </c:pt>
                <c:pt idx="29">
                  <c:v>0.35880084307253401</c:v>
                </c:pt>
                <c:pt idx="30">
                  <c:v>0.42154069077367318</c:v>
                </c:pt>
                <c:pt idx="31">
                  <c:v>0.47096265294480144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C2-4280-910D-383B3543B649}"/>
            </c:ext>
          </c:extLst>
        </c:ser>
        <c:ser>
          <c:idx val="2"/>
          <c:order val="2"/>
          <c:tx>
            <c:strRef>
              <c:f>depth_stats_ltc_new!$N$1</c:f>
              <c:strCache>
                <c:ptCount val="1"/>
                <c:pt idx="0">
                  <c:v>n%(w+4)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0.00" "%</c:formatCode>
                <c:ptCount val="32"/>
                <c:pt idx="0">
                  <c:v>-7.9868802297866637E-4</c:v>
                </c:pt>
                <c:pt idx="1">
                  <c:v>-8.7527753458696012E-3</c:v>
                </c:pt>
                <c:pt idx="2">
                  <c:v>4.5887935317789896E-4</c:v>
                </c:pt>
                <c:pt idx="3">
                  <c:v>9.592750834801933E-3</c:v>
                </c:pt>
                <c:pt idx="4">
                  <c:v>1.8068660057011687E-2</c:v>
                </c:pt>
                <c:pt idx="5">
                  <c:v>2.7804256160332663E-2</c:v>
                </c:pt>
                <c:pt idx="6">
                  <c:v>3.3625706433721314E-2</c:v>
                </c:pt>
                <c:pt idx="7">
                  <c:v>2.2876455200973478E-2</c:v>
                </c:pt>
                <c:pt idx="8">
                  <c:v>5.101916711713339E-3</c:v>
                </c:pt>
                <c:pt idx="9">
                  <c:v>-1.9522270022022226E-2</c:v>
                </c:pt>
                <c:pt idx="10">
                  <c:v>-3.6900175361721188E-2</c:v>
                </c:pt>
                <c:pt idx="11">
                  <c:v>-4.5545392839462961E-2</c:v>
                </c:pt>
                <c:pt idx="12">
                  <c:v>-4.5609413326819864E-2</c:v>
                </c:pt>
                <c:pt idx="13">
                  <c:v>-4.0677769500308464E-2</c:v>
                </c:pt>
                <c:pt idx="14">
                  <c:v>-3.4636060432214344E-2</c:v>
                </c:pt>
                <c:pt idx="15">
                  <c:v>-2.9343625539537954E-2</c:v>
                </c:pt>
                <c:pt idx="16">
                  <c:v>-2.3995370088244483E-2</c:v>
                </c:pt>
                <c:pt idx="17">
                  <c:v>-1.8234959579153998E-2</c:v>
                </c:pt>
                <c:pt idx="18">
                  <c:v>-1.0596700444647444E-2</c:v>
                </c:pt>
                <c:pt idx="19">
                  <c:v>-7.5517064279884139E-4</c:v>
                </c:pt>
                <c:pt idx="20">
                  <c:v>1.2180405250658666E-2</c:v>
                </c:pt>
                <c:pt idx="21">
                  <c:v>2.7238892422932981E-2</c:v>
                </c:pt>
                <c:pt idx="22">
                  <c:v>4.7927206731726013E-2</c:v>
                </c:pt>
                <c:pt idx="23">
                  <c:v>7.6293882168015692E-2</c:v>
                </c:pt>
                <c:pt idx="24">
                  <c:v>0.11002997646798551</c:v>
                </c:pt>
                <c:pt idx="25">
                  <c:v>0.14448141316485685</c:v>
                </c:pt>
                <c:pt idx="26">
                  <c:v>0.18477045247555779</c:v>
                </c:pt>
                <c:pt idx="27">
                  <c:v>0.22664713525014246</c:v>
                </c:pt>
                <c:pt idx="28">
                  <c:v>0.27504129943025557</c:v>
                </c:pt>
                <c:pt idx="29">
                  <c:v>0.33640313811514932</c:v>
                </c:pt>
                <c:pt idx="30">
                  <c:v>0.38998094569372999</c:v>
                </c:pt>
                <c:pt idx="31">
                  <c:v>0.43338733472360325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C2-4280-910D-383B3543B649}"/>
            </c:ext>
          </c:extLst>
        </c:ser>
        <c:ser>
          <c:idx val="3"/>
          <c:order val="3"/>
          <c:tx>
            <c:strRef>
              <c:f>depth_stats_ltc_new!$P$1</c:f>
              <c:strCache>
                <c:ptCount val="1"/>
                <c:pt idx="0">
                  <c:v>n%(w+5)</c:v>
                </c:pt>
              </c:strCache>
            </c:strRef>
          </c:tx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0.00" "%</c:formatCode>
                <c:ptCount val="32"/>
                <c:pt idx="0">
                  <c:v>1.4368068959931257E-3</c:v>
                </c:pt>
                <c:pt idx="1">
                  <c:v>7.4103526184239321E-3</c:v>
                </c:pt>
                <c:pt idx="2">
                  <c:v>-2.8067219733833859E-3</c:v>
                </c:pt>
                <c:pt idx="3">
                  <c:v>-1.9132052143731038E-3</c:v>
                </c:pt>
                <c:pt idx="4">
                  <c:v>-1.7697276329255995E-3</c:v>
                </c:pt>
                <c:pt idx="5">
                  <c:v>-1.7855523835261788E-3</c:v>
                </c:pt>
                <c:pt idx="6">
                  <c:v>-3.0491310499363156E-3</c:v>
                </c:pt>
                <c:pt idx="7">
                  <c:v>-6.6782151386424182E-3</c:v>
                </c:pt>
                <c:pt idx="8">
                  <c:v>-1.2458663035626261E-2</c:v>
                </c:pt>
                <c:pt idx="9">
                  <c:v>-2.3693860029975422E-2</c:v>
                </c:pt>
                <c:pt idx="10">
                  <c:v>-2.6714571730866665E-2</c:v>
                </c:pt>
                <c:pt idx="11">
                  <c:v>-2.8256043474967185E-2</c:v>
                </c:pt>
                <c:pt idx="12">
                  <c:v>-2.2736559171548459E-2</c:v>
                </c:pt>
                <c:pt idx="13">
                  <c:v>-1.2233299835137462E-2</c:v>
                </c:pt>
                <c:pt idx="14">
                  <c:v>-6.432448843201044E-4</c:v>
                </c:pt>
                <c:pt idx="15">
                  <c:v>8.4929785350834619E-3</c:v>
                </c:pt>
                <c:pt idx="16">
                  <c:v>1.5075447425632271E-2</c:v>
                </c:pt>
                <c:pt idx="17">
                  <c:v>1.9744139334800348E-2</c:v>
                </c:pt>
                <c:pt idx="18">
                  <c:v>2.5768379670949138E-2</c:v>
                </c:pt>
                <c:pt idx="19">
                  <c:v>3.359184657871106E-2</c:v>
                </c:pt>
                <c:pt idx="20">
                  <c:v>4.4259976321731287E-2</c:v>
                </c:pt>
                <c:pt idx="21">
                  <c:v>5.7897844125807119E-2</c:v>
                </c:pt>
                <c:pt idx="22">
                  <c:v>7.340532514762721E-2</c:v>
                </c:pt>
                <c:pt idx="23">
                  <c:v>9.6989119405963109E-2</c:v>
                </c:pt>
                <c:pt idx="24">
                  <c:v>0.12150361797568321</c:v>
                </c:pt>
                <c:pt idx="25">
                  <c:v>0.14546823492756822</c:v>
                </c:pt>
                <c:pt idx="26">
                  <c:v>0.17448210915149165</c:v>
                </c:pt>
                <c:pt idx="27">
                  <c:v>0.21108350939674914</c:v>
                </c:pt>
                <c:pt idx="28">
                  <c:v>0.2518827283850813</c:v>
                </c:pt>
                <c:pt idx="29">
                  <c:v>0.31651911521516229</c:v>
                </c:pt>
                <c:pt idx="30">
                  <c:v>0.38838888976156749</c:v>
                </c:pt>
                <c:pt idx="31">
                  <c:v>0.47604918743072666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C2-4280-910D-383B3543B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97760"/>
        <c:axId val="735003880"/>
      </c:scatterChart>
      <c:valAx>
        <c:axId val="73500388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4997760"/>
        <c:crosses val="autoZero"/>
        <c:crossBetween val="midCat"/>
      </c:valAx>
      <c:valAx>
        <c:axId val="73499776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388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0.00" "%</c:formatCode>
                <c:ptCount val="32"/>
                <c:pt idx="0">
                  <c:v>0.46369999999999933</c:v>
                </c:pt>
                <c:pt idx="1">
                  <c:v>0.11280000000000001</c:v>
                </c:pt>
                <c:pt idx="2">
                  <c:v>6.5500000000000114E-2</c:v>
                </c:pt>
                <c:pt idx="3">
                  <c:v>0.10268999999999995</c:v>
                </c:pt>
                <c:pt idx="4">
                  <c:v>-4.7399999999999665E-3</c:v>
                </c:pt>
                <c:pt idx="5">
                  <c:v>-0.12814999999999976</c:v>
                </c:pt>
                <c:pt idx="6">
                  <c:v>-0.16408999999999985</c:v>
                </c:pt>
                <c:pt idx="7">
                  <c:v>-0.1511199999999997</c:v>
                </c:pt>
                <c:pt idx="8">
                  <c:v>-9.7779999999999756E-2</c:v>
                </c:pt>
                <c:pt idx="9">
                  <c:v>-4.8880000000000035E-2</c:v>
                </c:pt>
                <c:pt idx="10">
                  <c:v>-1.9589999999999996E-2</c:v>
                </c:pt>
                <c:pt idx="11">
                  <c:v>-5.8000000000002494E-4</c:v>
                </c:pt>
                <c:pt idx="12">
                  <c:v>-6.0000000000000053E-3</c:v>
                </c:pt>
                <c:pt idx="13">
                  <c:v>-1.716899999999999E-2</c:v>
                </c:pt>
                <c:pt idx="14">
                  <c:v>-2.4464999999999959E-2</c:v>
                </c:pt>
                <c:pt idx="15">
                  <c:v>-2.6807999999999998E-2</c:v>
                </c:pt>
                <c:pt idx="16">
                  <c:v>-2.3048999999999986E-2</c:v>
                </c:pt>
                <c:pt idx="17">
                  <c:v>-1.7956E-2</c:v>
                </c:pt>
                <c:pt idx="18">
                  <c:v>-1.225699999999999E-2</c:v>
                </c:pt>
                <c:pt idx="19">
                  <c:v>-7.4979999999999908E-3</c:v>
                </c:pt>
                <c:pt idx="20">
                  <c:v>-3.8606999999999947E-3</c:v>
                </c:pt>
                <c:pt idx="21">
                  <c:v>-1.494399999999993E-3</c:v>
                </c:pt>
                <c:pt idx="22">
                  <c:v>-3.8000000000051881E-6</c:v>
                </c:pt>
                <c:pt idx="23">
                  <c:v>9.5109999999999986E-4</c:v>
                </c:pt>
                <c:pt idx="24">
                  <c:v>1.3517000000000008E-3</c:v>
                </c:pt>
                <c:pt idx="25">
                  <c:v>1.4239999999999999E-3</c:v>
                </c:pt>
                <c:pt idx="26">
                  <c:v>1.36673E-3</c:v>
                </c:pt>
                <c:pt idx="27">
                  <c:v>1.2434100000000003E-3</c:v>
                </c:pt>
                <c:pt idx="28">
                  <c:v>1.0498400000000002E-3</c:v>
                </c:pt>
                <c:pt idx="29">
                  <c:v>8.988799999999999E-4</c:v>
                </c:pt>
                <c:pt idx="30">
                  <c:v>7.2988000000000003E-4</c:v>
                </c:pt>
                <c:pt idx="31">
                  <c:v>5.678329999999999E-4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15-491E-8819-B301127CAF01}"/>
            </c:ext>
          </c:extLst>
        </c:ser>
        <c:ser>
          <c:idx val="1"/>
          <c:order val="1"/>
          <c:tx>
            <c:strRef>
              <c:f>depth_stats_ltc_new!$M$1</c:f>
              <c:strCache>
                <c:ptCount val="1"/>
                <c:pt idx="0">
                  <c:v>n%(w+6)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0.00" "%</c:formatCode>
                <c:ptCount val="32"/>
                <c:pt idx="0">
                  <c:v>0.22329999999999828</c:v>
                </c:pt>
                <c:pt idx="1">
                  <c:v>0.38680000000000092</c:v>
                </c:pt>
                <c:pt idx="2">
                  <c:v>-5.4400000000001114E-3</c:v>
                </c:pt>
                <c:pt idx="3">
                  <c:v>-3.4359999999999502E-2</c:v>
                </c:pt>
                <c:pt idx="4">
                  <c:v>-4.8169999999999824E-2</c:v>
                </c:pt>
                <c:pt idx="5">
                  <c:v>-5.1740000000000563E-2</c:v>
                </c:pt>
                <c:pt idx="6">
                  <c:v>-4.8640000000000239E-2</c:v>
                </c:pt>
                <c:pt idx="7">
                  <c:v>-5.3089999999999637E-2</c:v>
                </c:pt>
                <c:pt idx="8">
                  <c:v>-6.2230000000000008E-2</c:v>
                </c:pt>
                <c:pt idx="9">
                  <c:v>-7.8320000000000167E-2</c:v>
                </c:pt>
                <c:pt idx="10">
                  <c:v>-7.2120000000000184E-2</c:v>
                </c:pt>
                <c:pt idx="11">
                  <c:v>-6.2350000000000128E-2</c:v>
                </c:pt>
                <c:pt idx="12">
                  <c:v>-4.5199999999999907E-2</c:v>
                </c:pt>
                <c:pt idx="13">
                  <c:v>-2.7855999999999992E-2</c:v>
                </c:pt>
                <c:pt idx="14">
                  <c:v>-1.5232999999999941E-2</c:v>
                </c:pt>
                <c:pt idx="15">
                  <c:v>-8.9179999999999815E-3</c:v>
                </c:pt>
                <c:pt idx="16">
                  <c:v>-5.5669999999999886E-3</c:v>
                </c:pt>
                <c:pt idx="17">
                  <c:v>-3.5299999999999776E-3</c:v>
                </c:pt>
                <c:pt idx="18">
                  <c:v>-2.1980000000000055E-3</c:v>
                </c:pt>
                <c:pt idx="19">
                  <c:v>-1.0270000000000001E-3</c:v>
                </c:pt>
                <c:pt idx="20">
                  <c:v>9.380000000000499E-5</c:v>
                </c:pt>
                <c:pt idx="21">
                  <c:v>9.1430000000000677E-4</c:v>
                </c:pt>
                <c:pt idx="22">
                  <c:v>1.4443999999999985E-3</c:v>
                </c:pt>
                <c:pt idx="23">
                  <c:v>1.8552000000000013E-3</c:v>
                </c:pt>
                <c:pt idx="24">
                  <c:v>1.9658000000000002E-3</c:v>
                </c:pt>
                <c:pt idx="25">
                  <c:v>1.8869999999999998E-3</c:v>
                </c:pt>
                <c:pt idx="26">
                  <c:v>1.75113E-3</c:v>
                </c:pt>
                <c:pt idx="27">
                  <c:v>1.54155E-3</c:v>
                </c:pt>
                <c:pt idx="28">
                  <c:v>1.2506300000000004E-3</c:v>
                </c:pt>
                <c:pt idx="29">
                  <c:v>1.0083700000000002E-3</c:v>
                </c:pt>
                <c:pt idx="30">
                  <c:v>7.6095999999999976E-4</c:v>
                </c:pt>
                <c:pt idx="31">
                  <c:v>5.3399300000000008E-4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15-491E-8819-B301127CAF01}"/>
            </c:ext>
          </c:extLst>
        </c:ser>
        <c:ser>
          <c:idx val="2"/>
          <c:order val="2"/>
          <c:tx>
            <c:strRef>
              <c:f>depth_stats_ltc_new!$O$1</c:f>
              <c:strCache>
                <c:ptCount val="1"/>
                <c:pt idx="0">
                  <c:v>n%(w+4)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0.00" "%</c:formatCode>
                <c:ptCount val="32"/>
                <c:pt idx="0">
                  <c:v>-2.0600000000001728E-2</c:v>
                </c:pt>
                <c:pt idx="1">
                  <c:v>-0.24299999999999855</c:v>
                </c:pt>
                <c:pt idx="2">
                  <c:v>3.8499999999999091E-3</c:v>
                </c:pt>
                <c:pt idx="3">
                  <c:v>7.4030000000000484E-2</c:v>
                </c:pt>
                <c:pt idx="4">
                  <c:v>0.11477000000000004</c:v>
                </c:pt>
                <c:pt idx="5">
                  <c:v>0.13654999999999973</c:v>
                </c:pt>
                <c:pt idx="6">
                  <c:v>0.12895000000000012</c:v>
                </c:pt>
                <c:pt idx="7">
                  <c:v>7.280000000000042E-2</c:v>
                </c:pt>
                <c:pt idx="8">
                  <c:v>1.3480000000000381E-2</c:v>
                </c:pt>
                <c:pt idx="9">
                  <c:v>-4.2100000000000026E-2</c:v>
                </c:pt>
                <c:pt idx="10">
                  <c:v>-6.3410000000000188E-2</c:v>
                </c:pt>
                <c:pt idx="11">
                  <c:v>-6.198999999999999E-2</c:v>
                </c:pt>
                <c:pt idx="12">
                  <c:v>-4.872999999999994E-2</c:v>
                </c:pt>
                <c:pt idx="13">
                  <c:v>-3.3370999999999928E-2</c:v>
                </c:pt>
                <c:pt idx="14">
                  <c:v>-2.1546999999999983E-2</c:v>
                </c:pt>
                <c:pt idx="15">
                  <c:v>-1.3643000000000016E-2</c:v>
                </c:pt>
                <c:pt idx="16">
                  <c:v>-8.2509999999999528E-3</c:v>
                </c:pt>
                <c:pt idx="17">
                  <c:v>-4.597999999999991E-3</c:v>
                </c:pt>
                <c:pt idx="18">
                  <c:v>-1.9289999999999863E-3</c:v>
                </c:pt>
                <c:pt idx="19">
                  <c:v>-9.7999999999986986E-5</c:v>
                </c:pt>
                <c:pt idx="20">
                  <c:v>1.1150000000000049E-3</c:v>
                </c:pt>
                <c:pt idx="21">
                  <c:v>1.7455999999999999E-3</c:v>
                </c:pt>
                <c:pt idx="22">
                  <c:v>2.1307999999999952E-3</c:v>
                </c:pt>
                <c:pt idx="23">
                  <c:v>2.3289999999999977E-3</c:v>
                </c:pt>
                <c:pt idx="24">
                  <c:v>2.2997000000000017E-3</c:v>
                </c:pt>
                <c:pt idx="25">
                  <c:v>2.0575000000000003E-3</c:v>
                </c:pt>
                <c:pt idx="26">
                  <c:v>1.7751299999999998E-3</c:v>
                </c:pt>
                <c:pt idx="27">
                  <c:v>1.4554099999999999E-3</c:v>
                </c:pt>
                <c:pt idx="28">
                  <c:v>1.1707600000000003E-3</c:v>
                </c:pt>
                <c:pt idx="29">
                  <c:v>9.3428999999999995E-4</c:v>
                </c:pt>
                <c:pt idx="30">
                  <c:v>6.9222999999999984E-4</c:v>
                </c:pt>
                <c:pt idx="31">
                  <c:v>4.8156300000000006E-4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15-491E-8819-B301127CAF01}"/>
            </c:ext>
          </c:extLst>
        </c:ser>
        <c:ser>
          <c:idx val="3"/>
          <c:order val="3"/>
          <c:tx>
            <c:strRef>
              <c:f>depth_stats_ltc_new!$Q$1</c:f>
              <c:strCache>
                <c:ptCount val="1"/>
                <c:pt idx="0">
                  <c:v>n%(w+5)</c:v>
                </c:pt>
              </c:strCache>
            </c:strRef>
          </c:tx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0.00" "%</c:formatCode>
                <c:ptCount val="32"/>
                <c:pt idx="0">
                  <c:v>3.7099999999998801E-2</c:v>
                </c:pt>
                <c:pt idx="1">
                  <c:v>0.20739999999999981</c:v>
                </c:pt>
                <c:pt idx="2">
                  <c:v>-2.350999999999992E-2</c:v>
                </c:pt>
                <c:pt idx="3">
                  <c:v>-1.467999999999936E-2</c:v>
                </c:pt>
                <c:pt idx="4">
                  <c:v>-1.112999999999964E-2</c:v>
                </c:pt>
                <c:pt idx="5">
                  <c:v>-8.639999999999759E-3</c:v>
                </c:pt>
                <c:pt idx="6">
                  <c:v>-1.1480000000000157E-2</c:v>
                </c:pt>
                <c:pt idx="7">
                  <c:v>-2.0939999999999959E-2</c:v>
                </c:pt>
                <c:pt idx="8">
                  <c:v>-3.2629999999999715E-2</c:v>
                </c:pt>
                <c:pt idx="9">
                  <c:v>-5.0990000000000091E-2</c:v>
                </c:pt>
                <c:pt idx="10">
                  <c:v>-4.614000000000007E-2</c:v>
                </c:pt>
                <c:pt idx="11">
                  <c:v>-3.8790000000000102E-2</c:v>
                </c:pt>
                <c:pt idx="12">
                  <c:v>-2.4569999999999981E-2</c:v>
                </c:pt>
                <c:pt idx="13">
                  <c:v>-1.0178999999999938E-2</c:v>
                </c:pt>
                <c:pt idx="14">
                  <c:v>-4.0699999999993519E-4</c:v>
                </c:pt>
                <c:pt idx="15">
                  <c:v>4.0240000000000276E-3</c:v>
                </c:pt>
                <c:pt idx="16">
                  <c:v>5.2860000000000129E-3</c:v>
                </c:pt>
                <c:pt idx="17">
                  <c:v>5.0740000000000229E-3</c:v>
                </c:pt>
                <c:pt idx="18">
                  <c:v>4.7770000000000035E-3</c:v>
                </c:pt>
                <c:pt idx="19">
                  <c:v>4.4349999999999945E-3</c:v>
                </c:pt>
                <c:pt idx="20">
                  <c:v>4.1174000000000072E-3</c:v>
                </c:pt>
                <c:pt idx="21">
                  <c:v>3.7681000000000103E-3</c:v>
                </c:pt>
                <c:pt idx="22">
                  <c:v>3.3057999999999976E-3</c:v>
                </c:pt>
                <c:pt idx="23">
                  <c:v>2.9920000000000016E-3</c:v>
                </c:pt>
                <c:pt idx="24">
                  <c:v>2.5544000000000018E-3</c:v>
                </c:pt>
                <c:pt idx="25">
                  <c:v>2.0726000000000008E-3</c:v>
                </c:pt>
                <c:pt idx="26">
                  <c:v>1.667430000000001E-3</c:v>
                </c:pt>
                <c:pt idx="27">
                  <c:v>1.3445800000000006E-3</c:v>
                </c:pt>
                <c:pt idx="28">
                  <c:v>1.0593000000000004E-3</c:v>
                </c:pt>
                <c:pt idx="29">
                  <c:v>8.6989999999999984E-4</c:v>
                </c:pt>
                <c:pt idx="30">
                  <c:v>6.8882000000000014E-4</c:v>
                </c:pt>
                <c:pt idx="31">
                  <c:v>5.4124299999999995E-4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A15-491E-8819-B301127CA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0640"/>
        <c:axId val="735001360"/>
      </c:scatterChart>
      <c:valAx>
        <c:axId val="73500136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0640"/>
        <c:crosses val="autoZero"/>
        <c:crossBetween val="midCat"/>
      </c:valAx>
      <c:valAx>
        <c:axId val="73500064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136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depth_stats_stc_new!$N$1</c:f>
              <c:strCache>
                <c:ptCount val="1"/>
                <c:pt idx="0">
                  <c:v>master_old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depth_stats_stc_new!$N$2:$N$33</c:f>
              <c:numCache>
                <c:formatCode>0.00" "%</c:formatCode>
                <c:ptCount val="32"/>
                <c:pt idx="0">
                  <c:v>-1.9624523862136201E-3</c:v>
                </c:pt>
                <c:pt idx="1">
                  <c:v>1.2153671971297797E-3</c:v>
                </c:pt>
                <c:pt idx="2">
                  <c:v>1.6453500519375552E-4</c:v>
                </c:pt>
                <c:pt idx="3">
                  <c:v>7.114261637592989E-4</c:v>
                </c:pt>
                <c:pt idx="4">
                  <c:v>6.5533023078589991E-4</c:v>
                </c:pt>
                <c:pt idx="5">
                  <c:v>2.1538239529661496E-6</c:v>
                </c:pt>
                <c:pt idx="6">
                  <c:v>-1.3563835991659001E-3</c:v>
                </c:pt>
                <c:pt idx="7">
                  <c:v>-4.1331211762523079E-3</c:v>
                </c:pt>
                <c:pt idx="8">
                  <c:v>-3.6229912208223247E-3</c:v>
                </c:pt>
                <c:pt idx="9">
                  <c:v>-3.2089574100651053E-3</c:v>
                </c:pt>
                <c:pt idx="10">
                  <c:v>-2.8663170277680727E-3</c:v>
                </c:pt>
                <c:pt idx="11">
                  <c:v>-4.1832603267250024E-4</c:v>
                </c:pt>
                <c:pt idx="12">
                  <c:v>2.729154422237437E-3</c:v>
                </c:pt>
                <c:pt idx="13">
                  <c:v>7.3790297365593505E-3</c:v>
                </c:pt>
                <c:pt idx="14">
                  <c:v>1.0527615655167688E-2</c:v>
                </c:pt>
                <c:pt idx="15">
                  <c:v>1.3066129881157185E-2</c:v>
                </c:pt>
                <c:pt idx="16">
                  <c:v>2.5946682319991865E-2</c:v>
                </c:pt>
                <c:pt idx="17">
                  <c:v>3.0902663987212531E-2</c:v>
                </c:pt>
                <c:pt idx="18">
                  <c:v>4.4873017756911437E-2</c:v>
                </c:pt>
                <c:pt idx="19">
                  <c:v>7.5501226227033591E-2</c:v>
                </c:pt>
                <c:pt idx="20">
                  <c:v>0.10665694725920183</c:v>
                </c:pt>
                <c:pt idx="21">
                  <c:v>0.15783055842723304</c:v>
                </c:pt>
                <c:pt idx="22">
                  <c:v>0.20028833329390672</c:v>
                </c:pt>
                <c:pt idx="23">
                  <c:v>0.30387712915833287</c:v>
                </c:pt>
                <c:pt idx="24">
                  <c:v>0.44379488301677217</c:v>
                </c:pt>
                <c:pt idx="25">
                  <c:v>0.6429317692808949</c:v>
                </c:pt>
                <c:pt idx="26">
                  <c:v>0.95858921479708226</c:v>
                </c:pt>
                <c:pt idx="27">
                  <c:v>1.3141255193127357</c:v>
                </c:pt>
                <c:pt idx="28">
                  <c:v>1.7054128196746685</c:v>
                </c:pt>
                <c:pt idx="29">
                  <c:v>2.102405446831991</c:v>
                </c:pt>
                <c:pt idx="30">
                  <c:v>2.6185298996920103</c:v>
                </c:pt>
                <c:pt idx="31">
                  <c:v>3.9309189700092926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B0-4D2A-91B7-D0AEB6A0225A}"/>
            </c:ext>
          </c:extLst>
        </c:ser>
        <c:ser>
          <c:idx val="6"/>
          <c:order val="1"/>
          <c:tx>
            <c:strRef>
              <c:f>depth_stats_stc_new!$Z$1</c:f>
              <c:strCache>
                <c:ptCount val="1"/>
                <c:pt idx="0">
                  <c:v>n%(w+5)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depth_stats_stc_new!$Z$2:$Z$33</c:f>
              <c:numCache>
                <c:formatCode>0.00" "%</c:formatCode>
                <c:ptCount val="32"/>
                <c:pt idx="0">
                  <c:v>3.4855255649088868E-3</c:v>
                </c:pt>
                <c:pt idx="1">
                  <c:v>8.0724761142865198E-3</c:v>
                </c:pt>
                <c:pt idx="2">
                  <c:v>-4.9733099139577241E-3</c:v>
                </c:pt>
                <c:pt idx="3">
                  <c:v>-5.3004076349396634E-3</c:v>
                </c:pt>
                <c:pt idx="4">
                  <c:v>-4.9335816020759093E-3</c:v>
                </c:pt>
                <c:pt idx="5">
                  <c:v>-7.2653388748555869E-3</c:v>
                </c:pt>
                <c:pt idx="6">
                  <c:v>-7.7825587409081631E-3</c:v>
                </c:pt>
                <c:pt idx="7">
                  <c:v>-1.0932210762603312E-2</c:v>
                </c:pt>
                <c:pt idx="8">
                  <c:v>-1.0099679060185496E-2</c:v>
                </c:pt>
                <c:pt idx="9">
                  <c:v>-1.0337849811579813E-2</c:v>
                </c:pt>
                <c:pt idx="10">
                  <c:v>-1.084596845822855E-2</c:v>
                </c:pt>
                <c:pt idx="11">
                  <c:v>-1.0519464497709657E-2</c:v>
                </c:pt>
                <c:pt idx="12">
                  <c:v>-1.142436218835792E-2</c:v>
                </c:pt>
                <c:pt idx="13">
                  <c:v>-1.7175235285417589E-2</c:v>
                </c:pt>
                <c:pt idx="14">
                  <c:v>-1.9935867833415166E-2</c:v>
                </c:pt>
                <c:pt idx="15">
                  <c:v>-2.7507891978831855E-2</c:v>
                </c:pt>
                <c:pt idx="16">
                  <c:v>-3.5414590365506537E-2</c:v>
                </c:pt>
                <c:pt idx="17">
                  <c:v>-5.053755725393394E-2</c:v>
                </c:pt>
                <c:pt idx="18">
                  <c:v>-6.549076299347778E-2</c:v>
                </c:pt>
                <c:pt idx="19">
                  <c:v>-7.1460330767885161E-2</c:v>
                </c:pt>
                <c:pt idx="20">
                  <c:v>-7.3572418220426261E-2</c:v>
                </c:pt>
                <c:pt idx="21">
                  <c:v>-6.4548471983013833E-2</c:v>
                </c:pt>
                <c:pt idx="22">
                  <c:v>-6.5657326726948462E-2</c:v>
                </c:pt>
                <c:pt idx="23">
                  <c:v>-1.8798330825330112E-2</c:v>
                </c:pt>
                <c:pt idx="24">
                  <c:v>4.6719118842386109E-2</c:v>
                </c:pt>
                <c:pt idx="25">
                  <c:v>0.19132282008726254</c:v>
                </c:pt>
                <c:pt idx="26">
                  <c:v>0.37851169387365058</c:v>
                </c:pt>
                <c:pt idx="27">
                  <c:v>0.66289107985729068</c:v>
                </c:pt>
                <c:pt idx="28">
                  <c:v>0.93015236938720847</c:v>
                </c:pt>
                <c:pt idx="29">
                  <c:v>1.2685614536552645</c:v>
                </c:pt>
                <c:pt idx="30">
                  <c:v>1.6802885049230287</c:v>
                </c:pt>
                <c:pt idx="31">
                  <c:v>2.646034081307068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7B0-4D2A-91B7-D0AEB6A0225A}"/>
            </c:ext>
          </c:extLst>
        </c:ser>
        <c:ser>
          <c:idx val="7"/>
          <c:order val="7"/>
          <c:tx>
            <c:strRef>
              <c:f>depth_stats_stc_new!$AB$1</c:f>
              <c:strCache>
                <c:ptCount val="1"/>
                <c:pt idx="0">
                  <c:v>n%(razor+64pc)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depth_stats_stc_new!$AB$2:$AB$33</c:f>
              <c:numCache>
                <c:formatCode>0.00" "%</c:formatCode>
                <c:ptCount val="32"/>
                <c:pt idx="0">
                  <c:v>-5.5008461105359174E-3</c:v>
                </c:pt>
                <c:pt idx="1">
                  <c:v>2.0711749314905603E-4</c:v>
                </c:pt>
                <c:pt idx="2">
                  <c:v>-1.8946855199408752E-3</c:v>
                </c:pt>
                <c:pt idx="3">
                  <c:v>-3.8874172935932094E-4</c:v>
                </c:pt>
                <c:pt idx="4">
                  <c:v>1.9518118520616135E-3</c:v>
                </c:pt>
                <c:pt idx="5">
                  <c:v>3.6977361277705789E-3</c:v>
                </c:pt>
                <c:pt idx="6">
                  <c:v>4.8661212528031683E-3</c:v>
                </c:pt>
                <c:pt idx="7">
                  <c:v>5.2058590635455371E-3</c:v>
                </c:pt>
                <c:pt idx="8">
                  <c:v>5.5018519181937453E-3</c:v>
                </c:pt>
                <c:pt idx="9">
                  <c:v>3.1583308843267099E-3</c:v>
                </c:pt>
                <c:pt idx="10">
                  <c:v>4.4931060833998671E-3</c:v>
                </c:pt>
                <c:pt idx="11">
                  <c:v>5.7883660648835322E-3</c:v>
                </c:pt>
                <c:pt idx="12">
                  <c:v>1.0064570217886315E-2</c:v>
                </c:pt>
                <c:pt idx="13">
                  <c:v>1.6896304770250004E-2</c:v>
                </c:pt>
                <c:pt idx="14">
                  <c:v>1.9450966055460595E-2</c:v>
                </c:pt>
                <c:pt idx="15">
                  <c:v>2.6792667498525269E-2</c:v>
                </c:pt>
                <c:pt idx="16">
                  <c:v>3.8225605369986981E-2</c:v>
                </c:pt>
                <c:pt idx="17">
                  <c:v>5.1448700763762734E-2</c:v>
                </c:pt>
                <c:pt idx="18">
                  <c:v>6.885101281069117E-2</c:v>
                </c:pt>
                <c:pt idx="19">
                  <c:v>8.404153648480861E-2</c:v>
                </c:pt>
                <c:pt idx="20">
                  <c:v>0.11001306414340206</c:v>
                </c:pt>
                <c:pt idx="21">
                  <c:v>0.12933146714284494</c:v>
                </c:pt>
                <c:pt idx="22">
                  <c:v>0.15214103391322276</c:v>
                </c:pt>
                <c:pt idx="23">
                  <c:v>0.20045714809713822</c:v>
                </c:pt>
                <c:pt idx="24">
                  <c:v>0.26900004546973122</c:v>
                </c:pt>
                <c:pt idx="25">
                  <c:v>0.38803861583660293</c:v>
                </c:pt>
                <c:pt idx="26">
                  <c:v>0.554912591644662</c:v>
                </c:pt>
                <c:pt idx="27">
                  <c:v>0.74663005983946196</c:v>
                </c:pt>
                <c:pt idx="28">
                  <c:v>0.94725233489994487</c:v>
                </c:pt>
                <c:pt idx="29">
                  <c:v>1.1973270838818166</c:v>
                </c:pt>
                <c:pt idx="30">
                  <c:v>1.4978610961379548</c:v>
                </c:pt>
                <c:pt idx="31">
                  <c:v>2.5270941015322101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7B0-4D2A-91B7-D0AEB6A0225A}"/>
            </c:ext>
          </c:extLst>
        </c:ser>
        <c:ser>
          <c:idx val="8"/>
          <c:order val="8"/>
          <c:tx>
            <c:strRef>
              <c:f>depth_stats_stc_new!$AD$1</c:f>
              <c:strCache>
                <c:ptCount val="1"/>
                <c:pt idx="0">
                  <c:v>n%(razor+128pc)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depth_stats_stc_new!$AD$2:$AD$33</c:f>
              <c:numCache>
                <c:formatCode>#,000" "%</c:formatCode>
                <c:ptCount val="32"/>
                <c:pt idx="0">
                  <c:v>-3.0331443576048223E-3</c:v>
                </c:pt>
                <c:pt idx="1">
                  <c:v>9.9510802461377779E-4</c:v>
                </c:pt>
                <c:pt idx="2">
                  <c:v>-6.7826332174281134E-4</c:v>
                </c:pt>
                <c:pt idx="3">
                  <c:v>2.1269332853313117E-4</c:v>
                </c:pt>
                <c:pt idx="4">
                  <c:v>1.307006222490914E-3</c:v>
                </c:pt>
                <c:pt idx="5">
                  <c:v>9.4508300190976335E-4</c:v>
                </c:pt>
                <c:pt idx="6">
                  <c:v>1.8750375010909703E-3</c:v>
                </c:pt>
                <c:pt idx="7">
                  <c:v>1.1836560521745199E-3</c:v>
                </c:pt>
                <c:pt idx="8">
                  <c:v>1.5340634763596483E-3</c:v>
                </c:pt>
                <c:pt idx="9">
                  <c:v>1.9164019992912174E-3</c:v>
                </c:pt>
                <c:pt idx="10">
                  <c:v>1.5317004548552893E-3</c:v>
                </c:pt>
                <c:pt idx="11">
                  <c:v>1.1453174909678288E-3</c:v>
                </c:pt>
                <c:pt idx="12">
                  <c:v>4.7174971846197788E-3</c:v>
                </c:pt>
                <c:pt idx="13">
                  <c:v>5.295508954159367E-3</c:v>
                </c:pt>
                <c:pt idx="14">
                  <c:v>2.5921210294617136E-3</c:v>
                </c:pt>
                <c:pt idx="15">
                  <c:v>5.4010755684799072E-3</c:v>
                </c:pt>
                <c:pt idx="16">
                  <c:v>1.3725374732120432E-2</c:v>
                </c:pt>
                <c:pt idx="17">
                  <c:v>1.9495067558588985E-2</c:v>
                </c:pt>
                <c:pt idx="18">
                  <c:v>1.7604815437830545E-2</c:v>
                </c:pt>
                <c:pt idx="19">
                  <c:v>3.2019916450943153E-2</c:v>
                </c:pt>
                <c:pt idx="20">
                  <c:v>4.5315253528511068E-2</c:v>
                </c:pt>
                <c:pt idx="21">
                  <c:v>6.4463396353058755E-2</c:v>
                </c:pt>
                <c:pt idx="22">
                  <c:v>8.3861913077254435E-2</c:v>
                </c:pt>
                <c:pt idx="23">
                  <c:v>0.12615759538149973</c:v>
                </c:pt>
                <c:pt idx="24">
                  <c:v>0.16724832750238683</c:v>
                </c:pt>
                <c:pt idx="25">
                  <c:v>0.26815426150294908</c:v>
                </c:pt>
                <c:pt idx="26">
                  <c:v>0.3775136546737059</c:v>
                </c:pt>
                <c:pt idx="27">
                  <c:v>0.51175264417567679</c:v>
                </c:pt>
                <c:pt idx="28">
                  <c:v>0.75924765511333092</c:v>
                </c:pt>
                <c:pt idx="29">
                  <c:v>0.96631249380458328</c:v>
                </c:pt>
                <c:pt idx="30">
                  <c:v>1.3817246145496753</c:v>
                </c:pt>
                <c:pt idx="31">
                  <c:v>2.486608275024043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7B0-4D2A-91B7-D0AEB6A02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4960"/>
        <c:axId val="73500424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2"/>
                <c:tx>
                  <c:strRef>
                    <c:extLst>
                      <c:ext uri="{02D57815-91ED-43cb-92C2-25804820EDAC}">
                        <c15:formulaRef>
                          <c15:sqref>depth_stats_stc_new!$P$1</c15:sqref>
                        </c15:formulaRef>
                      </c:ext>
                    </c:extLst>
                    <c:strCache>
                      <c:ptCount val="1"/>
                      <c:pt idx="0">
                        <c:v>n%(w+8)</c:v>
                      </c:pt>
                    </c:strCache>
                  </c:strRef>
                </c:tx>
                <c:spPr>
                  <a:ln w="19046" cap="rnd">
                    <a:solidFill>
                      <a:srgbClr val="ED7D31"/>
                    </a:solidFill>
                    <a:prstDash val="solid"/>
                    <a:round/>
                  </a:ln>
                </c:spPr>
                <c:marker>
                  <c:symbol val="circle"/>
                  <c:size val="5"/>
                </c:marker>
                <c:xVal>
                  <c:numRef>
                    <c:extLst>
                      <c:ext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depth_stats_stc_new!$P$2:$P$33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1.7923221448334914E-4</c:v>
                      </c:pt>
                      <c:pt idx="1">
                        <c:v>1.6423982701292417E-3</c:v>
                      </c:pt>
                      <c:pt idx="2">
                        <c:v>-6.1292145731597358E-3</c:v>
                      </c:pt>
                      <c:pt idx="3">
                        <c:v>-3.3631470847823586E-3</c:v>
                      </c:pt>
                      <c:pt idx="4">
                        <c:v>-2.6806664361855859E-4</c:v>
                      </c:pt>
                      <c:pt idx="5">
                        <c:v>2.4981264181866969E-4</c:v>
                      </c:pt>
                      <c:pt idx="6">
                        <c:v>2.5361793023703783E-5</c:v>
                      </c:pt>
                      <c:pt idx="7">
                        <c:v>-7.9189785247679723E-5</c:v>
                      </c:pt>
                      <c:pt idx="8">
                        <c:v>1.0421069553933071E-3</c:v>
                      </c:pt>
                      <c:pt idx="9">
                        <c:v>5.0600374510390012E-4</c:v>
                      </c:pt>
                      <c:pt idx="10">
                        <c:v>2.4838577977813747E-3</c:v>
                      </c:pt>
                      <c:pt idx="11">
                        <c:v>5.7800495378650951E-3</c:v>
                      </c:pt>
                      <c:pt idx="12">
                        <c:v>3.9520933967741589E-3</c:v>
                      </c:pt>
                      <c:pt idx="13">
                        <c:v>1.654142974560624E-3</c:v>
                      </c:pt>
                      <c:pt idx="14">
                        <c:v>1.7698030863670944E-3</c:v>
                      </c:pt>
                      <c:pt idx="15">
                        <c:v>2.0002218494541424E-4</c:v>
                      </c:pt>
                      <c:pt idx="16">
                        <c:v>6.2366682751506808E-3</c:v>
                      </c:pt>
                      <c:pt idx="17">
                        <c:v>6.0664298432686614E-3</c:v>
                      </c:pt>
                      <c:pt idx="18">
                        <c:v>1.5669004127918384E-3</c:v>
                      </c:pt>
                      <c:pt idx="19">
                        <c:v>6.2539455098535868E-3</c:v>
                      </c:pt>
                      <c:pt idx="20">
                        <c:v>1.7669707733388496E-2</c:v>
                      </c:pt>
                      <c:pt idx="21">
                        <c:v>2.743782824812957E-2</c:v>
                      </c:pt>
                      <c:pt idx="22">
                        <c:v>3.9024761809278274E-2</c:v>
                      </c:pt>
                      <c:pt idx="23">
                        <c:v>6.0454003530404421E-2</c:v>
                      </c:pt>
                      <c:pt idx="24">
                        <c:v>0.11402231163818932</c:v>
                      </c:pt>
                      <c:pt idx="25">
                        <c:v>0.21600004619880586</c:v>
                      </c:pt>
                      <c:pt idx="26">
                        <c:v>0.3717207338676296</c:v>
                      </c:pt>
                      <c:pt idx="27">
                        <c:v>0.5493108255550192</c:v>
                      </c:pt>
                      <c:pt idx="28">
                        <c:v>0.79799705191444659</c:v>
                      </c:pt>
                      <c:pt idx="29">
                        <c:v>1.1941639528797925</c:v>
                      </c:pt>
                      <c:pt idx="30">
                        <c:v>1.5629643819096248</c:v>
                      </c:pt>
                      <c:pt idx="31">
                        <c:v>2.5335919456954947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07B0-4D2A-91B7-D0AEB6A0225A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depth_stats_stc_new!$R$1</c15:sqref>
                        </c15:formulaRef>
                      </c:ext>
                    </c:extLst>
                    <c:strCache>
                      <c:ptCount val="1"/>
                      <c:pt idx="0">
                        <c:v>n%(w+16)</c:v>
                      </c:pt>
                    </c:strCache>
                  </c:strRef>
                </c:tx>
                <c:spPr>
                  <a:ln w="19046" cap="rnd">
                    <a:solidFill>
                      <a:srgbClr val="A5A5A5"/>
                    </a:solidFill>
                    <a:prstDash val="solid"/>
                    <a:round/>
                  </a:ln>
                </c:spPr>
                <c:marker>
                  <c:symbol val="circle"/>
                  <c:size val="5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depth_stats_stc_new!$R$2:$R$33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9.8537988019220535E-4</c:v>
                      </c:pt>
                      <c:pt idx="1">
                        <c:v>8.3938911384011661E-3</c:v>
                      </c:pt>
                      <c:pt idx="2">
                        <c:v>-5.6948601871580351E-3</c:v>
                      </c:pt>
                      <c:pt idx="3">
                        <c:v>-5.9249813968684784E-3</c:v>
                      </c:pt>
                      <c:pt idx="4">
                        <c:v>-3.6184949711501879E-3</c:v>
                      </c:pt>
                      <c:pt idx="5">
                        <c:v>-4.3385888878566536E-3</c:v>
                      </c:pt>
                      <c:pt idx="6">
                        <c:v>-5.9013895917368053E-3</c:v>
                      </c:pt>
                      <c:pt idx="7">
                        <c:v>-8.1063633443183569E-3</c:v>
                      </c:pt>
                      <c:pt idx="8">
                        <c:v>-6.5358229334364637E-3</c:v>
                      </c:pt>
                      <c:pt idx="9">
                        <c:v>-7.1824355092584558E-3</c:v>
                      </c:pt>
                      <c:pt idx="10">
                        <c:v>-4.8520726023774663E-3</c:v>
                      </c:pt>
                      <c:pt idx="11">
                        <c:v>-9.3367122646691447E-3</c:v>
                      </c:pt>
                      <c:pt idx="12">
                        <c:v>-1.1536264226233675E-2</c:v>
                      </c:pt>
                      <c:pt idx="13">
                        <c:v>-1.643990079383939E-2</c:v>
                      </c:pt>
                      <c:pt idx="14">
                        <c:v>-2.1504969669451368E-2</c:v>
                      </c:pt>
                      <c:pt idx="15">
                        <c:v>-2.230985954986231E-2</c:v>
                      </c:pt>
                      <c:pt idx="16">
                        <c:v>-1.9827859628061439E-2</c:v>
                      </c:pt>
                      <c:pt idx="17">
                        <c:v>-2.8102791200672605E-2</c:v>
                      </c:pt>
                      <c:pt idx="18">
                        <c:v>-3.5920375502224822E-2</c:v>
                      </c:pt>
                      <c:pt idx="19">
                        <c:v>-4.1690475146986206E-2</c:v>
                      </c:pt>
                      <c:pt idx="20">
                        <c:v>-5.9662601460046982E-2</c:v>
                      </c:pt>
                      <c:pt idx="21">
                        <c:v>-7.7180715989944915E-2</c:v>
                      </c:pt>
                      <c:pt idx="22">
                        <c:v>-0.10730103317487139</c:v>
                      </c:pt>
                      <c:pt idx="23">
                        <c:v>-0.13243955399145158</c:v>
                      </c:pt>
                      <c:pt idx="24">
                        <c:v>-0.14544173491493328</c:v>
                      </c:pt>
                      <c:pt idx="25">
                        <c:v>-0.17913231810803509</c:v>
                      </c:pt>
                      <c:pt idx="26">
                        <c:v>-0.17413808576678136</c:v>
                      </c:pt>
                      <c:pt idx="27">
                        <c:v>-0.19936072931455939</c:v>
                      </c:pt>
                      <c:pt idx="28">
                        <c:v>-0.17514839474048038</c:v>
                      </c:pt>
                      <c:pt idx="29">
                        <c:v>-0.21988980182027085</c:v>
                      </c:pt>
                      <c:pt idx="30">
                        <c:v>-0.24168889405735072</c:v>
                      </c:pt>
                      <c:pt idx="31">
                        <c:v>0.49871242915092928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07B0-4D2A-91B7-D0AEB6A0225A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depth_stats_stc_new!$T$1</c15:sqref>
                        </c15:formulaRef>
                      </c:ext>
                    </c:extLst>
                    <c:strCache>
                      <c:ptCount val="1"/>
                      <c:pt idx="0">
                        <c:v>n%(w+10)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depth_stats_stc_new!$T$2:$T$33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-1.3415271877477153E-3</c:v>
                      </c:pt>
                      <c:pt idx="1">
                        <c:v>7.0810720691256712E-3</c:v>
                      </c:pt>
                      <c:pt idx="2">
                        <c:v>-5.338126363131579E-3</c:v>
                      </c:pt>
                      <c:pt idx="3">
                        <c:v>-4.3899948252223986E-3</c:v>
                      </c:pt>
                      <c:pt idx="4">
                        <c:v>-5.0747602492833277E-3</c:v>
                      </c:pt>
                      <c:pt idx="5">
                        <c:v>-5.6741693115749392E-3</c:v>
                      </c:pt>
                      <c:pt idx="6">
                        <c:v>-6.1678861557918907E-3</c:v>
                      </c:pt>
                      <c:pt idx="7">
                        <c:v>-5.9636316868505457E-3</c:v>
                      </c:pt>
                      <c:pt idx="8">
                        <c:v>-4.859701893371593E-3</c:v>
                      </c:pt>
                      <c:pt idx="9">
                        <c:v>-4.2504045567735016E-3</c:v>
                      </c:pt>
                      <c:pt idx="10">
                        <c:v>-4.6731291352537507E-3</c:v>
                      </c:pt>
                      <c:pt idx="11">
                        <c:v>-2.0095628429179502E-3</c:v>
                      </c:pt>
                      <c:pt idx="12">
                        <c:v>1.1902003366863478E-3</c:v>
                      </c:pt>
                      <c:pt idx="13">
                        <c:v>2.7371854331671996E-3</c:v>
                      </c:pt>
                      <c:pt idx="14">
                        <c:v>9.4068705003186315E-3</c:v>
                      </c:pt>
                      <c:pt idx="15">
                        <c:v>1.5959004212548811E-2</c:v>
                      </c:pt>
                      <c:pt idx="16">
                        <c:v>2.6019651052922033E-2</c:v>
                      </c:pt>
                      <c:pt idx="17">
                        <c:v>3.0765664548695781E-2</c:v>
                      </c:pt>
                      <c:pt idx="18">
                        <c:v>4.0090910810047564E-2</c:v>
                      </c:pt>
                      <c:pt idx="19">
                        <c:v>6.0372314822773276E-2</c:v>
                      </c:pt>
                      <c:pt idx="20">
                        <c:v>7.3505242966149353E-2</c:v>
                      </c:pt>
                      <c:pt idx="21">
                        <c:v>8.8047163401413719E-2</c:v>
                      </c:pt>
                      <c:pt idx="22">
                        <c:v>9.4276529809377507E-2</c:v>
                      </c:pt>
                      <c:pt idx="23">
                        <c:v>0.10879357010952173</c:v>
                      </c:pt>
                      <c:pt idx="24">
                        <c:v>0.11977715717730675</c:v>
                      </c:pt>
                      <c:pt idx="25">
                        <c:v>0.15630668486795418</c:v>
                      </c:pt>
                      <c:pt idx="26">
                        <c:v>0.19323914559427369</c:v>
                      </c:pt>
                      <c:pt idx="27">
                        <c:v>0.21604711897874118</c:v>
                      </c:pt>
                      <c:pt idx="28">
                        <c:v>9.3635605033993485E-2</c:v>
                      </c:pt>
                      <c:pt idx="29">
                        <c:v>-0.10475942499288848</c:v>
                      </c:pt>
                      <c:pt idx="30">
                        <c:v>-0.43127997909161486</c:v>
                      </c:pt>
                      <c:pt idx="31">
                        <c:v>-0.28817867636652394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7B0-4D2A-91B7-D0AEB6A0225A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depth_stats_stc_new!$V$1</c15:sqref>
                        </c15:formulaRef>
                      </c:ext>
                    </c:extLst>
                    <c:strCache>
                      <c:ptCount val="1"/>
                      <c:pt idx="0">
                        <c:v>n%(w+6)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depth_stats_stc_new!$V$2:$V$33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1.8840652870713015E-3</c:v>
                      </c:pt>
                      <c:pt idx="1">
                        <c:v>4.4169903983348746E-3</c:v>
                      </c:pt>
                      <c:pt idx="2">
                        <c:v>-7.9155715156251638E-3</c:v>
                      </c:pt>
                      <c:pt idx="3">
                        <c:v>-7.0681822852693976E-3</c:v>
                      </c:pt>
                      <c:pt idx="4">
                        <c:v>-5.1088408401467333E-3</c:v>
                      </c:pt>
                      <c:pt idx="5">
                        <c:v>-4.1504089656665411E-3</c:v>
                      </c:pt>
                      <c:pt idx="6">
                        <c:v>-4.0350701587044124E-3</c:v>
                      </c:pt>
                      <c:pt idx="7">
                        <c:v>-5.267712136144409E-3</c:v>
                      </c:pt>
                      <c:pt idx="8">
                        <c:v>-5.0082100059002377E-3</c:v>
                      </c:pt>
                      <c:pt idx="9">
                        <c:v>-3.6152467749357431E-3</c:v>
                      </c:pt>
                      <c:pt idx="10">
                        <c:v>-1.1328056604311687E-3</c:v>
                      </c:pt>
                      <c:pt idx="11">
                        <c:v>1.7049590009030335E-3</c:v>
                      </c:pt>
                      <c:pt idx="12">
                        <c:v>5.3082893799847597E-3</c:v>
                      </c:pt>
                      <c:pt idx="13">
                        <c:v>7.4413724311747087E-3</c:v>
                      </c:pt>
                      <c:pt idx="14">
                        <c:v>1.2070686718985812E-2</c:v>
                      </c:pt>
                      <c:pt idx="15">
                        <c:v>1.3970379917654041E-2</c:v>
                      </c:pt>
                      <c:pt idx="16">
                        <c:v>2.196463001598703E-2</c:v>
                      </c:pt>
                      <c:pt idx="17">
                        <c:v>2.9330609665227048E-2</c:v>
                      </c:pt>
                      <c:pt idx="18">
                        <c:v>3.9019610831274587E-2</c:v>
                      </c:pt>
                      <c:pt idx="19">
                        <c:v>5.5424365063579728E-2</c:v>
                      </c:pt>
                      <c:pt idx="20">
                        <c:v>8.0548322727400201E-2</c:v>
                      </c:pt>
                      <c:pt idx="21">
                        <c:v>0.11447723017995948</c:v>
                      </c:pt>
                      <c:pt idx="22">
                        <c:v>0.14010255791205317</c:v>
                      </c:pt>
                      <c:pt idx="23">
                        <c:v>0.16345799652403059</c:v>
                      </c:pt>
                      <c:pt idx="24">
                        <c:v>0.22504263627125987</c:v>
                      </c:pt>
                      <c:pt idx="25">
                        <c:v>0.33529277036746841</c:v>
                      </c:pt>
                      <c:pt idx="26">
                        <c:v>0.51139742866589888</c:v>
                      </c:pt>
                      <c:pt idx="27">
                        <c:v>0.76229421851498991</c:v>
                      </c:pt>
                      <c:pt idx="28">
                        <c:v>1.0233352290202369</c:v>
                      </c:pt>
                      <c:pt idx="29">
                        <c:v>1.4423607529600897</c:v>
                      </c:pt>
                      <c:pt idx="30">
                        <c:v>1.8345156052157261</c:v>
                      </c:pt>
                      <c:pt idx="31">
                        <c:v>2.9964459767491167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07B0-4D2A-91B7-D0AEB6A0225A}"/>
                  </c:ext>
                </c:extLst>
              </c15:ser>
            </c15:filteredScatterSeries>
            <c15:filteredScatterSeries>
              <c15:ser>
                <c:idx val="5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depth_stats_stc_new!$X$1</c15:sqref>
                        </c15:formulaRef>
                      </c:ext>
                    </c:extLst>
                    <c:strCache>
                      <c:ptCount val="1"/>
                      <c:pt idx="0">
                        <c:v>n%(w+4)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depth_stats_stc_new!$X$2:$X$33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-5.9290006583316845E-3</c:v>
                      </c:pt>
                      <c:pt idx="1">
                        <c:v>1.0918945453308737E-3</c:v>
                      </c:pt>
                      <c:pt idx="2">
                        <c:v>2.6370969682698586E-4</c:v>
                      </c:pt>
                      <c:pt idx="3">
                        <c:v>1.3305586896983357E-3</c:v>
                      </c:pt>
                      <c:pt idx="4">
                        <c:v>1.8003198977674106E-3</c:v>
                      </c:pt>
                      <c:pt idx="5">
                        <c:v>2.4802832449442036E-3</c:v>
                      </c:pt>
                      <c:pt idx="6">
                        <c:v>2.7494153357947582E-3</c:v>
                      </c:pt>
                      <c:pt idx="7">
                        <c:v>2.1254504806449415E-3</c:v>
                      </c:pt>
                      <c:pt idx="8">
                        <c:v>3.0330378198670793E-3</c:v>
                      </c:pt>
                      <c:pt idx="9">
                        <c:v>4.4339923969644035E-3</c:v>
                      </c:pt>
                      <c:pt idx="10">
                        <c:v>4.3981221830994843E-3</c:v>
                      </c:pt>
                      <c:pt idx="11">
                        <c:v>7.5582118523548347E-3</c:v>
                      </c:pt>
                      <c:pt idx="12">
                        <c:v>1.0050042359320305E-2</c:v>
                      </c:pt>
                      <c:pt idx="13">
                        <c:v>1.1872121821030757E-2</c:v>
                      </c:pt>
                      <c:pt idx="14">
                        <c:v>1.2863540319999034E-2</c:v>
                      </c:pt>
                      <c:pt idx="15">
                        <c:v>1.5669018906685483E-2</c:v>
                      </c:pt>
                      <c:pt idx="16">
                        <c:v>2.1248655005063011E-2</c:v>
                      </c:pt>
                      <c:pt idx="17">
                        <c:v>2.9659848851322224E-2</c:v>
                      </c:pt>
                      <c:pt idx="18">
                        <c:v>3.7731033016172422E-2</c:v>
                      </c:pt>
                      <c:pt idx="19">
                        <c:v>3.5684230982879317E-2</c:v>
                      </c:pt>
                      <c:pt idx="20">
                        <c:v>5.6204059677985807E-2</c:v>
                      </c:pt>
                      <c:pt idx="21">
                        <c:v>7.7176036683581195E-2</c:v>
                      </c:pt>
                      <c:pt idx="22">
                        <c:v>9.3463385049171066E-2</c:v>
                      </c:pt>
                      <c:pt idx="23">
                        <c:v>0.15008430550396135</c:v>
                      </c:pt>
                      <c:pt idx="24">
                        <c:v>0.19961422608587398</c:v>
                      </c:pt>
                      <c:pt idx="25">
                        <c:v>0.30667244882754741</c:v>
                      </c:pt>
                      <c:pt idx="26">
                        <c:v>0.42650004566604593</c:v>
                      </c:pt>
                      <c:pt idx="27">
                        <c:v>0.62912078121332371</c:v>
                      </c:pt>
                      <c:pt idx="28">
                        <c:v>0.83218059072294892</c:v>
                      </c:pt>
                      <c:pt idx="29">
                        <c:v>1.1066312210270119</c:v>
                      </c:pt>
                      <c:pt idx="30">
                        <c:v>1.3461989833604999</c:v>
                      </c:pt>
                      <c:pt idx="31">
                        <c:v>2.2560190538765479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07B0-4D2A-91B7-D0AEB6A0225A}"/>
                  </c:ext>
                </c:extLst>
              </c15:ser>
            </c15:filteredScatterSeries>
          </c:ext>
        </c:extLst>
      </c:scatterChart>
      <c:valAx>
        <c:axId val="73500424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4960"/>
        <c:crosses val="autoZero"/>
        <c:crossBetween val="midCat"/>
      </c:valAx>
      <c:valAx>
        <c:axId val="73500496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424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depth_stats_stc_new!$O$1</c:f>
              <c:strCache>
                <c:ptCount val="1"/>
                <c:pt idx="0">
                  <c:v>master_old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depth_stats_stc_new!$O$2:$O$33</c:f>
              <c:numCache>
                <c:formatCode>0.00" "%</c:formatCode>
                <c:ptCount val="32"/>
                <c:pt idx="0">
                  <c:v>-5.250000000000199E-2</c:v>
                </c:pt>
                <c:pt idx="1">
                  <c:v>3.6400000000000432E-2</c:v>
                </c:pt>
                <c:pt idx="2">
                  <c:v>1.4099999999999113E-3</c:v>
                </c:pt>
                <c:pt idx="3">
                  <c:v>5.4199999999999804E-3</c:v>
                </c:pt>
                <c:pt idx="4">
                  <c:v>4.0599999999999525E-3</c:v>
                </c:pt>
                <c:pt idx="5">
                  <c:v>9.9999999996214228E-6</c:v>
                </c:pt>
                <c:pt idx="6">
                  <c:v>-4.809999999999981E-3</c:v>
                </c:pt>
                <c:pt idx="7">
                  <c:v>-1.197999999999988E-2</c:v>
                </c:pt>
                <c:pt idx="8">
                  <c:v>-8.8099999999999845E-3</c:v>
                </c:pt>
                <c:pt idx="9">
                  <c:v>-6.3299999999999468E-3</c:v>
                </c:pt>
                <c:pt idx="10">
                  <c:v>-4.5000000000001705E-3</c:v>
                </c:pt>
                <c:pt idx="11">
                  <c:v>-4.9999999999994493E-4</c:v>
                </c:pt>
                <c:pt idx="12">
                  <c:v>2.4209999999998955E-3</c:v>
                </c:pt>
                <c:pt idx="13">
                  <c:v>4.5990000000000197E-3</c:v>
                </c:pt>
                <c:pt idx="14">
                  <c:v>4.4690000000000007E-3</c:v>
                </c:pt>
                <c:pt idx="15">
                  <c:v>3.6159999999999526E-3</c:v>
                </c:pt>
                <c:pt idx="16">
                  <c:v>4.5630000000000115E-3</c:v>
                </c:pt>
                <c:pt idx="17">
                  <c:v>3.3320000000000016E-3</c:v>
                </c:pt>
                <c:pt idx="18">
                  <c:v>2.9442999999999969E-3</c:v>
                </c:pt>
                <c:pt idx="19">
                  <c:v>2.9751999999999973E-3</c:v>
                </c:pt>
                <c:pt idx="20">
                  <c:v>2.4856999999999969E-3</c:v>
                </c:pt>
                <c:pt idx="21">
                  <c:v>2.1762999999999991E-3</c:v>
                </c:pt>
                <c:pt idx="22">
                  <c:v>1.6162900000000003E-3</c:v>
                </c:pt>
                <c:pt idx="23">
                  <c:v>1.4423200000000004E-3</c:v>
                </c:pt>
                <c:pt idx="24">
                  <c:v>1.22543E-3</c:v>
                </c:pt>
                <c:pt idx="25">
                  <c:v>1.01559E-3</c:v>
                </c:pt>
                <c:pt idx="26">
                  <c:v>8.7658500000000004E-4</c:v>
                </c:pt>
                <c:pt idx="27">
                  <c:v>6.8605899999999993E-4</c:v>
                </c:pt>
                <c:pt idx="28">
                  <c:v>5.1166500000000001E-4</c:v>
                </c:pt>
                <c:pt idx="29">
                  <c:v>3.5388450000000001E-4</c:v>
                </c:pt>
                <c:pt idx="30">
                  <c:v>2.4800400000000002E-4</c:v>
                </c:pt>
                <c:pt idx="31">
                  <c:v>1.9485921E-4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01-436F-9C11-E0ED0A2E9E88}"/>
            </c:ext>
          </c:extLst>
        </c:ser>
        <c:ser>
          <c:idx val="6"/>
          <c:order val="1"/>
          <c:tx>
            <c:strRef>
              <c:f>depth_stats_stc_new!$AA$1</c:f>
              <c:strCache>
                <c:ptCount val="1"/>
                <c:pt idx="0">
                  <c:v>n%(w+5)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depth_stats_stc_new!$AA$2:$AA$33</c:f>
              <c:numCache>
                <c:formatCode>0.00" "%</c:formatCode>
                <c:ptCount val="32"/>
                <c:pt idx="0">
                  <c:v>9.3499999999998806E-2</c:v>
                </c:pt>
                <c:pt idx="1">
                  <c:v>0.24259999999999948</c:v>
                </c:pt>
                <c:pt idx="2">
                  <c:v>-4.2510000000000048E-2</c:v>
                </c:pt>
                <c:pt idx="3">
                  <c:v>-4.0259999999999962E-2</c:v>
                </c:pt>
                <c:pt idx="4">
                  <c:v>-3.0479999999999841E-2</c:v>
                </c:pt>
                <c:pt idx="5">
                  <c:v>-3.3610000000000362E-2</c:v>
                </c:pt>
                <c:pt idx="6">
                  <c:v>-2.7509999999999923E-2</c:v>
                </c:pt>
                <c:pt idx="7">
                  <c:v>-3.1579999999999941E-2</c:v>
                </c:pt>
                <c:pt idx="8">
                  <c:v>-2.4480000000000057E-2</c:v>
                </c:pt>
                <c:pt idx="9">
                  <c:v>-2.0320000000000116E-2</c:v>
                </c:pt>
                <c:pt idx="10">
                  <c:v>-1.6960000000000086E-2</c:v>
                </c:pt>
                <c:pt idx="11">
                  <c:v>-1.2510000000000021E-2</c:v>
                </c:pt>
                <c:pt idx="12">
                  <c:v>-1.0063000000000044E-2</c:v>
                </c:pt>
                <c:pt idx="13">
                  <c:v>-1.0573999999999972E-2</c:v>
                </c:pt>
                <c:pt idx="14">
                  <c:v>-8.3349999999999813E-3</c:v>
                </c:pt>
                <c:pt idx="15">
                  <c:v>-7.4600000000000222E-3</c:v>
                </c:pt>
                <c:pt idx="16">
                  <c:v>-6.0399999999999898E-3</c:v>
                </c:pt>
                <c:pt idx="17">
                  <c:v>-5.2320000000000005E-3</c:v>
                </c:pt>
                <c:pt idx="18">
                  <c:v>-4.0667999999999954E-3</c:v>
                </c:pt>
                <c:pt idx="19">
                  <c:v>-2.6164000000000048E-3</c:v>
                </c:pt>
                <c:pt idx="20">
                  <c:v>-1.5665000000000019E-3</c:v>
                </c:pt>
                <c:pt idx="21">
                  <c:v>-7.9569999999999988E-4</c:v>
                </c:pt>
                <c:pt idx="22">
                  <c:v>-4.6317999999999967E-4</c:v>
                </c:pt>
                <c:pt idx="23">
                  <c:v>-7.5640000000000082E-5</c:v>
                </c:pt>
                <c:pt idx="24">
                  <c:v>1.0491999999999967E-4</c:v>
                </c:pt>
                <c:pt idx="25">
                  <c:v>2.3739000000000008E-4</c:v>
                </c:pt>
                <c:pt idx="26">
                  <c:v>2.5082200000000005E-4</c:v>
                </c:pt>
                <c:pt idx="27">
                  <c:v>2.3706299999999998E-4</c:v>
                </c:pt>
                <c:pt idx="28">
                  <c:v>1.7438099999999998E-4</c:v>
                </c:pt>
                <c:pt idx="29">
                  <c:v>1.2586350000000002E-4</c:v>
                </c:pt>
                <c:pt idx="30">
                  <c:v>8.5175999999999985E-5</c:v>
                </c:pt>
                <c:pt idx="31">
                  <c:v>5.109261E-5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01-436F-9C11-E0ED0A2E9E88}"/>
            </c:ext>
          </c:extLst>
        </c:ser>
        <c:ser>
          <c:idx val="7"/>
          <c:order val="7"/>
          <c:tx>
            <c:strRef>
              <c:f>depth_stats_stc_new!$AC$1</c:f>
              <c:strCache>
                <c:ptCount val="1"/>
                <c:pt idx="0">
                  <c:v>n%(razor+64pc)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depth_stats_stc_new!$AC$2:$AC$33</c:f>
              <c:numCache>
                <c:formatCode>0.00" "%</c:formatCode>
                <c:ptCount val="32"/>
                <c:pt idx="0">
                  <c:v>-0.14690000000000225</c:v>
                </c:pt>
                <c:pt idx="1">
                  <c:v>6.1999999999997613E-3</c:v>
                </c:pt>
                <c:pt idx="2">
                  <c:v>-1.6219999999998791E-2</c:v>
                </c:pt>
                <c:pt idx="3">
                  <c:v>-2.9599999999998516E-3</c:v>
                </c:pt>
                <c:pt idx="4">
                  <c:v>1.2100000000000222E-2</c:v>
                </c:pt>
                <c:pt idx="5">
                  <c:v>1.7199999999999882E-2</c:v>
                </c:pt>
                <c:pt idx="6">
                  <c:v>1.7310000000000159E-2</c:v>
                </c:pt>
                <c:pt idx="7">
                  <c:v>1.5160000000000284E-2</c:v>
                </c:pt>
                <c:pt idx="8">
                  <c:v>1.3439999999999674E-2</c:v>
                </c:pt>
                <c:pt idx="9">
                  <c:v>6.2499999999998668E-3</c:v>
                </c:pt>
                <c:pt idx="10">
                  <c:v>7.0799999999999752E-3</c:v>
                </c:pt>
                <c:pt idx="11">
                  <c:v>6.9400000000001683E-3</c:v>
                </c:pt>
                <c:pt idx="12">
                  <c:v>8.9609999999999967E-3</c:v>
                </c:pt>
                <c:pt idx="13">
                  <c:v>1.0581000000000063E-2</c:v>
                </c:pt>
                <c:pt idx="14">
                  <c:v>8.2940000000000236E-3</c:v>
                </c:pt>
                <c:pt idx="15">
                  <c:v>7.4659999999999727E-3</c:v>
                </c:pt>
                <c:pt idx="16">
                  <c:v>6.76400000000002E-3</c:v>
                </c:pt>
                <c:pt idx="17">
                  <c:v>5.6049999999999989E-3</c:v>
                </c:pt>
                <c:pt idx="18">
                  <c:v>4.5725999999999961E-3</c:v>
                </c:pt>
                <c:pt idx="19">
                  <c:v>3.3260999999999985E-3</c:v>
                </c:pt>
                <c:pt idx="20">
                  <c:v>2.5682999999999991E-3</c:v>
                </c:pt>
                <c:pt idx="21">
                  <c:v>1.7574999999999986E-3</c:v>
                </c:pt>
                <c:pt idx="22">
                  <c:v>1.1977000000000003E-3</c:v>
                </c:pt>
                <c:pt idx="23">
                  <c:v>9.0154000000000015E-4</c:v>
                </c:pt>
                <c:pt idx="24">
                  <c:v>6.7709999999999992E-4</c:v>
                </c:pt>
                <c:pt idx="25">
                  <c:v>5.3376000000000009E-4</c:v>
                </c:pt>
                <c:pt idx="26">
                  <c:v>4.04375E-4</c:v>
                </c:pt>
                <c:pt idx="27">
                  <c:v>2.7978800000000005E-4</c:v>
                </c:pt>
                <c:pt idx="28">
                  <c:v>1.7934800000000002E-4</c:v>
                </c:pt>
                <c:pt idx="29">
                  <c:v>1.1382350000000002E-4</c:v>
                </c:pt>
                <c:pt idx="30">
                  <c:v>6.7720099999999989E-5</c:v>
                </c:pt>
                <c:pt idx="31">
                  <c:v>4.4925709999999996E-5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E01-436F-9C11-E0ED0A2E9E88}"/>
            </c:ext>
          </c:extLst>
        </c:ser>
        <c:ser>
          <c:idx val="8"/>
          <c:order val="8"/>
          <c:tx>
            <c:strRef>
              <c:f>depth_stats_stc_new!$AE$1</c:f>
              <c:strCache>
                <c:ptCount val="1"/>
                <c:pt idx="0">
                  <c:v>n%(razor+128pc)</c:v>
                </c:pt>
              </c:strCache>
            </c:strRef>
          </c:tx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#,000" "%</c:formatCode>
                <c:ptCount val="32"/>
                <c:pt idx="0">
                  <c:v>-8.1100000000002836E-2</c:v>
                </c:pt>
                <c:pt idx="1">
                  <c:v>2.9800000000001603E-2</c:v>
                </c:pt>
                <c:pt idx="2">
                  <c:v>-5.8099999999985386E-3</c:v>
                </c:pt>
                <c:pt idx="3">
                  <c:v>1.6199999999999548E-3</c:v>
                </c:pt>
                <c:pt idx="4">
                  <c:v>8.099999999999774E-3</c:v>
                </c:pt>
                <c:pt idx="5">
                  <c:v>4.389999999999894E-3</c:v>
                </c:pt>
                <c:pt idx="6">
                  <c:v>6.6600000000001103E-3</c:v>
                </c:pt>
                <c:pt idx="7">
                  <c:v>3.4400000000003317E-3</c:v>
                </c:pt>
                <c:pt idx="8">
                  <c:v>3.7399999999996325E-3</c:v>
                </c:pt>
                <c:pt idx="9">
                  <c:v>3.7899999999999601E-3</c:v>
                </c:pt>
                <c:pt idx="10">
                  <c:v>2.4099999999998012E-3</c:v>
                </c:pt>
                <c:pt idx="11">
                  <c:v>1.3700000000000934E-3</c:v>
                </c:pt>
                <c:pt idx="12">
                  <c:v>4.1889999999999983E-3</c:v>
                </c:pt>
                <c:pt idx="13">
                  <c:v>3.2969999999999944E-3</c:v>
                </c:pt>
                <c:pt idx="14">
                  <c:v>1.0960000000000414E-3</c:v>
                </c:pt>
                <c:pt idx="15">
                  <c:v>1.4889999999999626E-3</c:v>
                </c:pt>
                <c:pt idx="16">
                  <c:v>2.3990000000000122E-3</c:v>
                </c:pt>
                <c:pt idx="17">
                  <c:v>2.0900000000000085E-3</c:v>
                </c:pt>
                <c:pt idx="18">
                  <c:v>1.1393999999999987E-3</c:v>
                </c:pt>
                <c:pt idx="19">
                  <c:v>1.2343999999999966E-3</c:v>
                </c:pt>
                <c:pt idx="20">
                  <c:v>1.0237999999999983E-3</c:v>
                </c:pt>
                <c:pt idx="21">
                  <c:v>8.475999999999987E-4</c:v>
                </c:pt>
                <c:pt idx="22">
                  <c:v>6.3759999999999945E-4</c:v>
                </c:pt>
                <c:pt idx="23">
                  <c:v>5.4614000000000051E-4</c:v>
                </c:pt>
                <c:pt idx="24">
                  <c:v>3.9935999999999965E-4</c:v>
                </c:pt>
                <c:pt idx="25">
                  <c:v>3.4626000000000014E-4</c:v>
                </c:pt>
                <c:pt idx="26">
                  <c:v>2.5002800000000001E-4</c:v>
                </c:pt>
                <c:pt idx="27">
                  <c:v>1.6844899999999999E-4</c:v>
                </c:pt>
                <c:pt idx="28">
                  <c:v>1.29138E-4</c:v>
                </c:pt>
                <c:pt idx="29">
                  <c:v>8.0186500000000002E-5</c:v>
                </c:pt>
                <c:pt idx="30">
                  <c:v>5.8156300000000004E-5</c:v>
                </c:pt>
                <c:pt idx="31">
                  <c:v>4.2988409999999997E-5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01-436F-9C11-E0ED0A2E9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5320"/>
        <c:axId val="735003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2"/>
                <c:tx>
                  <c:strRef>
                    <c:extLst>
                      <c:ext uri="{02D57815-91ED-43cb-92C2-25804820EDAC}">
                        <c15:formulaRef>
                          <c15:sqref>depth_stats_stc_new!$Q$1</c15:sqref>
                        </c15:formulaRef>
                      </c:ext>
                    </c:extLst>
                    <c:strCache>
                      <c:ptCount val="1"/>
                      <c:pt idx="0">
                        <c:v>n%(w+8)</c:v>
                      </c:pt>
                    </c:strCache>
                  </c:strRef>
                </c:tx>
                <c:spPr>
                  <a:ln w="19046" cap="rnd">
                    <a:solidFill>
                      <a:srgbClr val="ED7D31"/>
                    </a:solidFill>
                    <a:prstDash val="solid"/>
                    <a:round/>
                  </a:ln>
                </c:spPr>
                <c:marker>
                  <c:symbol val="circle"/>
                  <c:size val="5"/>
                </c:marker>
                <c:xVal>
                  <c:numRef>
                    <c:extLst>
                      <c:ext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depth_stats_stc_new!$Q$2:$Q$33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4.7999999999994714E-3</c:v>
                      </c:pt>
                      <c:pt idx="1">
                        <c:v>4.9199999999999022E-2</c:v>
                      </c:pt>
                      <c:pt idx="2">
                        <c:v>-5.2359999999998408E-2</c:v>
                      </c:pt>
                      <c:pt idx="3">
                        <c:v>-2.5569999999999204E-2</c:v>
                      </c:pt>
                      <c:pt idx="4">
                        <c:v>-1.6600000000002169E-3</c:v>
                      </c:pt>
                      <c:pt idx="5">
                        <c:v>1.1599999999996058E-3</c:v>
                      </c:pt>
                      <c:pt idx="6">
                        <c:v>9.0000000000145519E-5</c:v>
                      </c:pt>
                      <c:pt idx="7">
                        <c:v>-2.2999999999973042E-4</c:v>
                      </c:pt>
                      <c:pt idx="8">
                        <c:v>2.5399999999997647E-3</c:v>
                      </c:pt>
                      <c:pt idx="9">
                        <c:v>9.9999999999988987E-4</c:v>
                      </c:pt>
                      <c:pt idx="10">
                        <c:v>3.909999999999858E-3</c:v>
                      </c:pt>
                      <c:pt idx="11">
                        <c:v>6.9300000000001027E-3</c:v>
                      </c:pt>
                      <c:pt idx="12">
                        <c:v>3.5079999999999556E-3</c:v>
                      </c:pt>
                      <c:pt idx="13">
                        <c:v>1.0280000000000289E-3</c:v>
                      </c:pt>
                      <c:pt idx="14">
                        <c:v>7.4800000000002642E-4</c:v>
                      </c:pt>
                      <c:pt idx="15">
                        <c:v>5.4999999999971738E-5</c:v>
                      </c:pt>
                      <c:pt idx="16">
                        <c:v>1.0860000000000036E-3</c:v>
                      </c:pt>
                      <c:pt idx="17">
                        <c:v>6.4600000000000768E-4</c:v>
                      </c:pt>
                      <c:pt idx="18">
                        <c:v>1.0060000000000624E-4</c:v>
                      </c:pt>
                      <c:pt idx="19">
                        <c:v>2.3799999999999516E-4</c:v>
                      </c:pt>
                      <c:pt idx="20">
                        <c:v>3.9369999999999683E-4</c:v>
                      </c:pt>
                      <c:pt idx="21">
                        <c:v>3.5409999999999955E-4</c:v>
                      </c:pt>
                      <c:pt idx="22">
                        <c:v>2.9005999999999997E-4</c:v>
                      </c:pt>
                      <c:pt idx="23">
                        <c:v>2.5311999999999991E-4</c:v>
                      </c:pt>
                      <c:pt idx="24">
                        <c:v>2.6494999999999991E-4</c:v>
                      </c:pt>
                      <c:pt idx="25">
                        <c:v>2.7145000000000012E-4</c:v>
                      </c:pt>
                      <c:pt idx="26">
                        <c:v>2.4543500000000001E-4</c:v>
                      </c:pt>
                      <c:pt idx="27">
                        <c:v>1.8454400000000003E-4</c:v>
                      </c:pt>
                      <c:pt idx="28">
                        <c:v>1.3872899999999998E-4</c:v>
                      </c:pt>
                      <c:pt idx="29">
                        <c:v>1.1330850000000001E-4</c:v>
                      </c:pt>
                      <c:pt idx="30">
                        <c:v>7.35876E-5</c:v>
                      </c:pt>
                      <c:pt idx="31">
                        <c:v>4.5244009999999996E-5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01-436F-9C11-E0ED0A2E9E88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depth_stats_stc_new!$S$1</c15:sqref>
                        </c15:formulaRef>
                      </c:ext>
                    </c:extLst>
                    <c:strCache>
                      <c:ptCount val="1"/>
                      <c:pt idx="0">
                        <c:v>n%(w+16)</c:v>
                      </c:pt>
                    </c:strCache>
                  </c:strRef>
                </c:tx>
                <c:spPr>
                  <a:ln w="19046" cap="rnd">
                    <a:solidFill>
                      <a:srgbClr val="A5A5A5"/>
                    </a:solidFill>
                    <a:prstDash val="solid"/>
                    <a:round/>
                  </a:ln>
                </c:spPr>
                <c:marker>
                  <c:symbol val="circle"/>
                  <c:size val="5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depth_stats_stc_new!$S$2:$S$33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2.6399999999998869E-2</c:v>
                      </c:pt>
                      <c:pt idx="1">
                        <c:v>0.25230000000000175</c:v>
                      </c:pt>
                      <c:pt idx="2">
                        <c:v>-4.8659999999999926E-2</c:v>
                      </c:pt>
                      <c:pt idx="3">
                        <c:v>-4.4989999999999419E-2</c:v>
                      </c:pt>
                      <c:pt idx="4">
                        <c:v>-2.2369999999999557E-2</c:v>
                      </c:pt>
                      <c:pt idx="5">
                        <c:v>-2.0100000000000229E-2</c:v>
                      </c:pt>
                      <c:pt idx="6">
                        <c:v>-2.088000000000001E-2</c:v>
                      </c:pt>
                      <c:pt idx="7">
                        <c:v>-2.3449999999999971E-2</c:v>
                      </c:pt>
                      <c:pt idx="8">
                        <c:v>-1.5870000000000051E-2</c:v>
                      </c:pt>
                      <c:pt idx="9">
                        <c:v>-1.4140000000000041E-2</c:v>
                      </c:pt>
                      <c:pt idx="10">
                        <c:v>-7.6100000000001167E-3</c:v>
                      </c:pt>
                      <c:pt idx="11">
                        <c:v>-1.1109999999999953E-2</c:v>
                      </c:pt>
                      <c:pt idx="12">
                        <c:v>-1.0161000000000087E-2</c:v>
                      </c:pt>
                      <c:pt idx="13">
                        <c:v>-1.012499999999994E-2</c:v>
                      </c:pt>
                      <c:pt idx="14">
                        <c:v>-8.983999999999992E-3</c:v>
                      </c:pt>
                      <c:pt idx="15">
                        <c:v>-6.0660000000000158E-3</c:v>
                      </c:pt>
                      <c:pt idx="16">
                        <c:v>-3.4079999999999944E-3</c:v>
                      </c:pt>
                      <c:pt idx="17">
                        <c:v>-2.9420000000000002E-3</c:v>
                      </c:pt>
                      <c:pt idx="18">
                        <c:v>-2.2635000000000016E-3</c:v>
                      </c:pt>
                      <c:pt idx="19">
                        <c:v>-1.5491000000000046E-3</c:v>
                      </c:pt>
                      <c:pt idx="20">
                        <c:v>-1.2791000000000018E-3</c:v>
                      </c:pt>
                      <c:pt idx="21">
                        <c:v>-9.4550000000000016E-4</c:v>
                      </c:pt>
                      <c:pt idx="22">
                        <c:v>-7.4158000000000036E-4</c:v>
                      </c:pt>
                      <c:pt idx="23">
                        <c:v>-5.0382999999999982E-4</c:v>
                      </c:pt>
                      <c:pt idx="24">
                        <c:v>-2.9694000000000009E-4</c:v>
                      </c:pt>
                      <c:pt idx="25">
                        <c:v>-1.8464799999999993E-4</c:v>
                      </c:pt>
                      <c:pt idx="26">
                        <c:v>-8.7122999999999986E-5</c:v>
                      </c:pt>
                      <c:pt idx="27">
                        <c:v>-4.5563999999999999E-5</c:v>
                      </c:pt>
                      <c:pt idx="28">
                        <c:v>-1.8253599999999991E-5</c:v>
                      </c:pt>
                      <c:pt idx="29">
                        <c:v>-9.7210999999999974E-6</c:v>
                      </c:pt>
                      <c:pt idx="30">
                        <c:v>-4.1875000000000001E-6</c:v>
                      </c:pt>
                      <c:pt idx="31">
                        <c:v>2.5222499999999994E-6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DE01-436F-9C11-E0ED0A2E9E88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depth_stats_stc_new!$U$1</c15:sqref>
                        </c15:formulaRef>
                      </c:ext>
                    </c:extLst>
                    <c:strCache>
                      <c:ptCount val="1"/>
                      <c:pt idx="0">
                        <c:v>n%(w+10)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depth_stats_stc_new!$U$2:$U$33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-3.5900000000001597E-2</c:v>
                      </c:pt>
                      <c:pt idx="1">
                        <c:v>0.21270000000000167</c:v>
                      </c:pt>
                      <c:pt idx="2">
                        <c:v>-4.561999999999955E-2</c:v>
                      </c:pt>
                      <c:pt idx="3">
                        <c:v>-3.3360000000000056E-2</c:v>
                      </c:pt>
                      <c:pt idx="4">
                        <c:v>-3.1349999999999767E-2</c:v>
                      </c:pt>
                      <c:pt idx="5">
                        <c:v>-2.6270000000000238E-2</c:v>
                      </c:pt>
                      <c:pt idx="6">
                        <c:v>-2.1819999999999951E-2</c:v>
                      </c:pt>
                      <c:pt idx="7">
                        <c:v>-1.7269999999999897E-2</c:v>
                      </c:pt>
                      <c:pt idx="8">
                        <c:v>-1.1810000000000098E-2</c:v>
                      </c:pt>
                      <c:pt idx="9">
                        <c:v>-8.3800000000000541E-3</c:v>
                      </c:pt>
                      <c:pt idx="10">
                        <c:v>-7.3300000000000587E-3</c:v>
                      </c:pt>
                      <c:pt idx="11">
                        <c:v>-2.3999999999999577E-3</c:v>
                      </c:pt>
                      <c:pt idx="12">
                        <c:v>1.0549999999999171E-3</c:v>
                      </c:pt>
                      <c:pt idx="13">
                        <c:v>1.7020000000000923E-3</c:v>
                      </c:pt>
                      <c:pt idx="14">
                        <c:v>3.9910000000000223E-3</c:v>
                      </c:pt>
                      <c:pt idx="15">
                        <c:v>4.4229999999999547E-3</c:v>
                      </c:pt>
                      <c:pt idx="16">
                        <c:v>4.5759999999999967E-3</c:v>
                      </c:pt>
                      <c:pt idx="17">
                        <c:v>3.3170000000000005E-3</c:v>
                      </c:pt>
                      <c:pt idx="18">
                        <c:v>2.6242000000000071E-3</c:v>
                      </c:pt>
                      <c:pt idx="19">
                        <c:v>2.3608999999999991E-3</c:v>
                      </c:pt>
                      <c:pt idx="20">
                        <c:v>1.6844999999999985E-3</c:v>
                      </c:pt>
                      <c:pt idx="21">
                        <c:v>1.1716000000000001E-3</c:v>
                      </c:pt>
                      <c:pt idx="22">
                        <c:v>7.2057999999999931E-4</c:v>
                      </c:pt>
                      <c:pt idx="23">
                        <c:v>4.668200000000006E-4</c:v>
                      </c:pt>
                      <c:pt idx="24">
                        <c:v>2.7913999999999977E-4</c:v>
                      </c:pt>
                      <c:pt idx="25">
                        <c:v>1.9048000000000003E-4</c:v>
                      </c:pt>
                      <c:pt idx="26">
                        <c:v>1.1620800000000002E-4</c:v>
                      </c:pt>
                      <c:pt idx="27">
                        <c:v>6.0794000000000028E-5</c:v>
                      </c:pt>
                      <c:pt idx="28">
                        <c:v>1.1152000000000018E-5</c:v>
                      </c:pt>
                      <c:pt idx="29">
                        <c:v>-4.8980999999999997E-6</c:v>
                      </c:pt>
                      <c:pt idx="30">
                        <c:v>-6.8327000000000015E-6</c:v>
                      </c:pt>
                      <c:pt idx="31">
                        <c:v>-9.7665000000000021E-7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E01-436F-9C11-E0ED0A2E9E88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depth_stats_stc_new!$W$1</c15:sqref>
                        </c15:formulaRef>
                      </c:ext>
                    </c:extLst>
                    <c:strCache>
                      <c:ptCount val="1"/>
                      <c:pt idx="0">
                        <c:v>n%(w+6)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depth_stats_stc_new!$W$2:$W$33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5.0499999999999545E-2</c:v>
                      </c:pt>
                      <c:pt idx="1">
                        <c:v>0.13250000000000028</c:v>
                      </c:pt>
                      <c:pt idx="2">
                        <c:v>-6.755999999999851E-2</c:v>
                      </c:pt>
                      <c:pt idx="3">
                        <c:v>-5.3639999999999688E-2</c:v>
                      </c:pt>
                      <c:pt idx="4">
                        <c:v>-3.155999999999981E-2</c:v>
                      </c:pt>
                      <c:pt idx="5">
                        <c:v>-1.9230000000000302E-2</c:v>
                      </c:pt>
                      <c:pt idx="6">
                        <c:v>-1.4289999999999914E-2</c:v>
                      </c:pt>
                      <c:pt idx="7">
                        <c:v>-1.5260000000000051E-2</c:v>
                      </c:pt>
                      <c:pt idx="8">
                        <c:v>-1.2170000000000236E-2</c:v>
                      </c:pt>
                      <c:pt idx="9">
                        <c:v>-7.1300000000000807E-3</c:v>
                      </c:pt>
                      <c:pt idx="10">
                        <c:v>-1.7800000000001148E-3</c:v>
                      </c:pt>
                      <c:pt idx="11">
                        <c:v>2.0400000000000418E-3</c:v>
                      </c:pt>
                      <c:pt idx="12">
                        <c:v>4.7149999999999137E-3</c:v>
                      </c:pt>
                      <c:pt idx="13">
                        <c:v>4.638000000000031E-3</c:v>
                      </c:pt>
                      <c:pt idx="14">
                        <c:v>5.1280000000000214E-3</c:v>
                      </c:pt>
                      <c:pt idx="15">
                        <c:v>3.8679999999999826E-3</c:v>
                      </c:pt>
                      <c:pt idx="16">
                        <c:v>3.8549999999999973E-3</c:v>
                      </c:pt>
                      <c:pt idx="17">
                        <c:v>3.16000000000001E-3</c:v>
                      </c:pt>
                      <c:pt idx="18">
                        <c:v>2.552700000000005E-3</c:v>
                      </c:pt>
                      <c:pt idx="19">
                        <c:v>2.1619999999999973E-3</c:v>
                      </c:pt>
                      <c:pt idx="20">
                        <c:v>1.8525E-3</c:v>
                      </c:pt>
                      <c:pt idx="21">
                        <c:v>1.5438999999999991E-3</c:v>
                      </c:pt>
                      <c:pt idx="22">
                        <c:v>1.0961499999999997E-3</c:v>
                      </c:pt>
                      <c:pt idx="23">
                        <c:v>7.2126000000000048E-4</c:v>
                      </c:pt>
                      <c:pt idx="24">
                        <c:v>5.5363999999999977E-4</c:v>
                      </c:pt>
                      <c:pt idx="25">
                        <c:v>4.4848999999999996E-4</c:v>
                      </c:pt>
                      <c:pt idx="26">
                        <c:v>3.6394300000000004E-4</c:v>
                      </c:pt>
                      <c:pt idx="27">
                        <c:v>2.8818499999999999E-4</c:v>
                      </c:pt>
                      <c:pt idx="28">
                        <c:v>2.0250699999999999E-4</c:v>
                      </c:pt>
                      <c:pt idx="29">
                        <c:v>1.591025E-4</c:v>
                      </c:pt>
                      <c:pt idx="30">
                        <c:v>1.0263200000000002E-4</c:v>
                      </c:pt>
                      <c:pt idx="31">
                        <c:v>7.4170709999999999E-5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DE01-436F-9C11-E0ED0A2E9E88}"/>
                  </c:ext>
                </c:extLst>
              </c15:ser>
            </c15:filteredScatterSeries>
            <c15:filteredScatterSeries>
              <c15:ser>
                <c:idx val="5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depth_stats_stc_new!$Y$1</c15:sqref>
                        </c15:formulaRef>
                      </c:ext>
                    </c:extLst>
                    <c:strCache>
                      <c:ptCount val="1"/>
                      <c:pt idx="0">
                        <c:v>n%(w+4)</c:v>
                      </c:pt>
                    </c:strCache>
                  </c:strRef>
                </c:tx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depth_stats_stc_new!$A$2:$A$33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depth_stats_stc_new!$Y$2:$Y$33</c15:sqref>
                        </c15:formulaRef>
                      </c:ext>
                    </c:extLst>
                    <c:numCache>
                      <c:formatCode>0.00" "%</c:formatCode>
                      <c:ptCount val="32"/>
                      <c:pt idx="0">
                        <c:v>-0.15830000000000055</c:v>
                      </c:pt>
                      <c:pt idx="1">
                        <c:v>3.270000000000195E-2</c:v>
                      </c:pt>
                      <c:pt idx="2">
                        <c:v>2.260000000001483E-3</c:v>
                      </c:pt>
                      <c:pt idx="3">
                        <c:v>1.0140000000000704E-2</c:v>
                      </c:pt>
                      <c:pt idx="4">
                        <c:v>1.1160000000000281E-2</c:v>
                      </c:pt>
                      <c:pt idx="5">
                        <c:v>1.1529999999999596E-2</c:v>
                      </c:pt>
                      <c:pt idx="6">
                        <c:v>9.7700000000000564E-3</c:v>
                      </c:pt>
                      <c:pt idx="7">
                        <c:v>6.1800000000000743E-3</c:v>
                      </c:pt>
                      <c:pt idx="8">
                        <c:v>7.3999999999996291E-3</c:v>
                      </c:pt>
                      <c:pt idx="9">
                        <c:v>8.78000000000001E-3</c:v>
                      </c:pt>
                      <c:pt idx="10">
                        <c:v>6.9299999999998807E-3</c:v>
                      </c:pt>
                      <c:pt idx="11">
                        <c:v>9.0700000000001335E-3</c:v>
                      </c:pt>
                      <c:pt idx="12">
                        <c:v>8.947999999999956E-3</c:v>
                      </c:pt>
                      <c:pt idx="13">
                        <c:v>7.4160000000000892E-3</c:v>
                      </c:pt>
                      <c:pt idx="14">
                        <c:v>5.4669999999999996E-3</c:v>
                      </c:pt>
                      <c:pt idx="15">
                        <c:v>4.341999999999957E-3</c:v>
                      </c:pt>
                      <c:pt idx="16">
                        <c:v>3.7280000000000091E-3</c:v>
                      </c:pt>
                      <c:pt idx="17">
                        <c:v>3.1960000000000044E-3</c:v>
                      </c:pt>
                      <c:pt idx="18">
                        <c:v>2.4668000000000051E-3</c:v>
                      </c:pt>
                      <c:pt idx="19">
                        <c:v>1.3781999999999961E-3</c:v>
                      </c:pt>
                      <c:pt idx="20">
                        <c:v>1.2767999999999981E-3</c:v>
                      </c:pt>
                      <c:pt idx="21">
                        <c:v>1.0212999999999993E-3</c:v>
                      </c:pt>
                      <c:pt idx="22">
                        <c:v>7.1406999999999981E-4</c:v>
                      </c:pt>
                      <c:pt idx="23">
                        <c:v>6.5772000000000053E-4</c:v>
                      </c:pt>
                      <c:pt idx="24">
                        <c:v>4.8465999999999961E-4</c:v>
                      </c:pt>
                      <c:pt idx="25">
                        <c:v>4.0407000000000008E-4</c:v>
                      </c:pt>
                      <c:pt idx="26">
                        <c:v>2.8994999999999997E-4</c:v>
                      </c:pt>
                      <c:pt idx="27">
                        <c:v>2.2081999999999999E-4</c:v>
                      </c:pt>
                      <c:pt idx="28">
                        <c:v>1.4750400000000002E-4</c:v>
                      </c:pt>
                      <c:pt idx="29">
                        <c:v>9.9684500000000011E-5</c:v>
                      </c:pt>
                      <c:pt idx="30">
                        <c:v>5.5445800000000004E-5</c:v>
                      </c:pt>
                      <c:pt idx="31">
                        <c:v>3.333231E-5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DE01-436F-9C11-E0ED0A2E9E88}"/>
                  </c:ext>
                </c:extLst>
              </c15:ser>
            </c15:filteredScatterSeries>
          </c:ext>
        </c:extLst>
      </c:scatterChart>
      <c:valAx>
        <c:axId val="73500316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5320"/>
        <c:crosses val="autoZero"/>
        <c:crossBetween val="midCat"/>
      </c:valAx>
      <c:valAx>
        <c:axId val="73500532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316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depth_stats_ltc!$H$1:$H$1</c:f>
              <c:strCache>
                <c:ptCount val="1"/>
                <c:pt idx="0">
                  <c:v>n%(r+653)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0.00" "%</c:formatCode>
                <c:ptCount val="32"/>
                <c:pt idx="0">
                  <c:v>-5.7095558372338928E-2</c:v>
                </c:pt>
                <c:pt idx="1">
                  <c:v>-8.9442888417465061E-2</c:v>
                </c:pt>
                <c:pt idx="2">
                  <c:v>-6.8758403574991078E-3</c:v>
                </c:pt>
                <c:pt idx="3">
                  <c:v>3.1811790743426549E-2</c:v>
                </c:pt>
                <c:pt idx="4">
                  <c:v>4.8518448289811111E-2</c:v>
                </c:pt>
                <c:pt idx="5">
                  <c:v>4.8963412154406694E-2</c:v>
                </c:pt>
                <c:pt idx="6">
                  <c:v>5.1281988312644078E-2</c:v>
                </c:pt>
                <c:pt idx="7">
                  <c:v>6.6510948551124383E-2</c:v>
                </c:pt>
                <c:pt idx="8">
                  <c:v>0.10194759687850397</c:v>
                </c:pt>
                <c:pt idx="9">
                  <c:v>0.14324234097870248</c:v>
                </c:pt>
                <c:pt idx="10">
                  <c:v>0.16272356148496225</c:v>
                </c:pt>
                <c:pt idx="11">
                  <c:v>0.17404119826549458</c:v>
                </c:pt>
                <c:pt idx="12">
                  <c:v>0.15747501917712547</c:v>
                </c:pt>
                <c:pt idx="13">
                  <c:v>0.124947947608403</c:v>
                </c:pt>
                <c:pt idx="14">
                  <c:v>0.10079355270550217</c:v>
                </c:pt>
                <c:pt idx="15">
                  <c:v>9.1404530441268506E-2</c:v>
                </c:pt>
                <c:pt idx="16">
                  <c:v>0.10131944936509374</c:v>
                </c:pt>
                <c:pt idx="17">
                  <c:v>0.11729195657286073</c:v>
                </c:pt>
                <c:pt idx="18">
                  <c:v>0.13831762917946566</c:v>
                </c:pt>
                <c:pt idx="19">
                  <c:v>0.16357388352961966</c:v>
                </c:pt>
                <c:pt idx="20">
                  <c:v>0.19653860958524483</c:v>
                </c:pt>
                <c:pt idx="21">
                  <c:v>0.24073073724348504</c:v>
                </c:pt>
                <c:pt idx="22">
                  <c:v>0.2970040008123247</c:v>
                </c:pt>
                <c:pt idx="23">
                  <c:v>0.3670701557264664</c:v>
                </c:pt>
                <c:pt idx="24">
                  <c:v>0.44722620432978388</c:v>
                </c:pt>
                <c:pt idx="25">
                  <c:v>0.53788036616106893</c:v>
                </c:pt>
                <c:pt idx="26">
                  <c:v>0.63602864908884271</c:v>
                </c:pt>
                <c:pt idx="27">
                  <c:v>0.73578789093689245</c:v>
                </c:pt>
                <c:pt idx="28">
                  <c:v>0.83897538693926599</c:v>
                </c:pt>
                <c:pt idx="29">
                  <c:v>0.93462538439356635</c:v>
                </c:pt>
                <c:pt idx="30">
                  <c:v>1.0249428918383128</c:v>
                </c:pt>
                <c:pt idx="31">
                  <c:v>1.1084818475596148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AA-41AC-9687-B1CFDEE7E897}"/>
            </c:ext>
          </c:extLst>
        </c:ser>
        <c:ser>
          <c:idx val="1"/>
          <c:order val="1"/>
          <c:tx>
            <c:strRef>
              <c:f>depth_stats_ltc!$J$1:$J$1</c:f>
              <c:strCache>
                <c:ptCount val="1"/>
                <c:pt idx="0">
                  <c:v>n%(+128)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0.00" "%</c:formatCode>
                <c:ptCount val="3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AA-41AC-9687-B1CFDEE7E897}"/>
            </c:ext>
          </c:extLst>
        </c:ser>
        <c:ser>
          <c:idx val="2"/>
          <c:order val="2"/>
          <c:tx>
            <c:strRef>
              <c:f>depth_stats_ltc!$L$1:$L$1</c:f>
              <c:strCache>
                <c:ptCount val="1"/>
                <c:pt idx="0">
                  <c:v>n%(w-d)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AA-41AC-9687-B1CFDEE7E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97760"/>
        <c:axId val="735003880"/>
      </c:scatterChart>
      <c:valAx>
        <c:axId val="73500388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4997760"/>
        <c:crosses val="autoZero"/>
        <c:crossBetween val="midCat"/>
      </c:valAx>
      <c:valAx>
        <c:axId val="73499776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388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depth_stats_ltc!$I$1:$I$1</c:f>
              <c:strCache>
                <c:ptCount val="1"/>
                <c:pt idx="0">
                  <c:v>n%(r+653)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0.00" "%</c:formatCode>
                <c:ptCount val="32"/>
                <c:pt idx="0">
                  <c:v>-1.0907000000000018</c:v>
                </c:pt>
                <c:pt idx="1">
                  <c:v>-1.7670999999999992</c:v>
                </c:pt>
                <c:pt idx="2">
                  <c:v>-5.3060000000000329E-2</c:v>
                </c:pt>
                <c:pt idx="3">
                  <c:v>0.23141000000000123</c:v>
                </c:pt>
                <c:pt idx="4">
                  <c:v>0.29211999999999971</c:v>
                </c:pt>
                <c:pt idx="5">
                  <c:v>0.22492000000000001</c:v>
                </c:pt>
                <c:pt idx="6">
                  <c:v>0.18258999999999981</c:v>
                </c:pt>
                <c:pt idx="7">
                  <c:v>0.19938999999999973</c:v>
                </c:pt>
                <c:pt idx="8">
                  <c:v>0.26472000000000007</c:v>
                </c:pt>
                <c:pt idx="9">
                  <c:v>0.31981999999999999</c:v>
                </c:pt>
                <c:pt idx="10">
                  <c:v>0.29962999999999984</c:v>
                </c:pt>
                <c:pt idx="11">
                  <c:v>0.26019999999999999</c:v>
                </c:pt>
                <c:pt idx="12">
                  <c:v>0.18303000000000003</c:v>
                </c:pt>
                <c:pt idx="13">
                  <c:v>0.10812100000000002</c:v>
                </c:pt>
                <c:pt idx="14">
                  <c:v>6.4092999999999956E-2</c:v>
                </c:pt>
                <c:pt idx="15">
                  <c:v>4.2383000000000004E-2</c:v>
                </c:pt>
                <c:pt idx="16">
                  <c:v>3.4525000000000028E-2</c:v>
                </c:pt>
                <c:pt idx="17">
                  <c:v>2.9354000000000019E-2</c:v>
                </c:pt>
                <c:pt idx="18">
                  <c:v>2.5278999999999996E-2</c:v>
                </c:pt>
                <c:pt idx="19">
                  <c:v>2.170699999999999E-2</c:v>
                </c:pt>
                <c:pt idx="20">
                  <c:v>1.8901599999999991E-2</c:v>
                </c:pt>
                <c:pt idx="21">
                  <c:v>1.6786099999999998E-2</c:v>
                </c:pt>
                <c:pt idx="22">
                  <c:v>1.49993E-2</c:v>
                </c:pt>
                <c:pt idx="23">
                  <c:v>1.3444599999999998E-2</c:v>
                </c:pt>
                <c:pt idx="24">
                  <c:v>1.1909099999999999E-2</c:v>
                </c:pt>
                <c:pt idx="25">
                  <c:v>1.0441200000000001E-2</c:v>
                </c:pt>
                <c:pt idx="26">
                  <c:v>8.9890000000000005E-3</c:v>
                </c:pt>
                <c:pt idx="27">
                  <c:v>7.5703499999999991E-3</c:v>
                </c:pt>
                <c:pt idx="28">
                  <c:v>6.2380699999999992E-3</c:v>
                </c:pt>
                <c:pt idx="29">
                  <c:v>5.0020000000000004E-3</c:v>
                </c:pt>
                <c:pt idx="30">
                  <c:v>3.8974999999999999E-3</c:v>
                </c:pt>
                <c:pt idx="31">
                  <c:v>2.9542800000000001E-3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62-4874-87C7-8CD320CF6763}"/>
            </c:ext>
          </c:extLst>
        </c:ser>
        <c:ser>
          <c:idx val="1"/>
          <c:order val="1"/>
          <c:tx>
            <c:strRef>
              <c:f>depth_stats_ltc!$K$1:$K$1</c:f>
              <c:strCache>
                <c:ptCount val="1"/>
                <c:pt idx="0">
                  <c:v>n%(+128)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0.00" "%</c:formatCode>
                <c:ptCount val="3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62-4874-87C7-8CD320CF6763}"/>
            </c:ext>
          </c:extLst>
        </c:ser>
        <c:ser>
          <c:idx val="2"/>
          <c:order val="2"/>
          <c:tx>
            <c:strRef>
              <c:f>depth_stats_ltc!$M$1:$M$1</c:f>
              <c:strCache>
                <c:ptCount val="1"/>
                <c:pt idx="0">
                  <c:v>n%(w-d)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62-4874-87C7-8CD320CF6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0640"/>
        <c:axId val="735001360"/>
      </c:scatterChart>
      <c:valAx>
        <c:axId val="73500136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0640"/>
        <c:crosses val="autoZero"/>
        <c:crossBetween val="midCat"/>
      </c:valAx>
      <c:valAx>
        <c:axId val="73500064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136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depth_stats_stc!$H$1:$H$1</c:f>
              <c:strCache>
                <c:ptCount val="1"/>
                <c:pt idx="0">
                  <c:v>n%(r+653)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0.00" "%</c:formatCode>
                <c:ptCount val="32"/>
                <c:pt idx="0">
                  <c:v>2.5159899344349146E-3</c:v>
                </c:pt>
                <c:pt idx="1">
                  <c:v>2.4320857729884571E-2</c:v>
                </c:pt>
                <c:pt idx="2">
                  <c:v>-1.814162716680956E-2</c:v>
                </c:pt>
                <c:pt idx="3">
                  <c:v>-1.6467296731922598E-2</c:v>
                </c:pt>
                <c:pt idx="4">
                  <c:v>-1.3469175244067877E-2</c:v>
                </c:pt>
                <c:pt idx="5">
                  <c:v>-1.3089758232964765E-2</c:v>
                </c:pt>
                <c:pt idx="6">
                  <c:v>-1.2079706272905888E-2</c:v>
                </c:pt>
                <c:pt idx="7">
                  <c:v>-1.1087017925900611E-2</c:v>
                </c:pt>
                <c:pt idx="8">
                  <c:v>-9.8246502223897636E-3</c:v>
                </c:pt>
                <c:pt idx="9">
                  <c:v>-1.0986726244238465E-2</c:v>
                </c:pt>
                <c:pt idx="10">
                  <c:v>-9.2171660092912333E-3</c:v>
                </c:pt>
                <c:pt idx="11">
                  <c:v>-7.7278323107590197E-3</c:v>
                </c:pt>
                <c:pt idx="12">
                  <c:v>-1.1415314945817379E-2</c:v>
                </c:pt>
                <c:pt idx="13">
                  <c:v>-1.3683465764811054E-2</c:v>
                </c:pt>
                <c:pt idx="14">
                  <c:v>-1.6377672675283783E-2</c:v>
                </c:pt>
                <c:pt idx="15">
                  <c:v>-1.2231096992695534E-2</c:v>
                </c:pt>
                <c:pt idx="16">
                  <c:v>-1.9819402419440912E-2</c:v>
                </c:pt>
                <c:pt idx="17">
                  <c:v>-1.3160062049296428E-2</c:v>
                </c:pt>
                <c:pt idx="18">
                  <c:v>-1.3040123245052548E-2</c:v>
                </c:pt>
                <c:pt idx="19">
                  <c:v>-1.6909142770873409E-2</c:v>
                </c:pt>
                <c:pt idx="20">
                  <c:v>3.4624269433614074E-3</c:v>
                </c:pt>
                <c:pt idx="21">
                  <c:v>9.5294739500761949E-3</c:v>
                </c:pt>
                <c:pt idx="22">
                  <c:v>5.4922156727680971E-2</c:v>
                </c:pt>
                <c:pt idx="23">
                  <c:v>9.3361034665603526E-2</c:v>
                </c:pt>
                <c:pt idx="24">
                  <c:v>0.16936376288044208</c:v>
                </c:pt>
                <c:pt idx="25">
                  <c:v>0.24344218915712901</c:v>
                </c:pt>
                <c:pt idx="26">
                  <c:v>0.27065247965101946</c:v>
                </c:pt>
                <c:pt idx="27">
                  <c:v>0.31898155601731837</c:v>
                </c:pt>
                <c:pt idx="28">
                  <c:v>0.33798676767633395</c:v>
                </c:pt>
                <c:pt idx="29">
                  <c:v>0.43111061158723274</c:v>
                </c:pt>
                <c:pt idx="30">
                  <c:v>0.43537164424384933</c:v>
                </c:pt>
                <c:pt idx="31">
                  <c:v>0.36392608461419229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DE-4B2B-A591-A3F3F2BC4984}"/>
            </c:ext>
          </c:extLst>
        </c:ser>
        <c:ser>
          <c:idx val="1"/>
          <c:order val="1"/>
          <c:tx>
            <c:strRef>
              <c:f>depth_stats_stc!$J$1:$J$1</c:f>
              <c:strCache>
                <c:ptCount val="1"/>
                <c:pt idx="0">
                  <c:v>n%(+128)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0.00" "%</c:formatCode>
                <c:ptCount val="32"/>
                <c:pt idx="0">
                  <c:v>-5.7199467052271302E-4</c:v>
                </c:pt>
                <c:pt idx="1">
                  <c:v>1.7781129053122569E-2</c:v>
                </c:pt>
                <c:pt idx="2">
                  <c:v>-1.2357943793773529E-2</c:v>
                </c:pt>
                <c:pt idx="3">
                  <c:v>-8.1855708477545086E-3</c:v>
                </c:pt>
                <c:pt idx="4">
                  <c:v>-6.7735367880201736E-3</c:v>
                </c:pt>
                <c:pt idx="5">
                  <c:v>-9.4546641517871954E-3</c:v>
                </c:pt>
                <c:pt idx="6">
                  <c:v>-1.0001857198973951E-2</c:v>
                </c:pt>
                <c:pt idx="7">
                  <c:v>-8.0693881645572674E-3</c:v>
                </c:pt>
                <c:pt idx="8">
                  <c:v>-5.5330975369973778E-3</c:v>
                </c:pt>
                <c:pt idx="9">
                  <c:v>-7.5272036429212541E-3</c:v>
                </c:pt>
                <c:pt idx="10">
                  <c:v>-8.1258223255877837E-3</c:v>
                </c:pt>
                <c:pt idx="11">
                  <c:v>-7.4718558683022351E-3</c:v>
                </c:pt>
                <c:pt idx="12">
                  <c:v>-1.3733621892485282E-2</c:v>
                </c:pt>
                <c:pt idx="13">
                  <c:v>-1.5212425523806417E-2</c:v>
                </c:pt>
                <c:pt idx="14">
                  <c:v>-1.7995903694743909E-2</c:v>
                </c:pt>
                <c:pt idx="15">
                  <c:v>-1.2555465252997777E-2</c:v>
                </c:pt>
                <c:pt idx="16">
                  <c:v>-1.0951682452552625E-2</c:v>
                </c:pt>
                <c:pt idx="17">
                  <c:v>4.8248456910906512E-3</c:v>
                </c:pt>
                <c:pt idx="18">
                  <c:v>2.1753813164358426E-2</c:v>
                </c:pt>
                <c:pt idx="19">
                  <c:v>3.4618194280827908E-2</c:v>
                </c:pt>
                <c:pt idx="20">
                  <c:v>5.9587438664346237E-2</c:v>
                </c:pt>
                <c:pt idx="21">
                  <c:v>8.8287844809183724E-2</c:v>
                </c:pt>
                <c:pt idx="22">
                  <c:v>0.14057013266296714</c:v>
                </c:pt>
                <c:pt idx="23">
                  <c:v>0.16302618777493016</c:v>
                </c:pt>
                <c:pt idx="24">
                  <c:v>0.19591464265994496</c:v>
                </c:pt>
                <c:pt idx="25">
                  <c:v>0.22514373621184447</c:v>
                </c:pt>
                <c:pt idx="26">
                  <c:v>0.20287686015568696</c:v>
                </c:pt>
                <c:pt idx="27">
                  <c:v>0.27846182683433263</c:v>
                </c:pt>
                <c:pt idx="28">
                  <c:v>0.28803993924974769</c:v>
                </c:pt>
                <c:pt idx="29">
                  <c:v>0.32264002609071696</c:v>
                </c:pt>
                <c:pt idx="30">
                  <c:v>0.35293686918265088</c:v>
                </c:pt>
                <c:pt idx="31">
                  <c:v>0.30551316223620617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DE-4B2B-A591-A3F3F2BC4984}"/>
            </c:ext>
          </c:extLst>
        </c:ser>
        <c:ser>
          <c:idx val="2"/>
          <c:order val="2"/>
          <c:tx>
            <c:strRef>
              <c:f>depth_stats_stc!$L$1:$L$1</c:f>
              <c:strCache>
                <c:ptCount val="1"/>
                <c:pt idx="0">
                  <c:v>n%(w-d)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0.00" "%</c:formatCode>
                <c:ptCount val="32"/>
                <c:pt idx="0">
                  <c:v>-2.2275522617527521E-3</c:v>
                </c:pt>
                <c:pt idx="1">
                  <c:v>4.5737998762462873E-4</c:v>
                </c:pt>
                <c:pt idx="2">
                  <c:v>2.548416920881369E-3</c:v>
                </c:pt>
                <c:pt idx="3">
                  <c:v>2.9138549301905847E-3</c:v>
                </c:pt>
                <c:pt idx="4">
                  <c:v>5.9846988081124763E-4</c:v>
                </c:pt>
                <c:pt idx="5">
                  <c:v>-2.5598077890198745E-3</c:v>
                </c:pt>
                <c:pt idx="6">
                  <c:v>-3.3431962094971901E-3</c:v>
                </c:pt>
                <c:pt idx="7">
                  <c:v>-2.3308864808679886E-3</c:v>
                </c:pt>
                <c:pt idx="8">
                  <c:v>-2.0582784369369556E-3</c:v>
                </c:pt>
                <c:pt idx="9">
                  <c:v>-4.3027643957045392E-3</c:v>
                </c:pt>
                <c:pt idx="10">
                  <c:v>-3.9150494795947566E-3</c:v>
                </c:pt>
                <c:pt idx="11">
                  <c:v>-3.3594163109968989E-3</c:v>
                </c:pt>
                <c:pt idx="12">
                  <c:v>-2.5895908472461926E-3</c:v>
                </c:pt>
                <c:pt idx="13">
                  <c:v>-2.5109856200566938E-3</c:v>
                </c:pt>
                <c:pt idx="14">
                  <c:v>2.4844650905135879E-3</c:v>
                </c:pt>
                <c:pt idx="15">
                  <c:v>1.21552529949982E-2</c:v>
                </c:pt>
                <c:pt idx="16">
                  <c:v>2.8248893304705369E-2</c:v>
                </c:pt>
                <c:pt idx="17">
                  <c:v>5.2887241861610867E-2</c:v>
                </c:pt>
                <c:pt idx="18">
                  <c:v>8.3374965315146987E-2</c:v>
                </c:pt>
                <c:pt idx="19">
                  <c:v>0.11767251854249672</c:v>
                </c:pt>
                <c:pt idx="20">
                  <c:v>0.16629017303271532</c:v>
                </c:pt>
                <c:pt idx="21">
                  <c:v>0.23130192821796314</c:v>
                </c:pt>
                <c:pt idx="22">
                  <c:v>0.30605472396638689</c:v>
                </c:pt>
                <c:pt idx="23">
                  <c:v>0.35468873480672336</c:v>
                </c:pt>
                <c:pt idx="24">
                  <c:v>0.42122214398400004</c:v>
                </c:pt>
                <c:pt idx="25">
                  <c:v>0.4603393668328728</c:v>
                </c:pt>
                <c:pt idx="26">
                  <c:v>0.47564885727762984</c:v>
                </c:pt>
                <c:pt idx="27">
                  <c:v>0.50811001362976604</c:v>
                </c:pt>
                <c:pt idx="28">
                  <c:v>0.52249088080623984</c:v>
                </c:pt>
                <c:pt idx="29">
                  <c:v>0.5752582833157156</c:v>
                </c:pt>
                <c:pt idx="30">
                  <c:v>0.57827476886230755</c:v>
                </c:pt>
                <c:pt idx="31">
                  <c:v>0.47766685487782112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DE-4B2B-A591-A3F3F2BC4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4960"/>
        <c:axId val="735004240"/>
      </c:scatterChart>
      <c:valAx>
        <c:axId val="73500424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4960"/>
        <c:crosses val="autoZero"/>
        <c:crossBetween val="midCat"/>
      </c:valAx>
      <c:valAx>
        <c:axId val="73500496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424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400" b="0" i="0" u="none" strike="noStrike" kern="1200" spc="0" baseline="0">
                <a:solidFill>
                  <a:srgbClr val="595959"/>
                </a:solidFill>
                <a:latin typeface="Calibri"/>
              </a:defRPr>
            </a:pPr>
            <a:r>
              <a:rPr lang="de-DE" sz="1400" b="0" i="0" u="none" strike="noStrike" kern="1200" cap="none" spc="0" baseline="0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depth_stats_stc!$I$1:$I$1</c:f>
              <c:strCache>
                <c:ptCount val="1"/>
                <c:pt idx="0">
                  <c:v>n%(r+653)</c:v>
                </c:pt>
              </c:strCache>
            </c:strRef>
          </c:tx>
          <c:spPr>
            <a:ln w="19046" cap="rnd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0.00" "%</c:formatCode>
                <c:ptCount val="32"/>
                <c:pt idx="0">
                  <c:v>4.9300000000002342E-2</c:v>
                </c:pt>
                <c:pt idx="1">
                  <c:v>0.51289999999999836</c:v>
                </c:pt>
                <c:pt idx="2">
                  <c:v>-0.14108999999999838</c:v>
                </c:pt>
                <c:pt idx="3">
                  <c:v>-0.11512999999999973</c:v>
                </c:pt>
                <c:pt idx="4">
                  <c:v>-7.7840000000000131E-2</c:v>
                </c:pt>
                <c:pt idx="5">
                  <c:v>-5.7609999999999495E-2</c:v>
                </c:pt>
                <c:pt idx="6">
                  <c:v>-4.1059999999999874E-2</c:v>
                </c:pt>
                <c:pt idx="7">
                  <c:v>-3.0980000000000008E-2</c:v>
                </c:pt>
                <c:pt idx="8">
                  <c:v>-2.3160000000000291E-2</c:v>
                </c:pt>
                <c:pt idx="9">
                  <c:v>-2.1100000000000119E-2</c:v>
                </c:pt>
                <c:pt idx="10">
                  <c:v>-1.415999999999995E-2</c:v>
                </c:pt>
                <c:pt idx="11">
                  <c:v>-9.0900000000000425E-3</c:v>
                </c:pt>
                <c:pt idx="12">
                  <c:v>-9.9939999999999474E-3</c:v>
                </c:pt>
                <c:pt idx="13">
                  <c:v>-8.4489999999999288E-3</c:v>
                </c:pt>
                <c:pt idx="14">
                  <c:v>-6.9029999999999925E-3</c:v>
                </c:pt>
                <c:pt idx="15">
                  <c:v>-3.3769999999999634E-3</c:v>
                </c:pt>
                <c:pt idx="16">
                  <c:v>-3.4899999999999931E-3</c:v>
                </c:pt>
                <c:pt idx="17">
                  <c:v>-1.4300000000000007E-3</c:v>
                </c:pt>
                <c:pt idx="18">
                  <c:v>-8.6870000000000003E-4</c:v>
                </c:pt>
                <c:pt idx="19">
                  <c:v>-6.8569999999999742E-4</c:v>
                </c:pt>
                <c:pt idx="20">
                  <c:v>8.5200000000000553E-5</c:v>
                </c:pt>
                <c:pt idx="21">
                  <c:v>1.4270000000000081E-4</c:v>
                </c:pt>
                <c:pt idx="22">
                  <c:v>5.0270999999999996E-4</c:v>
                </c:pt>
                <c:pt idx="23">
                  <c:v>5.3858000000000031E-4</c:v>
                </c:pt>
                <c:pt idx="24">
                  <c:v>6.3097999999999974E-4</c:v>
                </c:pt>
                <c:pt idx="25">
                  <c:v>5.9024000000000012E-4</c:v>
                </c:pt>
                <c:pt idx="26">
                  <c:v>4.418899999999999E-4</c:v>
                </c:pt>
                <c:pt idx="27">
                  <c:v>3.524820000000001E-4</c:v>
                </c:pt>
                <c:pt idx="28">
                  <c:v>2.5143499999999994E-4</c:v>
                </c:pt>
                <c:pt idx="29">
                  <c:v>2.1727299999999998E-4</c:v>
                </c:pt>
                <c:pt idx="30">
                  <c:v>1.4593499999999998E-4</c:v>
                </c:pt>
                <c:pt idx="31">
                  <c:v>8.7248999999999991E-5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35-45FE-B75F-91E160AB4270}"/>
            </c:ext>
          </c:extLst>
        </c:ser>
        <c:ser>
          <c:idx val="1"/>
          <c:order val="1"/>
          <c:tx>
            <c:strRef>
              <c:f>depth_stats_stc!$K$1:$K$1</c:f>
              <c:strCache>
                <c:ptCount val="1"/>
                <c:pt idx="0">
                  <c:v>n%(+128)</c:v>
                </c:pt>
              </c:strCache>
            </c:strRef>
          </c:tx>
          <c:spPr>
            <a:ln w="19046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0.00" "%</c:formatCode>
                <c:ptCount val="32"/>
                <c:pt idx="0">
                  <c:v>-1.1199999999998766E-2</c:v>
                </c:pt>
                <c:pt idx="1">
                  <c:v>0.37450000000000117</c:v>
                </c:pt>
                <c:pt idx="2">
                  <c:v>-9.6339999999999648E-2</c:v>
                </c:pt>
                <c:pt idx="3">
                  <c:v>-5.7429999999999204E-2</c:v>
                </c:pt>
                <c:pt idx="4">
                  <c:v>-3.9259999999999629E-2</c:v>
                </c:pt>
                <c:pt idx="5">
                  <c:v>-4.1679999999999495E-2</c:v>
                </c:pt>
                <c:pt idx="6">
                  <c:v>-3.4030000000000005E-2</c:v>
                </c:pt>
                <c:pt idx="7">
                  <c:v>-2.2580000000000044E-2</c:v>
                </c:pt>
                <c:pt idx="8">
                  <c:v>-1.3070000000000359E-2</c:v>
                </c:pt>
                <c:pt idx="9">
                  <c:v>-1.4480000000000048E-2</c:v>
                </c:pt>
                <c:pt idx="10">
                  <c:v>-1.248999999999989E-2</c:v>
                </c:pt>
                <c:pt idx="11">
                  <c:v>-8.7900000000000755E-3</c:v>
                </c:pt>
                <c:pt idx="12">
                  <c:v>-1.2009999999999965E-2</c:v>
                </c:pt>
                <c:pt idx="13">
                  <c:v>-9.3860000000000054E-3</c:v>
                </c:pt>
                <c:pt idx="14">
                  <c:v>-7.5790000000000024E-3</c:v>
                </c:pt>
                <c:pt idx="15">
                  <c:v>-3.4659999999999691E-3</c:v>
                </c:pt>
                <c:pt idx="16">
                  <c:v>-1.9369999999999943E-3</c:v>
                </c:pt>
                <c:pt idx="17">
                  <c:v>5.2900000000000169E-4</c:v>
                </c:pt>
                <c:pt idx="18">
                  <c:v>1.4746000000000065E-3</c:v>
                </c:pt>
                <c:pt idx="19">
                  <c:v>1.4405000000000043E-3</c:v>
                </c:pt>
                <c:pt idx="20">
                  <c:v>1.5082000000000012E-3</c:v>
                </c:pt>
                <c:pt idx="21">
                  <c:v>1.3755999999999994E-3</c:v>
                </c:pt>
                <c:pt idx="22">
                  <c:v>1.3438800000000004E-3</c:v>
                </c:pt>
                <c:pt idx="23">
                  <c:v>9.7451999999999955E-4</c:v>
                </c:pt>
                <c:pt idx="24">
                  <c:v>7.3994999999999964E-4</c:v>
                </c:pt>
                <c:pt idx="25">
                  <c:v>5.4071000000000024E-4</c:v>
                </c:pt>
                <c:pt idx="26">
                  <c:v>3.1977000000000004E-4</c:v>
                </c:pt>
                <c:pt idx="27">
                  <c:v>3.0123200000000002E-4</c:v>
                </c:pt>
                <c:pt idx="28">
                  <c:v>2.0872199999999994E-4</c:v>
                </c:pt>
                <c:pt idx="29">
                  <c:v>1.5349900000000003E-4</c:v>
                </c:pt>
                <c:pt idx="30">
                  <c:v>1.1321999999999998E-4</c:v>
                </c:pt>
                <c:pt idx="31">
                  <c:v>7.1021000000000024E-5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35-45FE-B75F-91E160AB4270}"/>
            </c:ext>
          </c:extLst>
        </c:ser>
        <c:ser>
          <c:idx val="2"/>
          <c:order val="2"/>
          <c:tx>
            <c:strRef>
              <c:f>depth_stats_stc!$M$1:$M$1</c:f>
              <c:strCache>
                <c:ptCount val="1"/>
                <c:pt idx="0">
                  <c:v>n%(w-d)</c:v>
                </c:pt>
              </c:strCache>
            </c:strRef>
          </c:tx>
          <c:spPr>
            <a:ln w="19046" cap="rnd">
              <a:solidFill>
                <a:srgbClr val="A5A5A5"/>
              </a:solidFill>
              <a:prstDash val="solid"/>
              <a:round/>
            </a:ln>
          </c:spPr>
          <c:marker>
            <c:symbol val="circle"/>
            <c:size val="5"/>
          </c:marker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0.00" "%</c:formatCode>
                <c:ptCount val="32"/>
                <c:pt idx="0">
                  <c:v>-4.3599999999997863E-2</c:v>
                </c:pt>
                <c:pt idx="1">
                  <c:v>9.5999999999989427E-3</c:v>
                </c:pt>
                <c:pt idx="2">
                  <c:v>1.9989999999999952E-2</c:v>
                </c:pt>
                <c:pt idx="3">
                  <c:v>2.0540000000000447E-2</c:v>
                </c:pt>
                <c:pt idx="4">
                  <c:v>3.4799999999997056E-3</c:v>
                </c:pt>
                <c:pt idx="5">
                  <c:v>-1.1319999999999553E-2</c:v>
                </c:pt>
                <c:pt idx="6">
                  <c:v>-1.1410000000000142E-2</c:v>
                </c:pt>
                <c:pt idx="7">
                  <c:v>-6.5399999999997682E-3</c:v>
                </c:pt>
                <c:pt idx="8">
                  <c:v>-4.870000000000374E-3</c:v>
                </c:pt>
                <c:pt idx="9">
                  <c:v>-8.2900000000001306E-3</c:v>
                </c:pt>
                <c:pt idx="10">
                  <c:v>-6.0299999999999798E-3</c:v>
                </c:pt>
                <c:pt idx="11">
                  <c:v>-3.9599999999999635E-3</c:v>
                </c:pt>
                <c:pt idx="12">
                  <c:v>-2.2769999999999735E-3</c:v>
                </c:pt>
                <c:pt idx="13">
                  <c:v>-1.5589999999999771E-3</c:v>
                </c:pt>
                <c:pt idx="14">
                  <c:v>1.0570000000000301E-3</c:v>
                </c:pt>
                <c:pt idx="15">
                  <c:v>3.3970000000000389E-3</c:v>
                </c:pt>
                <c:pt idx="16">
                  <c:v>5.0949999999999884E-3</c:v>
                </c:pt>
                <c:pt idx="17">
                  <c:v>5.9400000000000008E-3</c:v>
                </c:pt>
                <c:pt idx="18">
                  <c:v>5.82980000000001E-3</c:v>
                </c:pt>
                <c:pt idx="19">
                  <c:v>5.1066000000000028E-3</c:v>
                </c:pt>
                <c:pt idx="20">
                  <c:v>4.4439000000000006E-3</c:v>
                </c:pt>
                <c:pt idx="21">
                  <c:v>3.8782999999999995E-3</c:v>
                </c:pt>
                <c:pt idx="22">
                  <c:v>3.1880799999999994E-3</c:v>
                </c:pt>
                <c:pt idx="23">
                  <c:v>2.3430799999999991E-3</c:v>
                </c:pt>
                <c:pt idx="24">
                  <c:v>1.7909299999999996E-3</c:v>
                </c:pt>
                <c:pt idx="25">
                  <c:v>1.2518799999999999E-3</c:v>
                </c:pt>
                <c:pt idx="26">
                  <c:v>8.658899999999998E-4</c:v>
                </c:pt>
                <c:pt idx="27">
                  <c:v>6.2118200000000007E-4</c:v>
                </c:pt>
                <c:pt idx="28">
                  <c:v>4.2907399999999988E-4</c:v>
                </c:pt>
                <c:pt idx="29">
                  <c:v>3.1346899999999998E-4</c:v>
                </c:pt>
                <c:pt idx="30">
                  <c:v>2.0944699999999998E-4</c:v>
                </c:pt>
                <c:pt idx="31">
                  <c:v>1.2170199999999998E-4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35-45FE-B75F-91E160AB4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5320"/>
        <c:axId val="735003160"/>
      </c:scatterChart>
      <c:valAx>
        <c:axId val="735003160"/>
        <c:scaling>
          <c:orientation val="minMax"/>
        </c:scaling>
        <c:delete val="0"/>
        <c:axPos val="l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5320"/>
        <c:crosses val="autoZero"/>
        <c:crossBetween val="midCat"/>
      </c:valAx>
      <c:valAx>
        <c:axId val="735005320"/>
        <c:scaling>
          <c:orientation val="minMax"/>
        </c:scaling>
        <c:delete val="0"/>
        <c:axPos val="b"/>
        <c:majorGridlines>
          <c:spPr>
            <a:ln w="9528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8" cap="flat">
            <a:solidFill>
              <a:srgbClr val="BFBFBF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900" b="0" i="0" u="none" strike="noStrike" kern="1200" baseline="0">
                <a:solidFill>
                  <a:srgbClr val="595959"/>
                </a:solidFill>
                <a:latin typeface="Calibri"/>
              </a:defRPr>
            </a:pPr>
            <a:endParaRPr lang="de-DE"/>
          </a:p>
        </c:txPr>
        <c:crossAx val="735003160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900" b="0" i="0" u="none" strike="noStrike" kern="1200" baseline="0">
              <a:solidFill>
                <a:srgbClr val="595959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9528" cap="flat">
      <a:solidFill>
        <a:srgbClr val="D9D9D9"/>
      </a:solidFill>
      <a:prstDash val="solid"/>
      <a:round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>
        <c:manualLayout>
          <c:xMode val="edge"/>
          <c:yMode val="edge"/>
          <c:x val="0.12606256641040064"/>
          <c:y val="4.0031262356662711E-2"/>
          <c:w val="0.87393743358959941"/>
          <c:h val="0.95996842872676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Tabelle4!$C$1:$C$1</c:f>
              <c:strCache>
                <c:ptCount val="1"/>
                <c:pt idx="0">
                  <c:v>fh%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7"/>
          </c:marker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5.0091099999999997</c:v>
                </c:pt>
                <c:pt idx="1">
                  <c:v>7.2463800000000003</c:v>
                </c:pt>
                <c:pt idx="2">
                  <c:v>6.25</c:v>
                </c:pt>
                <c:pt idx="3">
                  <c:v>11.764699999999999</c:v>
                </c:pt>
                <c:pt idx="4">
                  <c:v>2.4390200000000002</c:v>
                </c:pt>
                <c:pt idx="5">
                  <c:v>11.6279</c:v>
                </c:pt>
                <c:pt idx="6">
                  <c:v>4.1095899999999999</c:v>
                </c:pt>
                <c:pt idx="7">
                  <c:v>4.0816299999999996</c:v>
                </c:pt>
                <c:pt idx="8">
                  <c:v>2.7777799999999999</c:v>
                </c:pt>
                <c:pt idx="9">
                  <c:v>8</c:v>
                </c:pt>
                <c:pt idx="10">
                  <c:v>3.0769199999999999</c:v>
                </c:pt>
                <c:pt idx="11">
                  <c:v>6.3492100000000002</c:v>
                </c:pt>
                <c:pt idx="12">
                  <c:v>8.1081099999999999</c:v>
                </c:pt>
                <c:pt idx="13">
                  <c:v>2.2727300000000001</c:v>
                </c:pt>
                <c:pt idx="14">
                  <c:v>9.4736799999999999</c:v>
                </c:pt>
                <c:pt idx="15">
                  <c:v>3.4782600000000001</c:v>
                </c:pt>
                <c:pt idx="16">
                  <c:v>7.1428599999999998</c:v>
                </c:pt>
                <c:pt idx="17">
                  <c:v>8.3333300000000001</c:v>
                </c:pt>
                <c:pt idx="18">
                  <c:v>5.0632900000000003</c:v>
                </c:pt>
                <c:pt idx="19">
                  <c:v>6.3829799999999999</c:v>
                </c:pt>
                <c:pt idx="20">
                  <c:v>5.4054099999999998</c:v>
                </c:pt>
                <c:pt idx="21">
                  <c:v>4.65116</c:v>
                </c:pt>
                <c:pt idx="22">
                  <c:v>7.0422500000000001</c:v>
                </c:pt>
                <c:pt idx="23">
                  <c:v>3.5714299999999999</c:v>
                </c:pt>
                <c:pt idx="24">
                  <c:v>7.5757599999999998</c:v>
                </c:pt>
                <c:pt idx="25">
                  <c:v>7.2463800000000003</c:v>
                </c:pt>
                <c:pt idx="26">
                  <c:v>5.2631600000000001</c:v>
                </c:pt>
                <c:pt idx="27">
                  <c:v>7.8947399999999996</c:v>
                </c:pt>
                <c:pt idx="28">
                  <c:v>7.1428599999999998</c:v>
                </c:pt>
                <c:pt idx="29">
                  <c:v>8.1395300000000006</c:v>
                </c:pt>
                <c:pt idx="30">
                  <c:v>6.9892500000000002</c:v>
                </c:pt>
                <c:pt idx="31">
                  <c:v>11.2676</c:v>
                </c:pt>
                <c:pt idx="32">
                  <c:v>11.1675</c:v>
                </c:pt>
                <c:pt idx="33">
                  <c:v>8.2987599999999997</c:v>
                </c:pt>
                <c:pt idx="34">
                  <c:v>5.46875</c:v>
                </c:pt>
                <c:pt idx="35">
                  <c:v>7.6045600000000002</c:v>
                </c:pt>
                <c:pt idx="36">
                  <c:v>4.4198899999999997</c:v>
                </c:pt>
                <c:pt idx="37">
                  <c:v>3.7037</c:v>
                </c:pt>
                <c:pt idx="38">
                  <c:v>5.0938299999999996</c:v>
                </c:pt>
                <c:pt idx="39">
                  <c:v>4.9019599999999999</c:v>
                </c:pt>
                <c:pt idx="40">
                  <c:v>6</c:v>
                </c:pt>
                <c:pt idx="41">
                  <c:v>7.5060500000000001</c:v>
                </c:pt>
                <c:pt idx="42">
                  <c:v>4.8433000000000002</c:v>
                </c:pt>
                <c:pt idx="43">
                  <c:v>5.0445099999999998</c:v>
                </c:pt>
                <c:pt idx="44">
                  <c:v>3.6175700000000002</c:v>
                </c:pt>
                <c:pt idx="45">
                  <c:v>4.1474700000000002</c:v>
                </c:pt>
                <c:pt idx="46">
                  <c:v>5.5441500000000001</c:v>
                </c:pt>
                <c:pt idx="47">
                  <c:v>4.81013</c:v>
                </c:pt>
                <c:pt idx="48">
                  <c:v>4.375</c:v>
                </c:pt>
                <c:pt idx="49">
                  <c:v>6.0679600000000002</c:v>
                </c:pt>
                <c:pt idx="50">
                  <c:v>4.4484000000000004</c:v>
                </c:pt>
                <c:pt idx="51">
                  <c:v>4.6875</c:v>
                </c:pt>
                <c:pt idx="52">
                  <c:v>4.5801499999999997</c:v>
                </c:pt>
                <c:pt idx="53">
                  <c:v>3.6538499999999998</c:v>
                </c:pt>
                <c:pt idx="54">
                  <c:v>4.22323</c:v>
                </c:pt>
                <c:pt idx="55">
                  <c:v>3.2704399999999998</c:v>
                </c:pt>
                <c:pt idx="56">
                  <c:v>3.5582799999999999</c:v>
                </c:pt>
                <c:pt idx="57">
                  <c:v>4.5662099999999999</c:v>
                </c:pt>
                <c:pt idx="58">
                  <c:v>2.59849</c:v>
                </c:pt>
                <c:pt idx="59">
                  <c:v>4.0683499999999997</c:v>
                </c:pt>
                <c:pt idx="60">
                  <c:v>2.9478499999999999</c:v>
                </c:pt>
                <c:pt idx="61">
                  <c:v>4.2345300000000003</c:v>
                </c:pt>
                <c:pt idx="62">
                  <c:v>4.0391700000000004</c:v>
                </c:pt>
                <c:pt idx="63">
                  <c:v>3.8105000000000002</c:v>
                </c:pt>
                <c:pt idx="64">
                  <c:v>2.8277600000000001</c:v>
                </c:pt>
                <c:pt idx="65">
                  <c:v>3.8848400000000001</c:v>
                </c:pt>
                <c:pt idx="66">
                  <c:v>3.6493600000000002</c:v>
                </c:pt>
                <c:pt idx="67">
                  <c:v>3.5278999999999998</c:v>
                </c:pt>
                <c:pt idx="68">
                  <c:v>3.7930100000000002</c:v>
                </c:pt>
                <c:pt idx="69">
                  <c:v>4.2089600000000003</c:v>
                </c:pt>
                <c:pt idx="70">
                  <c:v>3.78044</c:v>
                </c:pt>
                <c:pt idx="71">
                  <c:v>4.5920500000000004</c:v>
                </c:pt>
                <c:pt idx="72">
                  <c:v>3.8800699999999999</c:v>
                </c:pt>
                <c:pt idx="73">
                  <c:v>3.4513500000000001</c:v>
                </c:pt>
                <c:pt idx="74">
                  <c:v>3.5614599999999998</c:v>
                </c:pt>
                <c:pt idx="75">
                  <c:v>3.9312299999999998</c:v>
                </c:pt>
                <c:pt idx="76">
                  <c:v>3.6981000000000002</c:v>
                </c:pt>
                <c:pt idx="77">
                  <c:v>3.7389600000000001</c:v>
                </c:pt>
                <c:pt idx="78">
                  <c:v>3.4955699999999998</c:v>
                </c:pt>
                <c:pt idx="79">
                  <c:v>3.82029</c:v>
                </c:pt>
                <c:pt idx="80">
                  <c:v>3.4544100000000002</c:v>
                </c:pt>
                <c:pt idx="81">
                  <c:v>3.8721999999999999</c:v>
                </c:pt>
                <c:pt idx="82">
                  <c:v>3.7179199999999999</c:v>
                </c:pt>
                <c:pt idx="83">
                  <c:v>3.5707100000000001</c:v>
                </c:pt>
                <c:pt idx="84">
                  <c:v>3.5724300000000002</c:v>
                </c:pt>
                <c:pt idx="85">
                  <c:v>3.8774999999999999</c:v>
                </c:pt>
                <c:pt idx="86">
                  <c:v>3.81758</c:v>
                </c:pt>
                <c:pt idx="87">
                  <c:v>3.98692</c:v>
                </c:pt>
                <c:pt idx="88">
                  <c:v>3.9933900000000002</c:v>
                </c:pt>
                <c:pt idx="89">
                  <c:v>4.3691899999999997</c:v>
                </c:pt>
                <c:pt idx="90">
                  <c:v>4.4989299999999997</c:v>
                </c:pt>
                <c:pt idx="91">
                  <c:v>4.6677900000000001</c:v>
                </c:pt>
                <c:pt idx="92">
                  <c:v>4.835</c:v>
                </c:pt>
                <c:pt idx="93">
                  <c:v>4.9983000000000004</c:v>
                </c:pt>
                <c:pt idx="94">
                  <c:v>5.2533500000000002</c:v>
                </c:pt>
                <c:pt idx="95">
                  <c:v>5.4139499999999998</c:v>
                </c:pt>
                <c:pt idx="96">
                  <c:v>5.35717</c:v>
                </c:pt>
                <c:pt idx="97">
                  <c:v>5.3282299999999996</c:v>
                </c:pt>
                <c:pt idx="98">
                  <c:v>5.2015000000000002</c:v>
                </c:pt>
                <c:pt idx="99">
                  <c:v>5.0483799999999999</c:v>
                </c:pt>
                <c:pt idx="100">
                  <c:v>22.288</c:v>
                </c:pt>
                <c:pt idx="101">
                  <c:v>46.360100000000003</c:v>
                </c:pt>
                <c:pt idx="102">
                  <c:v>48.189300000000003</c:v>
                </c:pt>
                <c:pt idx="103">
                  <c:v>50.658700000000003</c:v>
                </c:pt>
                <c:pt idx="104">
                  <c:v>52.067100000000003</c:v>
                </c:pt>
                <c:pt idx="105">
                  <c:v>53.329300000000003</c:v>
                </c:pt>
                <c:pt idx="106">
                  <c:v>54.143900000000002</c:v>
                </c:pt>
                <c:pt idx="107">
                  <c:v>55.9893</c:v>
                </c:pt>
                <c:pt idx="108">
                  <c:v>57.148600000000002</c:v>
                </c:pt>
                <c:pt idx="109">
                  <c:v>57.5182</c:v>
                </c:pt>
                <c:pt idx="110">
                  <c:v>58.923499999999997</c:v>
                </c:pt>
                <c:pt idx="111">
                  <c:v>59.192599999999999</c:v>
                </c:pt>
                <c:pt idx="112">
                  <c:v>60.284199999999998</c:v>
                </c:pt>
                <c:pt idx="113">
                  <c:v>61.163600000000002</c:v>
                </c:pt>
                <c:pt idx="114">
                  <c:v>61.093600000000002</c:v>
                </c:pt>
                <c:pt idx="115">
                  <c:v>61.659199999999998</c:v>
                </c:pt>
                <c:pt idx="116">
                  <c:v>62.705399999999997</c:v>
                </c:pt>
                <c:pt idx="117">
                  <c:v>62.829300000000003</c:v>
                </c:pt>
                <c:pt idx="118">
                  <c:v>63.202399999999997</c:v>
                </c:pt>
                <c:pt idx="119">
                  <c:v>64.033299999999997</c:v>
                </c:pt>
                <c:pt idx="120">
                  <c:v>64.926199999999994</c:v>
                </c:pt>
                <c:pt idx="121">
                  <c:v>65.673699999999997</c:v>
                </c:pt>
                <c:pt idx="122">
                  <c:v>66.600399999999993</c:v>
                </c:pt>
                <c:pt idx="123">
                  <c:v>67.452600000000004</c:v>
                </c:pt>
                <c:pt idx="124">
                  <c:v>67.293999999999997</c:v>
                </c:pt>
                <c:pt idx="125">
                  <c:v>67.811599999999999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69.733800000000002</c:v>
                </c:pt>
                <c:pt idx="129">
                  <c:v>69.804199999999994</c:v>
                </c:pt>
                <c:pt idx="130">
                  <c:v>70.459900000000005</c:v>
                </c:pt>
                <c:pt idx="131">
                  <c:v>71.016199999999998</c:v>
                </c:pt>
                <c:pt idx="132">
                  <c:v>70.5959</c:v>
                </c:pt>
                <c:pt idx="133">
                  <c:v>71.807299999999998</c:v>
                </c:pt>
                <c:pt idx="134">
                  <c:v>71.8673</c:v>
                </c:pt>
                <c:pt idx="135">
                  <c:v>72.627899999999997</c:v>
                </c:pt>
                <c:pt idx="136">
                  <c:v>72.749300000000005</c:v>
                </c:pt>
                <c:pt idx="137">
                  <c:v>72.904300000000006</c:v>
                </c:pt>
                <c:pt idx="138">
                  <c:v>73.843299999999999</c:v>
                </c:pt>
                <c:pt idx="139">
                  <c:v>73.204099999999997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73.966300000000004</c:v>
                </c:pt>
                <c:pt idx="143">
                  <c:v>75.764300000000006</c:v>
                </c:pt>
                <c:pt idx="144">
                  <c:v>75.329800000000006</c:v>
                </c:pt>
                <c:pt idx="145">
                  <c:v>74.292900000000003</c:v>
                </c:pt>
                <c:pt idx="146">
                  <c:v>75.883499999999998</c:v>
                </c:pt>
                <c:pt idx="147">
                  <c:v>75.308000000000007</c:v>
                </c:pt>
                <c:pt idx="148">
                  <c:v>75.179199999999994</c:v>
                </c:pt>
                <c:pt idx="149">
                  <c:v>76.314099999999996</c:v>
                </c:pt>
                <c:pt idx="150">
                  <c:v>77.389099999999999</c:v>
                </c:pt>
                <c:pt idx="151">
                  <c:v>77.556299999999993</c:v>
                </c:pt>
                <c:pt idx="152">
                  <c:v>78.369500000000002</c:v>
                </c:pt>
                <c:pt idx="153">
                  <c:v>77.698400000000007</c:v>
                </c:pt>
                <c:pt idx="154">
                  <c:v>79.133499999999998</c:v>
                </c:pt>
                <c:pt idx="155">
                  <c:v>77.958699999999993</c:v>
                </c:pt>
                <c:pt idx="156">
                  <c:v>78.805800000000005</c:v>
                </c:pt>
                <c:pt idx="157">
                  <c:v>80.007099999999994</c:v>
                </c:pt>
                <c:pt idx="158">
                  <c:v>79.001099999999994</c:v>
                </c:pt>
                <c:pt idx="159">
                  <c:v>79.786000000000001</c:v>
                </c:pt>
                <c:pt idx="160">
                  <c:v>79.015299999999996</c:v>
                </c:pt>
                <c:pt idx="161">
                  <c:v>78.168599999999998</c:v>
                </c:pt>
                <c:pt idx="162">
                  <c:v>80.516800000000003</c:v>
                </c:pt>
                <c:pt idx="163">
                  <c:v>81.638900000000007</c:v>
                </c:pt>
                <c:pt idx="164">
                  <c:v>82.306899999999999</c:v>
                </c:pt>
                <c:pt idx="165">
                  <c:v>80.774199999999993</c:v>
                </c:pt>
                <c:pt idx="166">
                  <c:v>81.923699999999997</c:v>
                </c:pt>
                <c:pt idx="167">
                  <c:v>82.472700000000003</c:v>
                </c:pt>
                <c:pt idx="168">
                  <c:v>82.962999999999994</c:v>
                </c:pt>
                <c:pt idx="169">
                  <c:v>82.567300000000003</c:v>
                </c:pt>
                <c:pt idx="170">
                  <c:v>81.2697</c:v>
                </c:pt>
                <c:pt idx="171">
                  <c:v>79.809100000000001</c:v>
                </c:pt>
                <c:pt idx="172">
                  <c:v>82.691500000000005</c:v>
                </c:pt>
                <c:pt idx="173">
                  <c:v>82.972300000000004</c:v>
                </c:pt>
                <c:pt idx="174">
                  <c:v>83.552599999999998</c:v>
                </c:pt>
                <c:pt idx="175">
                  <c:v>81.788799999999995</c:v>
                </c:pt>
                <c:pt idx="176">
                  <c:v>82.508700000000005</c:v>
                </c:pt>
                <c:pt idx="177">
                  <c:v>84.238799999999998</c:v>
                </c:pt>
                <c:pt idx="178">
                  <c:v>83.697599999999994</c:v>
                </c:pt>
                <c:pt idx="179">
                  <c:v>84.445999999999998</c:v>
                </c:pt>
                <c:pt idx="180">
                  <c:v>84.0685</c:v>
                </c:pt>
                <c:pt idx="181">
                  <c:v>83.009699999999995</c:v>
                </c:pt>
                <c:pt idx="182">
                  <c:v>83.1477</c:v>
                </c:pt>
                <c:pt idx="183">
                  <c:v>85.043499999999995</c:v>
                </c:pt>
                <c:pt idx="184">
                  <c:v>82.647999999999996</c:v>
                </c:pt>
                <c:pt idx="185">
                  <c:v>84.954099999999997</c:v>
                </c:pt>
                <c:pt idx="186">
                  <c:v>84.354399999999998</c:v>
                </c:pt>
                <c:pt idx="187">
                  <c:v>80.504400000000004</c:v>
                </c:pt>
                <c:pt idx="188">
                  <c:v>83.889499999999998</c:v>
                </c:pt>
                <c:pt idx="189">
                  <c:v>86.961600000000004</c:v>
                </c:pt>
                <c:pt idx="190">
                  <c:v>88.4422</c:v>
                </c:pt>
                <c:pt idx="191">
                  <c:v>80.945599999999999</c:v>
                </c:pt>
                <c:pt idx="192">
                  <c:v>87.737499999999997</c:v>
                </c:pt>
                <c:pt idx="193">
                  <c:v>80.879900000000006</c:v>
                </c:pt>
                <c:pt idx="194">
                  <c:v>87.168999999999997</c:v>
                </c:pt>
                <c:pt idx="195">
                  <c:v>81.873699999999999</c:v>
                </c:pt>
                <c:pt idx="196">
                  <c:v>82.627099999999999</c:v>
                </c:pt>
                <c:pt idx="197">
                  <c:v>82.650599999999997</c:v>
                </c:pt>
                <c:pt idx="198">
                  <c:v>73.402100000000004</c:v>
                </c:pt>
                <c:pt idx="199">
                  <c:v>88.150300000000001</c:v>
                </c:pt>
                <c:pt idx="200">
                  <c:v>80.728099999999998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B7C-896D-5A31D0ED8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1720"/>
        <c:axId val="734998480"/>
      </c:scatterChart>
      <c:valAx>
        <c:axId val="73499848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01720"/>
        <c:crossesAt val="0"/>
        <c:crossBetween val="midCat"/>
      </c:valAx>
      <c:valAx>
        <c:axId val="735001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499848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12.763999999999999</c:v>
                </c:pt>
                <c:pt idx="7">
                  <c:v>12.6629</c:v>
                </c:pt>
                <c:pt idx="8">
                  <c:v>12.566700000000001</c:v>
                </c:pt>
                <c:pt idx="9">
                  <c:v>12.469099999999999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11.828900000000001</c:v>
                </c:pt>
                <c:pt idx="17">
                  <c:v>11.741199999999999</c:v>
                </c:pt>
                <c:pt idx="18">
                  <c:v>11.6587</c:v>
                </c:pt>
                <c:pt idx="19">
                  <c:v>11.5748</c:v>
                </c:pt>
                <c:pt idx="20">
                  <c:v>11.497999999999999</c:v>
                </c:pt>
                <c:pt idx="21">
                  <c:v>11.42</c:v>
                </c:pt>
                <c:pt idx="22">
                  <c:v>11.338800000000001</c:v>
                </c:pt>
                <c:pt idx="23">
                  <c:v>11.265000000000001</c:v>
                </c:pt>
                <c:pt idx="24">
                  <c:v>11.192</c:v>
                </c:pt>
                <c:pt idx="25">
                  <c:v>11.116</c:v>
                </c:pt>
                <c:pt idx="26">
                  <c:v>11.044499999999999</c:v>
                </c:pt>
                <c:pt idx="27">
                  <c:v>10.975300000000001</c:v>
                </c:pt>
                <c:pt idx="28">
                  <c:v>10.904500000000001</c:v>
                </c:pt>
                <c:pt idx="29">
                  <c:v>10.838200000000001</c:v>
                </c:pt>
                <c:pt idx="30">
                  <c:v>10.7666</c:v>
                </c:pt>
                <c:pt idx="31">
                  <c:v>10.696</c:v>
                </c:pt>
                <c:pt idx="32">
                  <c:v>10.626300000000001</c:v>
                </c:pt>
                <c:pt idx="33">
                  <c:v>10.5611</c:v>
                </c:pt>
                <c:pt idx="34">
                  <c:v>10.496700000000001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10.255599999999999</c:v>
                </c:pt>
                <c:pt idx="39">
                  <c:v>10.1928</c:v>
                </c:pt>
                <c:pt idx="40">
                  <c:v>10.129200000000001</c:v>
                </c:pt>
                <c:pt idx="41">
                  <c:v>10.0707</c:v>
                </c:pt>
                <c:pt idx="42">
                  <c:v>10.0182</c:v>
                </c:pt>
                <c:pt idx="43">
                  <c:v>9.9608699999999999</c:v>
                </c:pt>
                <c:pt idx="44">
                  <c:v>9.9053799999999992</c:v>
                </c:pt>
                <c:pt idx="45">
                  <c:v>9.8461999999999996</c:v>
                </c:pt>
                <c:pt idx="46">
                  <c:v>9.7927400000000002</c:v>
                </c:pt>
                <c:pt idx="47">
                  <c:v>9.7393300000000007</c:v>
                </c:pt>
                <c:pt idx="48">
                  <c:v>9.6824600000000007</c:v>
                </c:pt>
                <c:pt idx="49">
                  <c:v>9.63096</c:v>
                </c:pt>
                <c:pt idx="50">
                  <c:v>9.5767900000000008</c:v>
                </c:pt>
                <c:pt idx="51">
                  <c:v>9.5248799999999996</c:v>
                </c:pt>
                <c:pt idx="52">
                  <c:v>9.47363</c:v>
                </c:pt>
                <c:pt idx="53">
                  <c:v>9.4212199999999999</c:v>
                </c:pt>
                <c:pt idx="54">
                  <c:v>9.3694199999999999</c:v>
                </c:pt>
                <c:pt idx="55">
                  <c:v>9.3250299999999999</c:v>
                </c:pt>
                <c:pt idx="56">
                  <c:v>9.2796599999999998</c:v>
                </c:pt>
                <c:pt idx="57">
                  <c:v>9.2312399999999997</c:v>
                </c:pt>
                <c:pt idx="58">
                  <c:v>9.1870200000000004</c:v>
                </c:pt>
                <c:pt idx="59">
                  <c:v>9.1417400000000004</c:v>
                </c:pt>
                <c:pt idx="60">
                  <c:v>9.0919699999999999</c:v>
                </c:pt>
                <c:pt idx="61">
                  <c:v>9.0486199999999997</c:v>
                </c:pt>
                <c:pt idx="62">
                  <c:v>9.0020699999999998</c:v>
                </c:pt>
                <c:pt idx="63">
                  <c:v>8.9553100000000008</c:v>
                </c:pt>
                <c:pt idx="64">
                  <c:v>8.9104399999999995</c:v>
                </c:pt>
                <c:pt idx="65">
                  <c:v>8.8666800000000006</c:v>
                </c:pt>
                <c:pt idx="66">
                  <c:v>8.8214299999999994</c:v>
                </c:pt>
                <c:pt idx="67">
                  <c:v>8.7765299999999993</c:v>
                </c:pt>
                <c:pt idx="68">
                  <c:v>8.7348800000000004</c:v>
                </c:pt>
                <c:pt idx="69">
                  <c:v>8.6907999999999994</c:v>
                </c:pt>
                <c:pt idx="70">
                  <c:v>8.6460399999999993</c:v>
                </c:pt>
                <c:pt idx="71">
                  <c:v>8.6052700000000009</c:v>
                </c:pt>
                <c:pt idx="72">
                  <c:v>8.56006</c:v>
                </c:pt>
                <c:pt idx="73">
                  <c:v>8.5155600000000007</c:v>
                </c:pt>
                <c:pt idx="74">
                  <c:v>8.4683399999999995</c:v>
                </c:pt>
                <c:pt idx="75">
                  <c:v>8.4294700000000002</c:v>
                </c:pt>
                <c:pt idx="76">
                  <c:v>8.3897899999999996</c:v>
                </c:pt>
                <c:pt idx="77">
                  <c:v>8.3486399999999996</c:v>
                </c:pt>
                <c:pt idx="78">
                  <c:v>8.3067799999999998</c:v>
                </c:pt>
                <c:pt idx="79">
                  <c:v>8.2651199999999996</c:v>
                </c:pt>
                <c:pt idx="80">
                  <c:v>8.2234700000000007</c:v>
                </c:pt>
                <c:pt idx="81">
                  <c:v>8.17685</c:v>
                </c:pt>
                <c:pt idx="82">
                  <c:v>8.1440000000000001</c:v>
                </c:pt>
                <c:pt idx="83">
                  <c:v>8.1056899999999992</c:v>
                </c:pt>
                <c:pt idx="84">
                  <c:v>8.0664400000000001</c:v>
                </c:pt>
                <c:pt idx="85">
                  <c:v>8.0257799999999992</c:v>
                </c:pt>
                <c:pt idx="86">
                  <c:v>7.9870099999999997</c:v>
                </c:pt>
                <c:pt idx="87">
                  <c:v>7.9490299999999996</c:v>
                </c:pt>
                <c:pt idx="88">
                  <c:v>7.9081200000000003</c:v>
                </c:pt>
                <c:pt idx="89">
                  <c:v>7.8725199999999997</c:v>
                </c:pt>
                <c:pt idx="90">
                  <c:v>7.83087</c:v>
                </c:pt>
                <c:pt idx="91">
                  <c:v>7.7956599999999998</c:v>
                </c:pt>
                <c:pt idx="92">
                  <c:v>7.7556200000000004</c:v>
                </c:pt>
                <c:pt idx="93">
                  <c:v>7.7187200000000002</c:v>
                </c:pt>
                <c:pt idx="94">
                  <c:v>7.6808399999999999</c:v>
                </c:pt>
                <c:pt idx="95">
                  <c:v>7.6438100000000002</c:v>
                </c:pt>
                <c:pt idx="96">
                  <c:v>7.6094799999999996</c:v>
                </c:pt>
                <c:pt idx="97">
                  <c:v>7.5740100000000004</c:v>
                </c:pt>
                <c:pt idx="98">
                  <c:v>7.5429300000000001</c:v>
                </c:pt>
                <c:pt idx="99">
                  <c:v>7.5061999999999998</c:v>
                </c:pt>
                <c:pt idx="100">
                  <c:v>7.4720300000000002</c:v>
                </c:pt>
                <c:pt idx="101">
                  <c:v>7.4390400000000003</c:v>
                </c:pt>
                <c:pt idx="102">
                  <c:v>7.4067999999999996</c:v>
                </c:pt>
                <c:pt idx="103">
                  <c:v>7.3706699999999996</c:v>
                </c:pt>
                <c:pt idx="104">
                  <c:v>7.3383099999999999</c:v>
                </c:pt>
                <c:pt idx="105">
                  <c:v>7.3062500000000004</c:v>
                </c:pt>
                <c:pt idx="106">
                  <c:v>7.2734699999999997</c:v>
                </c:pt>
                <c:pt idx="107">
                  <c:v>7.2397999999999998</c:v>
                </c:pt>
                <c:pt idx="108">
                  <c:v>7.2096200000000001</c:v>
                </c:pt>
                <c:pt idx="109">
                  <c:v>7.1762800000000002</c:v>
                </c:pt>
                <c:pt idx="110">
                  <c:v>7.1437900000000001</c:v>
                </c:pt>
                <c:pt idx="111">
                  <c:v>7.1085900000000004</c:v>
                </c:pt>
                <c:pt idx="112">
                  <c:v>7.0811099999999998</c:v>
                </c:pt>
                <c:pt idx="113">
                  <c:v>7.0474699999999997</c:v>
                </c:pt>
                <c:pt idx="114">
                  <c:v>7.0151899999999996</c:v>
                </c:pt>
                <c:pt idx="115">
                  <c:v>6.9840799999999996</c:v>
                </c:pt>
                <c:pt idx="116">
                  <c:v>6.9475600000000002</c:v>
                </c:pt>
                <c:pt idx="117">
                  <c:v>6.9171100000000001</c:v>
                </c:pt>
                <c:pt idx="118">
                  <c:v>6.8871000000000002</c:v>
                </c:pt>
                <c:pt idx="119">
                  <c:v>6.8518600000000003</c:v>
                </c:pt>
                <c:pt idx="120">
                  <c:v>6.8178900000000002</c:v>
                </c:pt>
                <c:pt idx="121">
                  <c:v>6.7865700000000002</c:v>
                </c:pt>
                <c:pt idx="122">
                  <c:v>6.7570399999999999</c:v>
                </c:pt>
                <c:pt idx="123">
                  <c:v>6.7259200000000003</c:v>
                </c:pt>
                <c:pt idx="124">
                  <c:v>6.6968800000000002</c:v>
                </c:pt>
                <c:pt idx="125">
                  <c:v>6.66805</c:v>
                </c:pt>
                <c:pt idx="126">
                  <c:v>6.6414299999999997</c:v>
                </c:pt>
                <c:pt idx="127">
                  <c:v>6.6138700000000004</c:v>
                </c:pt>
                <c:pt idx="128">
                  <c:v>6.5845799999999999</c:v>
                </c:pt>
                <c:pt idx="129">
                  <c:v>6.5560900000000002</c:v>
                </c:pt>
                <c:pt idx="130">
                  <c:v>6.5264300000000004</c:v>
                </c:pt>
                <c:pt idx="131">
                  <c:v>6.5005199999999999</c:v>
                </c:pt>
                <c:pt idx="132">
                  <c:v>6.47011</c:v>
                </c:pt>
                <c:pt idx="133">
                  <c:v>6.4420000000000002</c:v>
                </c:pt>
                <c:pt idx="134">
                  <c:v>6.4145099999999999</c:v>
                </c:pt>
                <c:pt idx="135">
                  <c:v>6.3883099999999997</c:v>
                </c:pt>
                <c:pt idx="136">
                  <c:v>6.3571</c:v>
                </c:pt>
                <c:pt idx="137">
                  <c:v>6.3283199999999997</c:v>
                </c:pt>
                <c:pt idx="138">
                  <c:v>6.2983500000000001</c:v>
                </c:pt>
                <c:pt idx="139">
                  <c:v>6.2707699999999997</c:v>
                </c:pt>
                <c:pt idx="140">
                  <c:v>6.2424200000000001</c:v>
                </c:pt>
                <c:pt idx="141">
                  <c:v>6.2167599999999998</c:v>
                </c:pt>
                <c:pt idx="142">
                  <c:v>6.1904000000000003</c:v>
                </c:pt>
                <c:pt idx="143">
                  <c:v>6.1672700000000003</c:v>
                </c:pt>
                <c:pt idx="144">
                  <c:v>6.14039</c:v>
                </c:pt>
                <c:pt idx="145">
                  <c:v>6.1151099999999996</c:v>
                </c:pt>
                <c:pt idx="146">
                  <c:v>6.0868799999999998</c:v>
                </c:pt>
                <c:pt idx="147">
                  <c:v>6.0648200000000001</c:v>
                </c:pt>
                <c:pt idx="148">
                  <c:v>6.0393699999999999</c:v>
                </c:pt>
                <c:pt idx="149">
                  <c:v>6.0104300000000004</c:v>
                </c:pt>
                <c:pt idx="150">
                  <c:v>5.9828200000000002</c:v>
                </c:pt>
                <c:pt idx="151">
                  <c:v>5.95139</c:v>
                </c:pt>
                <c:pt idx="152">
                  <c:v>5.9254100000000003</c:v>
                </c:pt>
                <c:pt idx="153">
                  <c:v>5.8991100000000003</c:v>
                </c:pt>
                <c:pt idx="154">
                  <c:v>5.8737000000000004</c:v>
                </c:pt>
                <c:pt idx="155">
                  <c:v>5.8505900000000004</c:v>
                </c:pt>
                <c:pt idx="156">
                  <c:v>5.8252100000000002</c:v>
                </c:pt>
                <c:pt idx="157">
                  <c:v>5.8003299999999998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5.7253600000000002</c:v>
                </c:pt>
                <c:pt idx="161">
                  <c:v>5.7004099999999998</c:v>
                </c:pt>
                <c:pt idx="162">
                  <c:v>5.67537</c:v>
                </c:pt>
                <c:pt idx="163">
                  <c:v>5.6517900000000001</c:v>
                </c:pt>
                <c:pt idx="164">
                  <c:v>5.6298300000000001</c:v>
                </c:pt>
                <c:pt idx="165">
                  <c:v>5.6070900000000004</c:v>
                </c:pt>
                <c:pt idx="166">
                  <c:v>5.5879200000000004</c:v>
                </c:pt>
                <c:pt idx="167">
                  <c:v>5.5596199999999998</c:v>
                </c:pt>
                <c:pt idx="168">
                  <c:v>5.5422200000000004</c:v>
                </c:pt>
                <c:pt idx="169">
                  <c:v>5.5194799999999997</c:v>
                </c:pt>
                <c:pt idx="170">
                  <c:v>5.4923999999999999</c:v>
                </c:pt>
                <c:pt idx="171">
                  <c:v>5.4706999999999999</c:v>
                </c:pt>
                <c:pt idx="172">
                  <c:v>5.4477500000000001</c:v>
                </c:pt>
                <c:pt idx="173">
                  <c:v>5.4250999999999996</c:v>
                </c:pt>
                <c:pt idx="174">
                  <c:v>5.4021100000000004</c:v>
                </c:pt>
                <c:pt idx="175">
                  <c:v>5.3763800000000002</c:v>
                </c:pt>
                <c:pt idx="176">
                  <c:v>5.3518299999999996</c:v>
                </c:pt>
                <c:pt idx="177">
                  <c:v>5.3322000000000003</c:v>
                </c:pt>
                <c:pt idx="178">
                  <c:v>5.3088199999999999</c:v>
                </c:pt>
                <c:pt idx="179">
                  <c:v>5.2869400000000004</c:v>
                </c:pt>
                <c:pt idx="180">
                  <c:v>5.2621599999999997</c:v>
                </c:pt>
                <c:pt idx="181">
                  <c:v>5.2421899999999999</c:v>
                </c:pt>
                <c:pt idx="182">
                  <c:v>5.2174199999999997</c:v>
                </c:pt>
                <c:pt idx="183">
                  <c:v>5.1929800000000004</c:v>
                </c:pt>
                <c:pt idx="184">
                  <c:v>5.1681299999999997</c:v>
                </c:pt>
                <c:pt idx="185">
                  <c:v>5.1473899999999997</c:v>
                </c:pt>
                <c:pt idx="186">
                  <c:v>5.1262400000000001</c:v>
                </c:pt>
                <c:pt idx="187">
                  <c:v>5.1073599999999999</c:v>
                </c:pt>
                <c:pt idx="188">
                  <c:v>5.0810700000000004</c:v>
                </c:pt>
                <c:pt idx="189">
                  <c:v>5.0615600000000001</c:v>
                </c:pt>
                <c:pt idx="190">
                  <c:v>5.0470800000000002</c:v>
                </c:pt>
                <c:pt idx="191">
                  <c:v>5.0221400000000003</c:v>
                </c:pt>
                <c:pt idx="192">
                  <c:v>5.0036100000000001</c:v>
                </c:pt>
                <c:pt idx="193">
                  <c:v>4.9819500000000003</c:v>
                </c:pt>
                <c:pt idx="194">
                  <c:v>4.9618799999999998</c:v>
                </c:pt>
                <c:pt idx="195">
                  <c:v>4.9486999999999997</c:v>
                </c:pt>
                <c:pt idx="196">
                  <c:v>4.9286000000000003</c:v>
                </c:pt>
                <c:pt idx="197">
                  <c:v>4.9119299999999999</c:v>
                </c:pt>
                <c:pt idx="198">
                  <c:v>4.8890900000000004</c:v>
                </c:pt>
                <c:pt idx="199">
                  <c:v>4.8657399999999997</c:v>
                </c:pt>
                <c:pt idx="200">
                  <c:v>4.8483299999999998</c:v>
                </c:pt>
                <c:pt idx="201">
                  <c:v>4.8328600000000002</c:v>
                </c:pt>
                <c:pt idx="202">
                  <c:v>4.8129200000000001</c:v>
                </c:pt>
                <c:pt idx="203">
                  <c:v>4.7976200000000002</c:v>
                </c:pt>
                <c:pt idx="204">
                  <c:v>4.7734800000000002</c:v>
                </c:pt>
                <c:pt idx="205">
                  <c:v>4.7529700000000004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4.6943700000000002</c:v>
                </c:pt>
                <c:pt idx="209">
                  <c:v>4.6755300000000002</c:v>
                </c:pt>
                <c:pt idx="210">
                  <c:v>4.65923</c:v>
                </c:pt>
                <c:pt idx="211">
                  <c:v>4.6425400000000003</c:v>
                </c:pt>
                <c:pt idx="212">
                  <c:v>4.6276900000000003</c:v>
                </c:pt>
                <c:pt idx="213">
                  <c:v>4.6135599999999997</c:v>
                </c:pt>
                <c:pt idx="214">
                  <c:v>4.59239</c:v>
                </c:pt>
                <c:pt idx="215">
                  <c:v>4.5699300000000003</c:v>
                </c:pt>
                <c:pt idx="216">
                  <c:v>4.5496999999999996</c:v>
                </c:pt>
                <c:pt idx="217">
                  <c:v>4.5299399999999999</c:v>
                </c:pt>
                <c:pt idx="218">
                  <c:v>4.5106599999999997</c:v>
                </c:pt>
                <c:pt idx="219">
                  <c:v>4.4937500000000004</c:v>
                </c:pt>
                <c:pt idx="220">
                  <c:v>4.4748700000000001</c:v>
                </c:pt>
                <c:pt idx="221">
                  <c:v>4.4585800000000004</c:v>
                </c:pt>
                <c:pt idx="222">
                  <c:v>4.4354300000000002</c:v>
                </c:pt>
                <c:pt idx="223">
                  <c:v>4.4136100000000003</c:v>
                </c:pt>
                <c:pt idx="224">
                  <c:v>4.3995600000000001</c:v>
                </c:pt>
                <c:pt idx="225">
                  <c:v>4.3846999999999996</c:v>
                </c:pt>
                <c:pt idx="226">
                  <c:v>4.3668500000000003</c:v>
                </c:pt>
                <c:pt idx="227">
                  <c:v>4.3487999999999998</c:v>
                </c:pt>
                <c:pt idx="228">
                  <c:v>4.3342200000000002</c:v>
                </c:pt>
                <c:pt idx="229">
                  <c:v>4.3171299999999997</c:v>
                </c:pt>
                <c:pt idx="230">
                  <c:v>4.3073699999999997</c:v>
                </c:pt>
                <c:pt idx="231">
                  <c:v>4.2882800000000003</c:v>
                </c:pt>
                <c:pt idx="232">
                  <c:v>4.26912</c:v>
                </c:pt>
                <c:pt idx="233">
                  <c:v>4.2584499999999998</c:v>
                </c:pt>
                <c:pt idx="234">
                  <c:v>4.2372699999999996</c:v>
                </c:pt>
                <c:pt idx="235">
                  <c:v>4.2218299999999997</c:v>
                </c:pt>
                <c:pt idx="236">
                  <c:v>4.20777</c:v>
                </c:pt>
                <c:pt idx="237">
                  <c:v>4.1897200000000003</c:v>
                </c:pt>
                <c:pt idx="238">
                  <c:v>4.1734400000000003</c:v>
                </c:pt>
                <c:pt idx="239">
                  <c:v>4.1518300000000004</c:v>
                </c:pt>
                <c:pt idx="240">
                  <c:v>4.1351199999999997</c:v>
                </c:pt>
                <c:pt idx="241">
                  <c:v>4.1161199999999996</c:v>
                </c:pt>
                <c:pt idx="242">
                  <c:v>4.0969699999999998</c:v>
                </c:pt>
                <c:pt idx="243">
                  <c:v>4.0804900000000002</c:v>
                </c:pt>
                <c:pt idx="244">
                  <c:v>4.0631599999999999</c:v>
                </c:pt>
                <c:pt idx="245">
                  <c:v>4.0464700000000002</c:v>
                </c:pt>
                <c:pt idx="246">
                  <c:v>4.02902</c:v>
                </c:pt>
                <c:pt idx="247">
                  <c:v>4.0142199999999999</c:v>
                </c:pt>
                <c:pt idx="248">
                  <c:v>4.0038900000000002</c:v>
                </c:pt>
                <c:pt idx="249">
                  <c:v>3.9883500000000001</c:v>
                </c:pt>
                <c:pt idx="250">
                  <c:v>3.97478</c:v>
                </c:pt>
                <c:pt idx="251">
                  <c:v>3.9617800000000001</c:v>
                </c:pt>
                <c:pt idx="252">
                  <c:v>3.9445899999999998</c:v>
                </c:pt>
                <c:pt idx="253">
                  <c:v>3.9265400000000001</c:v>
                </c:pt>
                <c:pt idx="254">
                  <c:v>3.9087000000000001</c:v>
                </c:pt>
                <c:pt idx="255">
                  <c:v>3.8949199999999999</c:v>
                </c:pt>
                <c:pt idx="256">
                  <c:v>3.8831699999999998</c:v>
                </c:pt>
                <c:pt idx="257">
                  <c:v>3.8656799999999998</c:v>
                </c:pt>
                <c:pt idx="258">
                  <c:v>3.8514900000000001</c:v>
                </c:pt>
                <c:pt idx="259">
                  <c:v>3.8374700000000002</c:v>
                </c:pt>
                <c:pt idx="260">
                  <c:v>3.8242400000000001</c:v>
                </c:pt>
                <c:pt idx="261">
                  <c:v>3.8056899999999998</c:v>
                </c:pt>
                <c:pt idx="262">
                  <c:v>3.7887400000000002</c:v>
                </c:pt>
                <c:pt idx="263">
                  <c:v>3.7692700000000001</c:v>
                </c:pt>
                <c:pt idx="264">
                  <c:v>3.7586200000000001</c:v>
                </c:pt>
                <c:pt idx="265">
                  <c:v>3.7444500000000001</c:v>
                </c:pt>
                <c:pt idx="266">
                  <c:v>3.7347199999999998</c:v>
                </c:pt>
                <c:pt idx="267">
                  <c:v>3.72079</c:v>
                </c:pt>
                <c:pt idx="268">
                  <c:v>3.7040000000000002</c:v>
                </c:pt>
                <c:pt idx="269">
                  <c:v>3.69346</c:v>
                </c:pt>
                <c:pt idx="270">
                  <c:v>3.6787700000000001</c:v>
                </c:pt>
                <c:pt idx="271">
                  <c:v>3.6600100000000002</c:v>
                </c:pt>
                <c:pt idx="272">
                  <c:v>3.64466</c:v>
                </c:pt>
                <c:pt idx="273">
                  <c:v>3.6312700000000002</c:v>
                </c:pt>
                <c:pt idx="274">
                  <c:v>3.6169099999999998</c:v>
                </c:pt>
                <c:pt idx="275">
                  <c:v>3.6013199999999999</c:v>
                </c:pt>
                <c:pt idx="276">
                  <c:v>3.5865300000000002</c:v>
                </c:pt>
                <c:pt idx="277">
                  <c:v>3.5706199999999999</c:v>
                </c:pt>
                <c:pt idx="278">
                  <c:v>3.5518000000000001</c:v>
                </c:pt>
                <c:pt idx="279">
                  <c:v>3.5393300000000001</c:v>
                </c:pt>
                <c:pt idx="280">
                  <c:v>3.5262500000000001</c:v>
                </c:pt>
                <c:pt idx="281">
                  <c:v>3.5064799999999998</c:v>
                </c:pt>
                <c:pt idx="282">
                  <c:v>3.4957799999999999</c:v>
                </c:pt>
                <c:pt idx="283">
                  <c:v>3.4796800000000001</c:v>
                </c:pt>
                <c:pt idx="284">
                  <c:v>3.4665499999999998</c:v>
                </c:pt>
                <c:pt idx="285">
                  <c:v>3.4541599999999999</c:v>
                </c:pt>
                <c:pt idx="286">
                  <c:v>3.44285</c:v>
                </c:pt>
                <c:pt idx="287">
                  <c:v>3.4315099999999998</c:v>
                </c:pt>
                <c:pt idx="288">
                  <c:v>3.4194399999999998</c:v>
                </c:pt>
                <c:pt idx="289">
                  <c:v>3.4052099999999998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3.3601899999999998</c:v>
                </c:pt>
                <c:pt idx="293">
                  <c:v>3.3495699999999999</c:v>
                </c:pt>
                <c:pt idx="294">
                  <c:v>3.3378700000000001</c:v>
                </c:pt>
                <c:pt idx="295">
                  <c:v>3.3233299999999999</c:v>
                </c:pt>
                <c:pt idx="296">
                  <c:v>3.31229</c:v>
                </c:pt>
                <c:pt idx="297">
                  <c:v>3.3019400000000001</c:v>
                </c:pt>
                <c:pt idx="298">
                  <c:v>3.2848000000000002</c:v>
                </c:pt>
                <c:pt idx="299">
                  <c:v>3.2764600000000002</c:v>
                </c:pt>
                <c:pt idx="300">
                  <c:v>3.2641499999999999</c:v>
                </c:pt>
                <c:pt idx="301">
                  <c:v>3.2521300000000002</c:v>
                </c:pt>
                <c:pt idx="302">
                  <c:v>3.2340599999999999</c:v>
                </c:pt>
                <c:pt idx="303">
                  <c:v>3.2168199999999998</c:v>
                </c:pt>
                <c:pt idx="304">
                  <c:v>3.2084899999999998</c:v>
                </c:pt>
                <c:pt idx="305">
                  <c:v>3.1899600000000001</c:v>
                </c:pt>
                <c:pt idx="306">
                  <c:v>3.1734900000000001</c:v>
                </c:pt>
                <c:pt idx="307">
                  <c:v>3.1646800000000002</c:v>
                </c:pt>
                <c:pt idx="308">
                  <c:v>3.1555900000000001</c:v>
                </c:pt>
                <c:pt idx="309">
                  <c:v>3.1312799999999998</c:v>
                </c:pt>
                <c:pt idx="310">
                  <c:v>3.1152199999999999</c:v>
                </c:pt>
                <c:pt idx="311">
                  <c:v>3.0990799999999998</c:v>
                </c:pt>
                <c:pt idx="312">
                  <c:v>3.0859200000000002</c:v>
                </c:pt>
                <c:pt idx="313">
                  <c:v>3.0690599999999999</c:v>
                </c:pt>
                <c:pt idx="314">
                  <c:v>3.0623200000000002</c:v>
                </c:pt>
                <c:pt idx="315">
                  <c:v>3.0497200000000002</c:v>
                </c:pt>
                <c:pt idx="316">
                  <c:v>3.0326499999999998</c:v>
                </c:pt>
                <c:pt idx="317">
                  <c:v>3.0211399999999999</c:v>
                </c:pt>
                <c:pt idx="318">
                  <c:v>3.00461</c:v>
                </c:pt>
                <c:pt idx="319">
                  <c:v>2.9931299999999998</c:v>
                </c:pt>
                <c:pt idx="320">
                  <c:v>2.9734099999999999</c:v>
                </c:pt>
                <c:pt idx="321">
                  <c:v>2.9612599999999998</c:v>
                </c:pt>
                <c:pt idx="322">
                  <c:v>2.9496000000000002</c:v>
                </c:pt>
                <c:pt idx="323">
                  <c:v>2.9411900000000002</c:v>
                </c:pt>
                <c:pt idx="324">
                  <c:v>2.9299900000000001</c:v>
                </c:pt>
                <c:pt idx="325">
                  <c:v>2.9168699999999999</c:v>
                </c:pt>
                <c:pt idx="326">
                  <c:v>2.90509</c:v>
                </c:pt>
                <c:pt idx="327">
                  <c:v>2.8937300000000001</c:v>
                </c:pt>
                <c:pt idx="328">
                  <c:v>2.88252</c:v>
                </c:pt>
                <c:pt idx="329">
                  <c:v>2.8726500000000001</c:v>
                </c:pt>
                <c:pt idx="330">
                  <c:v>2.8590399999999998</c:v>
                </c:pt>
                <c:pt idx="331">
                  <c:v>2.8445200000000002</c:v>
                </c:pt>
                <c:pt idx="332">
                  <c:v>2.8339400000000001</c:v>
                </c:pt>
                <c:pt idx="333">
                  <c:v>2.8289399999999998</c:v>
                </c:pt>
                <c:pt idx="334">
                  <c:v>2.81969</c:v>
                </c:pt>
                <c:pt idx="335">
                  <c:v>2.8155800000000002</c:v>
                </c:pt>
                <c:pt idx="336">
                  <c:v>2.8023099999999999</c:v>
                </c:pt>
                <c:pt idx="337">
                  <c:v>2.7851499999999998</c:v>
                </c:pt>
                <c:pt idx="338">
                  <c:v>2.7710900000000001</c:v>
                </c:pt>
                <c:pt idx="339">
                  <c:v>2.7622200000000001</c:v>
                </c:pt>
                <c:pt idx="340">
                  <c:v>2.75562</c:v>
                </c:pt>
                <c:pt idx="341">
                  <c:v>2.7473000000000001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2.7181299999999999</c:v>
                </c:pt>
                <c:pt idx="345">
                  <c:v>2.71028</c:v>
                </c:pt>
                <c:pt idx="346">
                  <c:v>2.6988300000000001</c:v>
                </c:pt>
                <c:pt idx="347">
                  <c:v>2.68696</c:v>
                </c:pt>
                <c:pt idx="348">
                  <c:v>2.6794199999999999</c:v>
                </c:pt>
                <c:pt idx="349">
                  <c:v>2.6717</c:v>
                </c:pt>
                <c:pt idx="350">
                  <c:v>2.6610299999999998</c:v>
                </c:pt>
                <c:pt idx="351">
                  <c:v>2.6473399999999998</c:v>
                </c:pt>
                <c:pt idx="352">
                  <c:v>2.6360100000000002</c:v>
                </c:pt>
                <c:pt idx="353">
                  <c:v>2.6206200000000002</c:v>
                </c:pt>
                <c:pt idx="354">
                  <c:v>2.60649</c:v>
                </c:pt>
                <c:pt idx="355">
                  <c:v>2.6009099999999998</c:v>
                </c:pt>
                <c:pt idx="356">
                  <c:v>2.5919500000000002</c:v>
                </c:pt>
                <c:pt idx="357">
                  <c:v>2.5805199999999999</c:v>
                </c:pt>
                <c:pt idx="358">
                  <c:v>2.5742500000000001</c:v>
                </c:pt>
                <c:pt idx="359">
                  <c:v>2.5710099999999998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2.5354299999999999</c:v>
                </c:pt>
                <c:pt idx="364">
                  <c:v>2.5263399999999998</c:v>
                </c:pt>
                <c:pt idx="365">
                  <c:v>2.5182799999999999</c:v>
                </c:pt>
                <c:pt idx="366">
                  <c:v>2.5041799999999999</c:v>
                </c:pt>
                <c:pt idx="367">
                  <c:v>2.4946799999999998</c:v>
                </c:pt>
                <c:pt idx="368">
                  <c:v>2.4815200000000002</c:v>
                </c:pt>
                <c:pt idx="369">
                  <c:v>2.4676499999999999</c:v>
                </c:pt>
                <c:pt idx="370">
                  <c:v>2.4585499999999998</c:v>
                </c:pt>
                <c:pt idx="371">
                  <c:v>2.4514399999999998</c:v>
                </c:pt>
                <c:pt idx="372">
                  <c:v>2.4450799999999999</c:v>
                </c:pt>
                <c:pt idx="373">
                  <c:v>2.4341900000000001</c:v>
                </c:pt>
                <c:pt idx="374">
                  <c:v>2.4272200000000002</c:v>
                </c:pt>
                <c:pt idx="375">
                  <c:v>2.41757</c:v>
                </c:pt>
                <c:pt idx="376">
                  <c:v>2.4083199999999998</c:v>
                </c:pt>
                <c:pt idx="377">
                  <c:v>2.39758</c:v>
                </c:pt>
                <c:pt idx="378">
                  <c:v>2.3912499999999999</c:v>
                </c:pt>
                <c:pt idx="379">
                  <c:v>2.3808400000000001</c:v>
                </c:pt>
                <c:pt idx="380">
                  <c:v>2.3704999999999998</c:v>
                </c:pt>
                <c:pt idx="381">
                  <c:v>2.3612899999999999</c:v>
                </c:pt>
                <c:pt idx="382">
                  <c:v>2.3545199999999999</c:v>
                </c:pt>
                <c:pt idx="383">
                  <c:v>2.3448899999999999</c:v>
                </c:pt>
                <c:pt idx="384">
                  <c:v>2.3340700000000001</c:v>
                </c:pt>
                <c:pt idx="385">
                  <c:v>2.3229199999999999</c:v>
                </c:pt>
                <c:pt idx="386">
                  <c:v>2.3119999999999998</c:v>
                </c:pt>
                <c:pt idx="387">
                  <c:v>2.30844</c:v>
                </c:pt>
                <c:pt idx="388">
                  <c:v>2.2966899999999999</c:v>
                </c:pt>
                <c:pt idx="389">
                  <c:v>2.2863799999999999</c:v>
                </c:pt>
                <c:pt idx="390">
                  <c:v>2.2727200000000001</c:v>
                </c:pt>
                <c:pt idx="391">
                  <c:v>2.2640600000000002</c:v>
                </c:pt>
                <c:pt idx="392">
                  <c:v>2.2577699999999998</c:v>
                </c:pt>
                <c:pt idx="393">
                  <c:v>2.2508300000000001</c:v>
                </c:pt>
                <c:pt idx="394">
                  <c:v>2.2389800000000002</c:v>
                </c:pt>
                <c:pt idx="395">
                  <c:v>2.23116</c:v>
                </c:pt>
                <c:pt idx="396">
                  <c:v>2.2194699999999998</c:v>
                </c:pt>
                <c:pt idx="397">
                  <c:v>2.21238</c:v>
                </c:pt>
                <c:pt idx="398">
                  <c:v>2.202</c:v>
                </c:pt>
                <c:pt idx="399">
                  <c:v>2.1852499999999999</c:v>
                </c:pt>
                <c:pt idx="400">
                  <c:v>2.1712600000000002</c:v>
                </c:pt>
                <c:pt idx="401">
                  <c:v>2.1613199999999999</c:v>
                </c:pt>
                <c:pt idx="402">
                  <c:v>2.1550500000000001</c:v>
                </c:pt>
                <c:pt idx="403">
                  <c:v>2.1489799999999999</c:v>
                </c:pt>
                <c:pt idx="404">
                  <c:v>2.1375899999999999</c:v>
                </c:pt>
                <c:pt idx="405">
                  <c:v>2.1306500000000002</c:v>
                </c:pt>
                <c:pt idx="406">
                  <c:v>2.1163400000000001</c:v>
                </c:pt>
                <c:pt idx="407">
                  <c:v>2.1124399999999999</c:v>
                </c:pt>
                <c:pt idx="408">
                  <c:v>2.0987399999999998</c:v>
                </c:pt>
                <c:pt idx="409">
                  <c:v>2.0887699999999998</c:v>
                </c:pt>
                <c:pt idx="410">
                  <c:v>2.07328</c:v>
                </c:pt>
                <c:pt idx="411">
                  <c:v>2.0623999999999998</c:v>
                </c:pt>
                <c:pt idx="412">
                  <c:v>2.0556299999999998</c:v>
                </c:pt>
                <c:pt idx="413">
                  <c:v>2.0425599999999999</c:v>
                </c:pt>
                <c:pt idx="414">
                  <c:v>2.0409899999999999</c:v>
                </c:pt>
                <c:pt idx="415">
                  <c:v>2.0341100000000001</c:v>
                </c:pt>
                <c:pt idx="416">
                  <c:v>2.0255899999999998</c:v>
                </c:pt>
                <c:pt idx="417">
                  <c:v>2.0282</c:v>
                </c:pt>
                <c:pt idx="418">
                  <c:v>2.0192800000000002</c:v>
                </c:pt>
                <c:pt idx="419">
                  <c:v>2.0121199999999999</c:v>
                </c:pt>
                <c:pt idx="420">
                  <c:v>2.0057299999999998</c:v>
                </c:pt>
                <c:pt idx="421">
                  <c:v>1.9956100000000001</c:v>
                </c:pt>
                <c:pt idx="422">
                  <c:v>1.9908699999999999</c:v>
                </c:pt>
                <c:pt idx="423">
                  <c:v>1.9821200000000001</c:v>
                </c:pt>
                <c:pt idx="424">
                  <c:v>1.9753099999999999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1.9301699999999999</c:v>
                </c:pt>
                <c:pt idx="433">
                  <c:v>1.9260999999999999</c:v>
                </c:pt>
                <c:pt idx="434">
                  <c:v>1.9173199999999999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1.8634500000000001</c:v>
                </c:pt>
                <c:pt idx="444">
                  <c:v>1.86107</c:v>
                </c:pt>
                <c:pt idx="445">
                  <c:v>1.8565499999999999</c:v>
                </c:pt>
                <c:pt idx="446">
                  <c:v>1.85185</c:v>
                </c:pt>
                <c:pt idx="447">
                  <c:v>1.8496300000000001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1.8193999999999999</c:v>
                </c:pt>
                <c:pt idx="452">
                  <c:v>1.8091200000000001</c:v>
                </c:pt>
                <c:pt idx="453">
                  <c:v>1.7997799999999999</c:v>
                </c:pt>
                <c:pt idx="454">
                  <c:v>1.79165</c:v>
                </c:pt>
                <c:pt idx="455">
                  <c:v>1.7786500000000001</c:v>
                </c:pt>
                <c:pt idx="456">
                  <c:v>1.76763</c:v>
                </c:pt>
                <c:pt idx="457">
                  <c:v>1.7606999999999999</c:v>
                </c:pt>
                <c:pt idx="458">
                  <c:v>1.7537700000000001</c:v>
                </c:pt>
                <c:pt idx="459">
                  <c:v>1.7430699999999999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1.7180899999999999</c:v>
                </c:pt>
                <c:pt idx="464">
                  <c:v>1.7141599999999999</c:v>
                </c:pt>
                <c:pt idx="465">
                  <c:v>1.70688</c:v>
                </c:pt>
                <c:pt idx="466">
                  <c:v>1.7078599999999999</c:v>
                </c:pt>
                <c:pt idx="467">
                  <c:v>1.7004699999999999</c:v>
                </c:pt>
                <c:pt idx="468">
                  <c:v>1.69076</c:v>
                </c:pt>
                <c:pt idx="469">
                  <c:v>1.6836599999999999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1.6677200000000001</c:v>
                </c:pt>
                <c:pt idx="473">
                  <c:v>1.6577200000000001</c:v>
                </c:pt>
                <c:pt idx="474">
                  <c:v>1.6466099999999999</c:v>
                </c:pt>
                <c:pt idx="475">
                  <c:v>1.6427799999999999</c:v>
                </c:pt>
                <c:pt idx="476">
                  <c:v>1.6455900000000001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1.6287700000000001</c:v>
                </c:pt>
                <c:pt idx="480">
                  <c:v>1.6212899999999999</c:v>
                </c:pt>
                <c:pt idx="481">
                  <c:v>1.6161700000000001</c:v>
                </c:pt>
                <c:pt idx="482">
                  <c:v>1.6081000000000001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1.5691999999999999</c:v>
                </c:pt>
                <c:pt idx="488">
                  <c:v>1.5657399999999999</c:v>
                </c:pt>
                <c:pt idx="489">
                  <c:v>1.55796</c:v>
                </c:pt>
                <c:pt idx="490">
                  <c:v>1.5541400000000001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1.5378799999999999</c:v>
                </c:pt>
                <c:pt idx="494">
                  <c:v>1.5278700000000001</c:v>
                </c:pt>
                <c:pt idx="495">
                  <c:v>1.5246999999999999</c:v>
                </c:pt>
                <c:pt idx="496">
                  <c:v>1.5150300000000001</c:v>
                </c:pt>
                <c:pt idx="497">
                  <c:v>1.50386</c:v>
                </c:pt>
                <c:pt idx="498">
                  <c:v>1.4983599999999999</c:v>
                </c:pt>
                <c:pt idx="499">
                  <c:v>1.48872</c:v>
                </c:pt>
                <c:pt idx="500">
                  <c:v>1.4899199999999999</c:v>
                </c:pt>
                <c:pt idx="501">
                  <c:v>1.4896799999999999</c:v>
                </c:pt>
                <c:pt idx="502">
                  <c:v>1.4856100000000001</c:v>
                </c:pt>
                <c:pt idx="503">
                  <c:v>1.4783299999999999</c:v>
                </c:pt>
                <c:pt idx="504">
                  <c:v>1.4657800000000001</c:v>
                </c:pt>
                <c:pt idx="505">
                  <c:v>1.4685600000000001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1.4566399999999999</c:v>
                </c:pt>
                <c:pt idx="509">
                  <c:v>1.4595499999999999</c:v>
                </c:pt>
                <c:pt idx="510">
                  <c:v>1.45427</c:v>
                </c:pt>
                <c:pt idx="511">
                  <c:v>1.4501999999999999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1.4419500000000001</c:v>
                </c:pt>
                <c:pt idx="515">
                  <c:v>1.4366399999999999</c:v>
                </c:pt>
                <c:pt idx="516">
                  <c:v>1.43232</c:v>
                </c:pt>
                <c:pt idx="517">
                  <c:v>1.4321200000000001</c:v>
                </c:pt>
                <c:pt idx="518">
                  <c:v>1.4319200000000001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1.4089700000000001</c:v>
                </c:pt>
                <c:pt idx="523">
                  <c:v>1.39856</c:v>
                </c:pt>
                <c:pt idx="524">
                  <c:v>1.3908100000000001</c:v>
                </c:pt>
                <c:pt idx="525">
                  <c:v>1.38741</c:v>
                </c:pt>
                <c:pt idx="526">
                  <c:v>1.3758900000000001</c:v>
                </c:pt>
                <c:pt idx="527">
                  <c:v>1.36957</c:v>
                </c:pt>
                <c:pt idx="528">
                  <c:v>1.3661099999999999</c:v>
                </c:pt>
                <c:pt idx="529">
                  <c:v>1.36619</c:v>
                </c:pt>
                <c:pt idx="530">
                  <c:v>1.3619699999999999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1.3384799999999999</c:v>
                </c:pt>
                <c:pt idx="534">
                  <c:v>1.33562</c:v>
                </c:pt>
                <c:pt idx="535">
                  <c:v>1.3275300000000001</c:v>
                </c:pt>
                <c:pt idx="536">
                  <c:v>1.3250999999999999</c:v>
                </c:pt>
                <c:pt idx="537">
                  <c:v>1.3169999999999999</c:v>
                </c:pt>
                <c:pt idx="538">
                  <c:v>1.3183800000000001</c:v>
                </c:pt>
                <c:pt idx="539">
                  <c:v>1.3230500000000001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1.3089500000000001</c:v>
                </c:pt>
                <c:pt idx="543">
                  <c:v>1.30653</c:v>
                </c:pt>
                <c:pt idx="544">
                  <c:v>1.3003800000000001</c:v>
                </c:pt>
                <c:pt idx="545">
                  <c:v>1.2978499999999999</c:v>
                </c:pt>
                <c:pt idx="546">
                  <c:v>1.2941800000000001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1.2777700000000001</c:v>
                </c:pt>
                <c:pt idx="552">
                  <c:v>1.2689299999999999</c:v>
                </c:pt>
                <c:pt idx="553">
                  <c:v>1.2748699999999999</c:v>
                </c:pt>
                <c:pt idx="554">
                  <c:v>1.26572</c:v>
                </c:pt>
                <c:pt idx="555">
                  <c:v>1.2542800000000001</c:v>
                </c:pt>
                <c:pt idx="556">
                  <c:v>1.2507900000000001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1.2301500000000001</c:v>
                </c:pt>
                <c:pt idx="560">
                  <c:v>1.2154100000000001</c:v>
                </c:pt>
                <c:pt idx="561">
                  <c:v>1.2158599999999999</c:v>
                </c:pt>
                <c:pt idx="562">
                  <c:v>1.2144200000000001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1.2053400000000001</c:v>
                </c:pt>
                <c:pt idx="566">
                  <c:v>1.19998</c:v>
                </c:pt>
                <c:pt idx="567">
                  <c:v>1.1952199999999999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1.1828700000000001</c:v>
                </c:pt>
                <c:pt idx="571">
                  <c:v>1.1786700000000001</c:v>
                </c:pt>
                <c:pt idx="572">
                  <c:v>1.1664600000000001</c:v>
                </c:pt>
                <c:pt idx="573">
                  <c:v>1.1589</c:v>
                </c:pt>
                <c:pt idx="574">
                  <c:v>1.1585700000000001</c:v>
                </c:pt>
                <c:pt idx="575">
                  <c:v>1.1544700000000001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1.1395900000000001</c:v>
                </c:pt>
                <c:pt idx="584">
                  <c:v>1.14141</c:v>
                </c:pt>
                <c:pt idx="585">
                  <c:v>1.1377200000000001</c:v>
                </c:pt>
                <c:pt idx="586">
                  <c:v>1.13913</c:v>
                </c:pt>
                <c:pt idx="587">
                  <c:v>1.1404700000000001</c:v>
                </c:pt>
                <c:pt idx="588">
                  <c:v>1.14314</c:v>
                </c:pt>
                <c:pt idx="589">
                  <c:v>1.1450100000000001</c:v>
                </c:pt>
                <c:pt idx="590">
                  <c:v>1.13632</c:v>
                </c:pt>
                <c:pt idx="591">
                  <c:v>1.1326700000000001</c:v>
                </c:pt>
                <c:pt idx="592">
                  <c:v>1.12575</c:v>
                </c:pt>
                <c:pt idx="593">
                  <c:v>1.1198600000000001</c:v>
                </c:pt>
                <c:pt idx="594">
                  <c:v>1.1130500000000001</c:v>
                </c:pt>
                <c:pt idx="595">
                  <c:v>1.1158399999999999</c:v>
                </c:pt>
                <c:pt idx="596">
                  <c:v>1.11233</c:v>
                </c:pt>
                <c:pt idx="597">
                  <c:v>1.1052599999999999</c:v>
                </c:pt>
                <c:pt idx="598">
                  <c:v>1.09975</c:v>
                </c:pt>
                <c:pt idx="599">
                  <c:v>1.0914200000000001</c:v>
                </c:pt>
                <c:pt idx="600">
                  <c:v>1.0978699999999999</c:v>
                </c:pt>
                <c:pt idx="601">
                  <c:v>1.0963799999999999</c:v>
                </c:pt>
                <c:pt idx="602">
                  <c:v>1.09198</c:v>
                </c:pt>
                <c:pt idx="603">
                  <c:v>1.0930299999999999</c:v>
                </c:pt>
                <c:pt idx="604">
                  <c:v>1.0956600000000001</c:v>
                </c:pt>
                <c:pt idx="605">
                  <c:v>1.0898699999999999</c:v>
                </c:pt>
                <c:pt idx="606">
                  <c:v>1.0888899999999999</c:v>
                </c:pt>
                <c:pt idx="607">
                  <c:v>1.0816300000000001</c:v>
                </c:pt>
                <c:pt idx="608">
                  <c:v>1.0805899999999999</c:v>
                </c:pt>
                <c:pt idx="609">
                  <c:v>1.07545</c:v>
                </c:pt>
                <c:pt idx="610">
                  <c:v>1.0703400000000001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1.0575399999999999</c:v>
                </c:pt>
                <c:pt idx="614">
                  <c:v>1.0574399999999999</c:v>
                </c:pt>
                <c:pt idx="615">
                  <c:v>1.05955</c:v>
                </c:pt>
                <c:pt idx="616">
                  <c:v>1.0612600000000001</c:v>
                </c:pt>
                <c:pt idx="617">
                  <c:v>1.0568900000000001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1.0629500000000001</c:v>
                </c:pt>
                <c:pt idx="621">
                  <c:v>1.0495399999999999</c:v>
                </c:pt>
                <c:pt idx="622">
                  <c:v>1.0452600000000001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1.0360199999999999</c:v>
                </c:pt>
                <c:pt idx="627">
                  <c:v>1.0310999999999999</c:v>
                </c:pt>
                <c:pt idx="628">
                  <c:v>1.0242899999999999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1.0214399999999999</c:v>
                </c:pt>
                <c:pt idx="632">
                  <c:v>1.0141199999999999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1.0023200000000001</c:v>
                </c:pt>
                <c:pt idx="638">
                  <c:v>0.99743899999999996</c:v>
                </c:pt>
                <c:pt idx="639">
                  <c:v>0.99880199999999997</c:v>
                </c:pt>
                <c:pt idx="640">
                  <c:v>1.0045900000000001</c:v>
                </c:pt>
                <c:pt idx="641">
                  <c:v>1.0099899999999999</c:v>
                </c:pt>
                <c:pt idx="642">
                  <c:v>0.99740300000000004</c:v>
                </c:pt>
                <c:pt idx="643">
                  <c:v>1.0010600000000001</c:v>
                </c:pt>
                <c:pt idx="644">
                  <c:v>1.00467</c:v>
                </c:pt>
                <c:pt idx="645">
                  <c:v>0.98991399999999996</c:v>
                </c:pt>
                <c:pt idx="646">
                  <c:v>0.986927</c:v>
                </c:pt>
                <c:pt idx="647">
                  <c:v>0.98292299999999999</c:v>
                </c:pt>
                <c:pt idx="648">
                  <c:v>0.98877800000000005</c:v>
                </c:pt>
                <c:pt idx="649">
                  <c:v>0.97731599999999996</c:v>
                </c:pt>
                <c:pt idx="650">
                  <c:v>0.97850199999999998</c:v>
                </c:pt>
                <c:pt idx="651">
                  <c:v>0.97520700000000005</c:v>
                </c:pt>
                <c:pt idx="652">
                  <c:v>0.97122900000000001</c:v>
                </c:pt>
                <c:pt idx="653">
                  <c:v>0.96541200000000005</c:v>
                </c:pt>
                <c:pt idx="654">
                  <c:v>0.96087299999999998</c:v>
                </c:pt>
                <c:pt idx="655">
                  <c:v>0.95673600000000003</c:v>
                </c:pt>
                <c:pt idx="656">
                  <c:v>0.95471399999999995</c:v>
                </c:pt>
                <c:pt idx="657">
                  <c:v>0.95257199999999997</c:v>
                </c:pt>
                <c:pt idx="658">
                  <c:v>0.95016699999999998</c:v>
                </c:pt>
                <c:pt idx="659">
                  <c:v>0.94507399999999997</c:v>
                </c:pt>
                <c:pt idx="660">
                  <c:v>0.94508300000000001</c:v>
                </c:pt>
                <c:pt idx="661">
                  <c:v>0.94014900000000001</c:v>
                </c:pt>
                <c:pt idx="662">
                  <c:v>0.93264800000000003</c:v>
                </c:pt>
                <c:pt idx="663">
                  <c:v>0.93028100000000002</c:v>
                </c:pt>
                <c:pt idx="664">
                  <c:v>0.919516</c:v>
                </c:pt>
                <c:pt idx="665">
                  <c:v>0.91899699999999995</c:v>
                </c:pt>
                <c:pt idx="666">
                  <c:v>0.918933</c:v>
                </c:pt>
                <c:pt idx="667">
                  <c:v>0.91867299999999996</c:v>
                </c:pt>
                <c:pt idx="668">
                  <c:v>0.91686699999999999</c:v>
                </c:pt>
                <c:pt idx="669">
                  <c:v>0.91760399999999998</c:v>
                </c:pt>
                <c:pt idx="670">
                  <c:v>0.91189500000000001</c:v>
                </c:pt>
                <c:pt idx="671">
                  <c:v>0.90058199999999999</c:v>
                </c:pt>
                <c:pt idx="672">
                  <c:v>0.90314499999999998</c:v>
                </c:pt>
                <c:pt idx="673">
                  <c:v>0.89780000000000004</c:v>
                </c:pt>
                <c:pt idx="674">
                  <c:v>0.89468700000000001</c:v>
                </c:pt>
                <c:pt idx="675">
                  <c:v>0.88900000000000001</c:v>
                </c:pt>
                <c:pt idx="676">
                  <c:v>0.89085599999999998</c:v>
                </c:pt>
                <c:pt idx="677">
                  <c:v>0.887374</c:v>
                </c:pt>
                <c:pt idx="678">
                  <c:v>0.88921600000000001</c:v>
                </c:pt>
                <c:pt idx="679">
                  <c:v>0.88881299999999996</c:v>
                </c:pt>
                <c:pt idx="680">
                  <c:v>0.885463</c:v>
                </c:pt>
                <c:pt idx="681">
                  <c:v>0.88681600000000005</c:v>
                </c:pt>
                <c:pt idx="682">
                  <c:v>0.88854200000000005</c:v>
                </c:pt>
                <c:pt idx="683">
                  <c:v>0.88423499999999999</c:v>
                </c:pt>
                <c:pt idx="684">
                  <c:v>0.88317000000000001</c:v>
                </c:pt>
                <c:pt idx="685">
                  <c:v>0.88250899999999999</c:v>
                </c:pt>
                <c:pt idx="686">
                  <c:v>0.88495599999999996</c:v>
                </c:pt>
                <c:pt idx="687">
                  <c:v>0.87552099999999999</c:v>
                </c:pt>
                <c:pt idx="688">
                  <c:v>0.87501099999999998</c:v>
                </c:pt>
                <c:pt idx="689">
                  <c:v>0.87648000000000004</c:v>
                </c:pt>
                <c:pt idx="690">
                  <c:v>0.87488299999999997</c:v>
                </c:pt>
                <c:pt idx="691">
                  <c:v>0.877166</c:v>
                </c:pt>
                <c:pt idx="692">
                  <c:v>0.88221799999999995</c:v>
                </c:pt>
                <c:pt idx="693">
                  <c:v>0.878166</c:v>
                </c:pt>
                <c:pt idx="694">
                  <c:v>0.87746500000000005</c:v>
                </c:pt>
                <c:pt idx="695">
                  <c:v>0.87954600000000005</c:v>
                </c:pt>
                <c:pt idx="696">
                  <c:v>0.88151299999999999</c:v>
                </c:pt>
                <c:pt idx="697">
                  <c:v>0.886463</c:v>
                </c:pt>
                <c:pt idx="698">
                  <c:v>0.89115800000000001</c:v>
                </c:pt>
                <c:pt idx="699">
                  <c:v>0.88986699999999996</c:v>
                </c:pt>
                <c:pt idx="700">
                  <c:v>0.87232600000000005</c:v>
                </c:pt>
                <c:pt idx="701">
                  <c:v>0.85820300000000005</c:v>
                </c:pt>
                <c:pt idx="702">
                  <c:v>0.85994300000000001</c:v>
                </c:pt>
                <c:pt idx="703">
                  <c:v>0.85785100000000003</c:v>
                </c:pt>
                <c:pt idx="704">
                  <c:v>0.86255000000000004</c:v>
                </c:pt>
                <c:pt idx="705">
                  <c:v>0.85783100000000001</c:v>
                </c:pt>
                <c:pt idx="706">
                  <c:v>0.86332799999999998</c:v>
                </c:pt>
                <c:pt idx="707">
                  <c:v>0.85541500000000004</c:v>
                </c:pt>
                <c:pt idx="708">
                  <c:v>0.85952200000000001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0.85280599999999995</c:v>
                </c:pt>
                <c:pt idx="712">
                  <c:v>0.84734100000000001</c:v>
                </c:pt>
                <c:pt idx="713">
                  <c:v>0.84526500000000004</c:v>
                </c:pt>
                <c:pt idx="714">
                  <c:v>0.84296000000000004</c:v>
                </c:pt>
                <c:pt idx="715">
                  <c:v>0.83281099999999997</c:v>
                </c:pt>
                <c:pt idx="716">
                  <c:v>0.82383899999999999</c:v>
                </c:pt>
                <c:pt idx="717">
                  <c:v>0.82472800000000002</c:v>
                </c:pt>
                <c:pt idx="718">
                  <c:v>0.82662199999999997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0.82343200000000005</c:v>
                </c:pt>
                <c:pt idx="722">
                  <c:v>0.82041600000000003</c:v>
                </c:pt>
                <c:pt idx="723">
                  <c:v>0.82164800000000004</c:v>
                </c:pt>
                <c:pt idx="724">
                  <c:v>0.82228999999999997</c:v>
                </c:pt>
                <c:pt idx="725">
                  <c:v>0.80871499999999996</c:v>
                </c:pt>
                <c:pt idx="726">
                  <c:v>0.80935599999999996</c:v>
                </c:pt>
                <c:pt idx="727">
                  <c:v>0.80648200000000003</c:v>
                </c:pt>
                <c:pt idx="728">
                  <c:v>0.80705700000000002</c:v>
                </c:pt>
                <c:pt idx="729">
                  <c:v>0.81119799999999997</c:v>
                </c:pt>
                <c:pt idx="730">
                  <c:v>0.80464599999999997</c:v>
                </c:pt>
                <c:pt idx="731">
                  <c:v>0.805836</c:v>
                </c:pt>
                <c:pt idx="732">
                  <c:v>0.80676099999999995</c:v>
                </c:pt>
                <c:pt idx="733">
                  <c:v>0.80735500000000004</c:v>
                </c:pt>
                <c:pt idx="734">
                  <c:v>0.80745299999999998</c:v>
                </c:pt>
                <c:pt idx="735">
                  <c:v>0.81173899999999999</c:v>
                </c:pt>
                <c:pt idx="736">
                  <c:v>0.812338</c:v>
                </c:pt>
                <c:pt idx="737">
                  <c:v>0.81692299999999995</c:v>
                </c:pt>
                <c:pt idx="738">
                  <c:v>0.80971700000000002</c:v>
                </c:pt>
                <c:pt idx="739">
                  <c:v>0.81372199999999995</c:v>
                </c:pt>
                <c:pt idx="740">
                  <c:v>0.79845900000000003</c:v>
                </c:pt>
                <c:pt idx="741">
                  <c:v>0.79064100000000004</c:v>
                </c:pt>
                <c:pt idx="742">
                  <c:v>0.79049800000000003</c:v>
                </c:pt>
                <c:pt idx="743">
                  <c:v>0.79475099999999999</c:v>
                </c:pt>
                <c:pt idx="744">
                  <c:v>0.79908199999999996</c:v>
                </c:pt>
                <c:pt idx="745">
                  <c:v>0.79194900000000001</c:v>
                </c:pt>
                <c:pt idx="746">
                  <c:v>0.79605300000000001</c:v>
                </c:pt>
                <c:pt idx="747">
                  <c:v>0.79212899999999997</c:v>
                </c:pt>
                <c:pt idx="748">
                  <c:v>0.79195499999999996</c:v>
                </c:pt>
                <c:pt idx="749">
                  <c:v>0.78779999999999994</c:v>
                </c:pt>
                <c:pt idx="750">
                  <c:v>0.78716799999999998</c:v>
                </c:pt>
                <c:pt idx="751">
                  <c:v>0.78787099999999999</c:v>
                </c:pt>
                <c:pt idx="752">
                  <c:v>0.78389399999999998</c:v>
                </c:pt>
                <c:pt idx="753">
                  <c:v>0.775227</c:v>
                </c:pt>
                <c:pt idx="754">
                  <c:v>0.77089600000000003</c:v>
                </c:pt>
                <c:pt idx="755">
                  <c:v>0.76232800000000001</c:v>
                </c:pt>
                <c:pt idx="756">
                  <c:v>0.76158800000000004</c:v>
                </c:pt>
                <c:pt idx="757">
                  <c:v>0.76557600000000003</c:v>
                </c:pt>
                <c:pt idx="758">
                  <c:v>0.76116300000000003</c:v>
                </c:pt>
                <c:pt idx="759">
                  <c:v>0.76047299999999995</c:v>
                </c:pt>
                <c:pt idx="760">
                  <c:v>0.75672799999999996</c:v>
                </c:pt>
                <c:pt idx="761">
                  <c:v>0.75641599999999998</c:v>
                </c:pt>
                <c:pt idx="762">
                  <c:v>0.75126700000000002</c:v>
                </c:pt>
                <c:pt idx="763">
                  <c:v>0.75516300000000003</c:v>
                </c:pt>
                <c:pt idx="764">
                  <c:v>0.75889200000000001</c:v>
                </c:pt>
                <c:pt idx="765">
                  <c:v>0.75371100000000002</c:v>
                </c:pt>
                <c:pt idx="766">
                  <c:v>0.74885599999999997</c:v>
                </c:pt>
                <c:pt idx="767">
                  <c:v>0.75194899999999998</c:v>
                </c:pt>
                <c:pt idx="768">
                  <c:v>0.74658199999999997</c:v>
                </c:pt>
                <c:pt idx="769">
                  <c:v>0.75022299999999997</c:v>
                </c:pt>
                <c:pt idx="770">
                  <c:v>0.75429000000000002</c:v>
                </c:pt>
                <c:pt idx="771">
                  <c:v>0.75775499999999996</c:v>
                </c:pt>
                <c:pt idx="772">
                  <c:v>0.76143300000000003</c:v>
                </c:pt>
                <c:pt idx="773">
                  <c:v>0.76602700000000001</c:v>
                </c:pt>
                <c:pt idx="774">
                  <c:v>0.76512199999999997</c:v>
                </c:pt>
                <c:pt idx="775">
                  <c:v>0.759996</c:v>
                </c:pt>
                <c:pt idx="776">
                  <c:v>0.75425799999999998</c:v>
                </c:pt>
                <c:pt idx="777">
                  <c:v>0.75928300000000004</c:v>
                </c:pt>
                <c:pt idx="778">
                  <c:v>0.75343499999999997</c:v>
                </c:pt>
                <c:pt idx="779">
                  <c:v>0.73762399999999995</c:v>
                </c:pt>
                <c:pt idx="780">
                  <c:v>0.74133000000000004</c:v>
                </c:pt>
                <c:pt idx="781">
                  <c:v>0.739815</c:v>
                </c:pt>
                <c:pt idx="782">
                  <c:v>0.74379300000000004</c:v>
                </c:pt>
                <c:pt idx="783">
                  <c:v>0.74849500000000002</c:v>
                </c:pt>
                <c:pt idx="784">
                  <c:v>0.74672400000000005</c:v>
                </c:pt>
                <c:pt idx="785">
                  <c:v>0.736008</c:v>
                </c:pt>
                <c:pt idx="786">
                  <c:v>0.73484099999999997</c:v>
                </c:pt>
                <c:pt idx="787">
                  <c:v>0.72343900000000005</c:v>
                </c:pt>
                <c:pt idx="788">
                  <c:v>0.71202100000000002</c:v>
                </c:pt>
                <c:pt idx="789">
                  <c:v>0.70481400000000005</c:v>
                </c:pt>
                <c:pt idx="790">
                  <c:v>0.69823599999999997</c:v>
                </c:pt>
                <c:pt idx="791">
                  <c:v>0.69664300000000001</c:v>
                </c:pt>
                <c:pt idx="792">
                  <c:v>0.69963399999999998</c:v>
                </c:pt>
                <c:pt idx="793">
                  <c:v>0.70283799999999996</c:v>
                </c:pt>
                <c:pt idx="794">
                  <c:v>0.70143500000000003</c:v>
                </c:pt>
                <c:pt idx="795">
                  <c:v>0.69489299999999998</c:v>
                </c:pt>
                <c:pt idx="796">
                  <c:v>0.69331600000000004</c:v>
                </c:pt>
                <c:pt idx="797">
                  <c:v>0.68564000000000003</c:v>
                </c:pt>
                <c:pt idx="798">
                  <c:v>0.68946600000000002</c:v>
                </c:pt>
                <c:pt idx="799">
                  <c:v>0.688137</c:v>
                </c:pt>
                <c:pt idx="800">
                  <c:v>0.68686599999999998</c:v>
                </c:pt>
                <c:pt idx="801">
                  <c:v>0.68458799999999997</c:v>
                </c:pt>
                <c:pt idx="802">
                  <c:v>0.68730400000000003</c:v>
                </c:pt>
                <c:pt idx="803">
                  <c:v>0.68562400000000001</c:v>
                </c:pt>
                <c:pt idx="804">
                  <c:v>0.68868200000000002</c:v>
                </c:pt>
                <c:pt idx="805">
                  <c:v>0.68625199999999997</c:v>
                </c:pt>
                <c:pt idx="806">
                  <c:v>0.67767699999999997</c:v>
                </c:pt>
                <c:pt idx="807">
                  <c:v>0.67018</c:v>
                </c:pt>
                <c:pt idx="808">
                  <c:v>0.65626600000000002</c:v>
                </c:pt>
                <c:pt idx="809">
                  <c:v>0.64792300000000003</c:v>
                </c:pt>
                <c:pt idx="810">
                  <c:v>0.65135200000000004</c:v>
                </c:pt>
                <c:pt idx="811">
                  <c:v>0.65458799999999995</c:v>
                </c:pt>
                <c:pt idx="812">
                  <c:v>0.65228900000000001</c:v>
                </c:pt>
                <c:pt idx="813">
                  <c:v>0.63810900000000004</c:v>
                </c:pt>
                <c:pt idx="814">
                  <c:v>0.62990299999999999</c:v>
                </c:pt>
                <c:pt idx="815">
                  <c:v>0.62134100000000003</c:v>
                </c:pt>
                <c:pt idx="816">
                  <c:v>0.61305399999999999</c:v>
                </c:pt>
                <c:pt idx="817">
                  <c:v>0.61016099999999995</c:v>
                </c:pt>
                <c:pt idx="818">
                  <c:v>0.607792</c:v>
                </c:pt>
                <c:pt idx="819">
                  <c:v>0.60450599999999999</c:v>
                </c:pt>
                <c:pt idx="820">
                  <c:v>0.60724999999999996</c:v>
                </c:pt>
                <c:pt idx="821">
                  <c:v>0.61058299999999999</c:v>
                </c:pt>
                <c:pt idx="822">
                  <c:v>0.60794000000000004</c:v>
                </c:pt>
                <c:pt idx="823">
                  <c:v>0.59865299999999999</c:v>
                </c:pt>
                <c:pt idx="824">
                  <c:v>0.59564899999999998</c:v>
                </c:pt>
                <c:pt idx="825">
                  <c:v>0.59902900000000003</c:v>
                </c:pt>
                <c:pt idx="826">
                  <c:v>0.59546399999999999</c:v>
                </c:pt>
                <c:pt idx="827">
                  <c:v>0.59777400000000003</c:v>
                </c:pt>
                <c:pt idx="828">
                  <c:v>0.600908</c:v>
                </c:pt>
                <c:pt idx="829">
                  <c:v>0.60384099999999996</c:v>
                </c:pt>
                <c:pt idx="830">
                  <c:v>0.59469899999999998</c:v>
                </c:pt>
                <c:pt idx="831">
                  <c:v>0.59136999999999995</c:v>
                </c:pt>
                <c:pt idx="832">
                  <c:v>0.58135700000000001</c:v>
                </c:pt>
                <c:pt idx="833">
                  <c:v>0.58418099999999995</c:v>
                </c:pt>
                <c:pt idx="834">
                  <c:v>0.58703300000000003</c:v>
                </c:pt>
                <c:pt idx="835">
                  <c:v>0.58262700000000001</c:v>
                </c:pt>
                <c:pt idx="836">
                  <c:v>0.58533999999999997</c:v>
                </c:pt>
                <c:pt idx="837">
                  <c:v>0.58112399999999997</c:v>
                </c:pt>
                <c:pt idx="838">
                  <c:v>0.58373600000000003</c:v>
                </c:pt>
                <c:pt idx="839">
                  <c:v>0.57970999999999995</c:v>
                </c:pt>
                <c:pt idx="840">
                  <c:v>0.56983899999999998</c:v>
                </c:pt>
                <c:pt idx="841">
                  <c:v>0.56574199999999997</c:v>
                </c:pt>
                <c:pt idx="842">
                  <c:v>0.56946799999999997</c:v>
                </c:pt>
                <c:pt idx="843">
                  <c:v>0.57249300000000003</c:v>
                </c:pt>
                <c:pt idx="844">
                  <c:v>0.56830000000000003</c:v>
                </c:pt>
                <c:pt idx="845">
                  <c:v>0.57158799999999998</c:v>
                </c:pt>
                <c:pt idx="846">
                  <c:v>0.57418899999999995</c:v>
                </c:pt>
                <c:pt idx="847">
                  <c:v>0.56974000000000002</c:v>
                </c:pt>
                <c:pt idx="848">
                  <c:v>0.57215499999999997</c:v>
                </c:pt>
                <c:pt idx="849">
                  <c:v>0.56794</c:v>
                </c:pt>
                <c:pt idx="850">
                  <c:v>0.55702300000000005</c:v>
                </c:pt>
                <c:pt idx="851">
                  <c:v>0.53805899999999995</c:v>
                </c:pt>
                <c:pt idx="852">
                  <c:v>0.54057999999999995</c:v>
                </c:pt>
                <c:pt idx="853">
                  <c:v>0.53650399999999998</c:v>
                </c:pt>
                <c:pt idx="854">
                  <c:v>0.53979100000000002</c:v>
                </c:pt>
                <c:pt idx="855">
                  <c:v>0.54228299999999996</c:v>
                </c:pt>
                <c:pt idx="856">
                  <c:v>0.54483899999999996</c:v>
                </c:pt>
                <c:pt idx="857">
                  <c:v>0.54766099999999995</c:v>
                </c:pt>
                <c:pt idx="858">
                  <c:v>0.55055399999999999</c:v>
                </c:pt>
                <c:pt idx="859">
                  <c:v>0.54575399999999996</c:v>
                </c:pt>
                <c:pt idx="860">
                  <c:v>0.54086500000000004</c:v>
                </c:pt>
                <c:pt idx="861">
                  <c:v>0.53544499999999995</c:v>
                </c:pt>
                <c:pt idx="862">
                  <c:v>0.53816399999999998</c:v>
                </c:pt>
                <c:pt idx="863">
                  <c:v>0.53317099999999995</c:v>
                </c:pt>
                <c:pt idx="864">
                  <c:v>0.53656300000000001</c:v>
                </c:pt>
                <c:pt idx="865">
                  <c:v>0.52368099999999995</c:v>
                </c:pt>
                <c:pt idx="866">
                  <c:v>0.51833499999999999</c:v>
                </c:pt>
                <c:pt idx="867">
                  <c:v>0.52127900000000005</c:v>
                </c:pt>
                <c:pt idx="868">
                  <c:v>0.52331499999999997</c:v>
                </c:pt>
                <c:pt idx="869">
                  <c:v>0.52610900000000005</c:v>
                </c:pt>
                <c:pt idx="870">
                  <c:v>0.51294200000000001</c:v>
                </c:pt>
                <c:pt idx="871">
                  <c:v>0.50761400000000001</c:v>
                </c:pt>
                <c:pt idx="872">
                  <c:v>0.51053000000000004</c:v>
                </c:pt>
                <c:pt idx="873">
                  <c:v>0.51372600000000002</c:v>
                </c:pt>
                <c:pt idx="874">
                  <c:v>0.51596299999999995</c:v>
                </c:pt>
                <c:pt idx="875">
                  <c:v>0.50230900000000001</c:v>
                </c:pt>
                <c:pt idx="876">
                  <c:v>0.50476299999999996</c:v>
                </c:pt>
                <c:pt idx="877">
                  <c:v>0.507822</c:v>
                </c:pt>
                <c:pt idx="878">
                  <c:v>0.51049800000000001</c:v>
                </c:pt>
                <c:pt idx="879">
                  <c:v>0.51269299999999995</c:v>
                </c:pt>
                <c:pt idx="880">
                  <c:v>0.51524999999999999</c:v>
                </c:pt>
                <c:pt idx="881">
                  <c:v>0.50137900000000002</c:v>
                </c:pt>
                <c:pt idx="882">
                  <c:v>0.503525</c:v>
                </c:pt>
                <c:pt idx="883">
                  <c:v>0.50641499999999995</c:v>
                </c:pt>
                <c:pt idx="884">
                  <c:v>0.50907899999999995</c:v>
                </c:pt>
                <c:pt idx="885">
                  <c:v>0.51185800000000004</c:v>
                </c:pt>
                <c:pt idx="886">
                  <c:v>0.51444699999999999</c:v>
                </c:pt>
                <c:pt idx="887">
                  <c:v>0.50862099999999999</c:v>
                </c:pt>
                <c:pt idx="888">
                  <c:v>0.51073400000000002</c:v>
                </c:pt>
                <c:pt idx="889">
                  <c:v>0.51255300000000004</c:v>
                </c:pt>
                <c:pt idx="890">
                  <c:v>0.51519400000000004</c:v>
                </c:pt>
                <c:pt idx="891">
                  <c:v>0.51772600000000002</c:v>
                </c:pt>
                <c:pt idx="892">
                  <c:v>0.51096799999999998</c:v>
                </c:pt>
                <c:pt idx="893">
                  <c:v>0.51345600000000002</c:v>
                </c:pt>
                <c:pt idx="894">
                  <c:v>0.49799900000000002</c:v>
                </c:pt>
                <c:pt idx="895">
                  <c:v>0.50044699999999998</c:v>
                </c:pt>
                <c:pt idx="896">
                  <c:v>0.48526200000000003</c:v>
                </c:pt>
                <c:pt idx="897">
                  <c:v>0.48784899999999998</c:v>
                </c:pt>
                <c:pt idx="898">
                  <c:v>0.48944100000000001</c:v>
                </c:pt>
                <c:pt idx="899">
                  <c:v>0.48260799999999998</c:v>
                </c:pt>
                <c:pt idx="900">
                  <c:v>0.47632099999999999</c:v>
                </c:pt>
                <c:pt idx="901">
                  <c:v>0.47886499999999999</c:v>
                </c:pt>
                <c:pt idx="902">
                  <c:v>0.47169800000000001</c:v>
                </c:pt>
                <c:pt idx="903">
                  <c:v>0.464943</c:v>
                </c:pt>
                <c:pt idx="904">
                  <c:v>0.46768300000000002</c:v>
                </c:pt>
                <c:pt idx="905">
                  <c:v>0.46061299999999999</c:v>
                </c:pt>
                <c:pt idx="906">
                  <c:v>0.46278799999999998</c:v>
                </c:pt>
                <c:pt idx="907">
                  <c:v>0.45610000000000001</c:v>
                </c:pt>
                <c:pt idx="908">
                  <c:v>0.44800299999999998</c:v>
                </c:pt>
                <c:pt idx="909">
                  <c:v>0.44967499999999999</c:v>
                </c:pt>
                <c:pt idx="910">
                  <c:v>0.45174900000000001</c:v>
                </c:pt>
                <c:pt idx="911">
                  <c:v>0.453712</c:v>
                </c:pt>
                <c:pt idx="912">
                  <c:v>0.45591199999999998</c:v>
                </c:pt>
                <c:pt idx="913">
                  <c:v>0.458671</c:v>
                </c:pt>
                <c:pt idx="914">
                  <c:v>0.46051300000000001</c:v>
                </c:pt>
                <c:pt idx="915">
                  <c:v>0.45275599999999999</c:v>
                </c:pt>
                <c:pt idx="916">
                  <c:v>0.45512999999999998</c:v>
                </c:pt>
                <c:pt idx="917">
                  <c:v>0.45784799999999998</c:v>
                </c:pt>
                <c:pt idx="918">
                  <c:v>0.45045000000000002</c:v>
                </c:pt>
                <c:pt idx="919">
                  <c:v>0.45257999999999998</c:v>
                </c:pt>
                <c:pt idx="920">
                  <c:v>0.45532699999999998</c:v>
                </c:pt>
                <c:pt idx="921">
                  <c:v>0.45773599999999998</c:v>
                </c:pt>
                <c:pt idx="922">
                  <c:v>0.46040500000000001</c:v>
                </c:pt>
                <c:pt idx="923">
                  <c:v>0.46310600000000002</c:v>
                </c:pt>
                <c:pt idx="924">
                  <c:v>0.46530899999999997</c:v>
                </c:pt>
                <c:pt idx="925">
                  <c:v>0.46782400000000002</c:v>
                </c:pt>
                <c:pt idx="926">
                  <c:v>0.45972200000000002</c:v>
                </c:pt>
                <c:pt idx="927">
                  <c:v>0.451017</c:v>
                </c:pt>
                <c:pt idx="928">
                  <c:v>0.45344299999999998</c:v>
                </c:pt>
                <c:pt idx="929">
                  <c:v>0.44515100000000002</c:v>
                </c:pt>
                <c:pt idx="930">
                  <c:v>0.44733200000000001</c:v>
                </c:pt>
                <c:pt idx="931">
                  <c:v>0.428311</c:v>
                </c:pt>
                <c:pt idx="932">
                  <c:v>0.43038500000000002</c:v>
                </c:pt>
                <c:pt idx="933">
                  <c:v>0.43196499999999999</c:v>
                </c:pt>
                <c:pt idx="934">
                  <c:v>0.43492399999999998</c:v>
                </c:pt>
                <c:pt idx="935">
                  <c:v>0.43706299999999998</c:v>
                </c:pt>
                <c:pt idx="936">
                  <c:v>0.43941599999999997</c:v>
                </c:pt>
                <c:pt idx="937">
                  <c:v>0.44203799999999999</c:v>
                </c:pt>
                <c:pt idx="938">
                  <c:v>0.444741</c:v>
                </c:pt>
                <c:pt idx="939">
                  <c:v>0.44672800000000001</c:v>
                </c:pt>
                <c:pt idx="940">
                  <c:v>0.43775999999999998</c:v>
                </c:pt>
                <c:pt idx="941">
                  <c:v>0.42812099999999997</c:v>
                </c:pt>
                <c:pt idx="942">
                  <c:v>0.42976700000000001</c:v>
                </c:pt>
                <c:pt idx="943">
                  <c:v>0.43171999999999999</c:v>
                </c:pt>
                <c:pt idx="944">
                  <c:v>0.43423600000000001</c:v>
                </c:pt>
                <c:pt idx="945">
                  <c:v>0.43597999999999998</c:v>
                </c:pt>
                <c:pt idx="946">
                  <c:v>0.43819200000000003</c:v>
                </c:pt>
                <c:pt idx="947">
                  <c:v>0.44042700000000001</c:v>
                </c:pt>
                <c:pt idx="948">
                  <c:v>0.43093399999999998</c:v>
                </c:pt>
                <c:pt idx="949">
                  <c:v>0.42090499999999997</c:v>
                </c:pt>
                <c:pt idx="950">
                  <c:v>0.411136</c:v>
                </c:pt>
                <c:pt idx="951">
                  <c:v>0.41288200000000003</c:v>
                </c:pt>
                <c:pt idx="952">
                  <c:v>0.41528199999999998</c:v>
                </c:pt>
                <c:pt idx="953">
                  <c:v>0.416518</c:v>
                </c:pt>
                <c:pt idx="954">
                  <c:v>0.40626099999999998</c:v>
                </c:pt>
                <c:pt idx="955">
                  <c:v>0.40919499999999998</c:v>
                </c:pt>
                <c:pt idx="956">
                  <c:v>0.41117399999999998</c:v>
                </c:pt>
                <c:pt idx="957">
                  <c:v>0.41312300000000002</c:v>
                </c:pt>
                <c:pt idx="958">
                  <c:v>0.41453299999999998</c:v>
                </c:pt>
                <c:pt idx="959">
                  <c:v>0.41712700000000003</c:v>
                </c:pt>
                <c:pt idx="960">
                  <c:v>0.41897699999999999</c:v>
                </c:pt>
                <c:pt idx="961">
                  <c:v>0.42194100000000001</c:v>
                </c:pt>
                <c:pt idx="962">
                  <c:v>0.42415199999999997</c:v>
                </c:pt>
                <c:pt idx="963">
                  <c:v>0.42606500000000003</c:v>
                </c:pt>
                <c:pt idx="964">
                  <c:v>0.42810399999999998</c:v>
                </c:pt>
                <c:pt idx="965">
                  <c:v>0.43021599999999999</c:v>
                </c:pt>
                <c:pt idx="966">
                  <c:v>0.43229499999999998</c:v>
                </c:pt>
                <c:pt idx="967">
                  <c:v>0.43406099999999997</c:v>
                </c:pt>
                <c:pt idx="968">
                  <c:v>0.43578600000000001</c:v>
                </c:pt>
                <c:pt idx="969">
                  <c:v>0.43825700000000001</c:v>
                </c:pt>
                <c:pt idx="970">
                  <c:v>0.44104300000000002</c:v>
                </c:pt>
                <c:pt idx="971">
                  <c:v>0.44345899999999999</c:v>
                </c:pt>
                <c:pt idx="972">
                  <c:v>0.445434</c:v>
                </c:pt>
                <c:pt idx="973">
                  <c:v>0.44736799999999999</c:v>
                </c:pt>
                <c:pt idx="974">
                  <c:v>0.44997399999999999</c:v>
                </c:pt>
                <c:pt idx="975">
                  <c:v>0.43970700000000001</c:v>
                </c:pt>
                <c:pt idx="976">
                  <c:v>0.44200400000000001</c:v>
                </c:pt>
                <c:pt idx="977">
                  <c:v>0.44414500000000001</c:v>
                </c:pt>
                <c:pt idx="978">
                  <c:v>0.43254900000000002</c:v>
                </c:pt>
                <c:pt idx="979">
                  <c:v>0.43478299999999998</c:v>
                </c:pt>
                <c:pt idx="980">
                  <c:v>0.43691999999999998</c:v>
                </c:pt>
                <c:pt idx="981">
                  <c:v>0.43937900000000002</c:v>
                </c:pt>
                <c:pt idx="982">
                  <c:v>0.42782199999999998</c:v>
                </c:pt>
                <c:pt idx="983">
                  <c:v>0.42983900000000003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0.43582199999999999</c:v>
                </c:pt>
                <c:pt idx="987">
                  <c:v>0.42342999999999997</c:v>
                </c:pt>
                <c:pt idx="988">
                  <c:v>0.41128900000000002</c:v>
                </c:pt>
                <c:pt idx="989">
                  <c:v>0.41287000000000001</c:v>
                </c:pt>
                <c:pt idx="990">
                  <c:v>0.41541299999999998</c:v>
                </c:pt>
                <c:pt idx="991">
                  <c:v>0.403866</c:v>
                </c:pt>
                <c:pt idx="992">
                  <c:v>0.40638600000000002</c:v>
                </c:pt>
                <c:pt idx="993">
                  <c:v>0.40828199999999998</c:v>
                </c:pt>
                <c:pt idx="994">
                  <c:v>0.40995599999999999</c:v>
                </c:pt>
                <c:pt idx="995">
                  <c:v>0.41194599999999998</c:v>
                </c:pt>
                <c:pt idx="996">
                  <c:v>0.41395599999999999</c:v>
                </c:pt>
                <c:pt idx="997">
                  <c:v>0.38638699999999998</c:v>
                </c:pt>
                <c:pt idx="998">
                  <c:v>0.38858199999999998</c:v>
                </c:pt>
                <c:pt idx="999">
                  <c:v>0.37548799999999999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D-4AD3-9276-537E6E1CC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17560"/>
        <c:axId val="735011800"/>
      </c:scatterChart>
      <c:valAx>
        <c:axId val="73501180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7560"/>
        <c:crossesAt val="0"/>
        <c:crossBetween val="midCat"/>
      </c:valAx>
      <c:valAx>
        <c:axId val="7350175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180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xVal>
            <c:numRef>
              <c:f>''!$A$1:$A$1000</c:f>
            </c:numRef>
          </c:xVal>
          <c:yVal>
            <c:numRef>
              <c:f>''!$B$1:$B$1000</c:f>
            </c:numRef>
          </c:yVal>
          <c:smooth val="0"/>
          <c:extLst>
            <c:ext xmlns:c16="http://schemas.microsoft.com/office/drawing/2014/chart" uri="{C3380CC4-5D6E-409C-BE32-E72D297353CC}">
              <c16:uniqueId val="{00000000-05C5-44F6-9E49-E4DE6672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10720"/>
        <c:axId val="735012160"/>
      </c:scatterChart>
      <c:valAx>
        <c:axId val="73501216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0720"/>
        <c:crossesAt val="0"/>
        <c:crossBetween val="midCat"/>
      </c:valAx>
      <c:valAx>
        <c:axId val="7350107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216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</c:v>
          </c:tx>
          <c:spPr>
            <a:ln w="28803" cap="rnd">
              <a:solidFill>
                <a:srgbClr val="004586"/>
              </a:solidFill>
              <a:prstDash val="solid"/>
              <a:round/>
            </a:ln>
          </c:spPr>
          <c:marker>
            <c:symbol val="square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13.330500000000001</c:v>
              </c:pt>
              <c:pt idx="1">
                <c:v>13.316599999999999</c:v>
              </c:pt>
              <c:pt idx="2">
                <c:v>13.273099999999999</c:v>
              </c:pt>
              <c:pt idx="3">
                <c:v>13.2804</c:v>
              </c:pt>
              <c:pt idx="4">
                <c:v>13.242100000000001</c:v>
              </c:pt>
              <c:pt idx="5">
                <c:v>13.2219</c:v>
              </c:pt>
              <c:pt idx="6">
                <c:v>13.2012</c:v>
              </c:pt>
              <c:pt idx="7">
                <c:v>13.1523</c:v>
              </c:pt>
              <c:pt idx="8">
                <c:v>13.113300000000001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08-4E5C-A9B6-C3E99D57C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17920"/>
        <c:axId val="735014680"/>
      </c:scatterChart>
      <c:valAx>
        <c:axId val="73501468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7920"/>
        <c:crossesAt val="0"/>
        <c:crossBetween val="midCat"/>
      </c:valAx>
      <c:valAx>
        <c:axId val="73501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468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externalData r:id="rId1">
    <c:autoUpdate val="0"/>
  </c:externalData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</c:v>
          </c:tx>
          <c:spPr>
            <a:ln w="28803" cap="rnd">
              <a:solidFill>
                <a:srgbClr val="004586"/>
              </a:solidFill>
              <a:prstDash val="solid"/>
              <a:round/>
            </a:ln>
          </c:spPr>
          <c:marker>
            <c:symbol val="square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20.607399999999998</c:v>
              </c:pt>
              <c:pt idx="1">
                <c:v>20.315100000000001</c:v>
              </c:pt>
              <c:pt idx="2">
                <c:v>20.308900000000001</c:v>
              </c:pt>
              <c:pt idx="3">
                <c:v>20.403500000000001</c:v>
              </c:pt>
              <c:pt idx="4">
                <c:v>20.4954</c:v>
              </c:pt>
              <c:pt idx="5">
                <c:v>20.537800000000001</c:v>
              </c:pt>
              <c:pt idx="6">
                <c:v>20.564299999999999</c:v>
              </c:pt>
              <c:pt idx="7">
                <c:v>20.5703</c:v>
              </c:pt>
              <c:pt idx="8">
                <c:v>20.5566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36FE-49AA-8B8B-1ACD6C991785}"/>
            </c:ext>
          </c:extLst>
        </c:ser>
        <c:ser>
          <c:idx val="1"/>
          <c:order val="1"/>
          <c:tx>
            <c:v>V</c:v>
          </c:tx>
          <c:spPr>
            <a:ln w="28803" cap="rnd">
              <a:solidFill>
                <a:srgbClr val="FF420E"/>
              </a:solidFill>
              <a:prstDash val="solid"/>
              <a:round/>
            </a:ln>
          </c:spPr>
          <c:marker>
            <c:symbol val="diamond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20.472799999999999</c:v>
              </c:pt>
              <c:pt idx="1">
                <c:v>20.499600000000001</c:v>
              </c:pt>
              <c:pt idx="2">
                <c:v>20.532900000000001</c:v>
              </c:pt>
              <c:pt idx="3">
                <c:v>20.5961</c:v>
              </c:pt>
              <c:pt idx="4">
                <c:v>20.345800000000001</c:v>
              </c:pt>
              <c:pt idx="5">
                <c:v>20.331600000000002</c:v>
              </c:pt>
              <c:pt idx="6">
                <c:v>20.361799999999999</c:v>
              </c:pt>
              <c:pt idx="7">
                <c:v>20.433599999999998</c:v>
              </c:pt>
              <c:pt idx="8">
                <c:v>20.4421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36FE-49AA-8B8B-1ACD6C991785}"/>
            </c:ext>
          </c:extLst>
        </c:ser>
        <c:ser>
          <c:idx val="2"/>
          <c:order val="2"/>
          <c:tx>
            <c:v>V</c:v>
          </c:tx>
          <c:spPr>
            <a:ln w="28803" cap="rnd">
              <a:solidFill>
                <a:srgbClr val="FFD320"/>
              </a:solidFill>
              <a:prstDash val="solid"/>
              <a:round/>
            </a:ln>
          </c:spP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20.551300000000001</c:v>
              </c:pt>
              <c:pt idx="1">
                <c:v>20.528500000000001</c:v>
              </c:pt>
              <c:pt idx="2">
                <c:v>20.541499999999999</c:v>
              </c:pt>
              <c:pt idx="3">
                <c:v>20.534500000000001</c:v>
              </c:pt>
              <c:pt idx="4">
                <c:v>20.5383</c:v>
              </c:pt>
              <c:pt idx="5">
                <c:v>20.522099999999998</c:v>
              </c:pt>
              <c:pt idx="6">
                <c:v>20.5093</c:v>
              </c:pt>
              <c:pt idx="7">
                <c:v>20.504999999999999</c:v>
              </c:pt>
              <c:pt idx="8">
                <c:v>20.535499999999999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36FE-49AA-8B8B-1ACD6C991785}"/>
            </c:ext>
          </c:extLst>
        </c:ser>
        <c:ser>
          <c:idx val="3"/>
          <c:order val="3"/>
          <c:tx>
            <c:v>V</c:v>
          </c:tx>
          <c:spPr>
            <a:ln w="28803" cap="rnd">
              <a:solidFill>
                <a:srgbClr val="579D1C"/>
              </a:solidFill>
              <a:prstDash val="solid"/>
              <a:round/>
            </a:ln>
          </c:spPr>
          <c:marker>
            <c:symbol val="x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20.534500000000001</c:v>
              </c:pt>
              <c:pt idx="1">
                <c:v>20.5534</c:v>
              </c:pt>
              <c:pt idx="2">
                <c:v>20.5395</c:v>
              </c:pt>
              <c:pt idx="3">
                <c:v>20.5289</c:v>
              </c:pt>
              <c:pt idx="4">
                <c:v>20.532399999999999</c:v>
              </c:pt>
              <c:pt idx="5">
                <c:v>20.532299999999999</c:v>
              </c:pt>
              <c:pt idx="6">
                <c:v>20.526499999999999</c:v>
              </c:pt>
              <c:pt idx="7">
                <c:v>20.5365</c:v>
              </c:pt>
              <c:pt idx="8">
                <c:v>20.5259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36FE-49AA-8B8B-1ACD6C991785}"/>
            </c:ext>
          </c:extLst>
        </c:ser>
        <c:ser>
          <c:idx val="4"/>
          <c:order val="4"/>
          <c:tx>
            <c:v>V</c:v>
          </c:tx>
          <c:spPr>
            <a:ln w="28803" cap="rnd">
              <a:solidFill>
                <a:srgbClr val="7E0021"/>
              </a:solidFill>
              <a:prstDash val="solid"/>
              <a:round/>
            </a:ln>
          </c:spPr>
          <c:marker>
            <c:symbol val="star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20.694700000000001</c:v>
              </c:pt>
              <c:pt idx="1">
                <c:v>20.688700000000001</c:v>
              </c:pt>
              <c:pt idx="2">
                <c:v>20.691299999999998</c:v>
              </c:pt>
              <c:pt idx="3">
                <c:v>20.695</c:v>
              </c:pt>
              <c:pt idx="4">
                <c:v>20.700900000000001</c:v>
              </c:pt>
              <c:pt idx="5">
                <c:v>20.6907</c:v>
              </c:pt>
              <c:pt idx="6">
                <c:v>20.693300000000001</c:v>
              </c:pt>
              <c:pt idx="7">
                <c:v>20.683</c:v>
              </c:pt>
              <c:pt idx="8">
                <c:v>20.675699999999999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36FE-49AA-8B8B-1ACD6C991785}"/>
            </c:ext>
          </c:extLst>
        </c:ser>
        <c:ser>
          <c:idx val="5"/>
          <c:order val="5"/>
          <c:tx>
            <c:v>V</c:v>
          </c:tx>
          <c:spPr>
            <a:ln w="28803" cap="rnd">
              <a:solidFill>
                <a:srgbClr val="83CAFF"/>
              </a:solidFill>
              <a:prstDash val="solid"/>
              <a:round/>
            </a:ln>
          </c:spPr>
          <c:marker>
            <c:symbol val="circle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20.576499999999999</c:v>
              </c:pt>
              <c:pt idx="1">
                <c:v>20.570900000000002</c:v>
              </c:pt>
              <c:pt idx="2">
                <c:v>20.565200000000001</c:v>
              </c:pt>
              <c:pt idx="3">
                <c:v>20.5578</c:v>
              </c:pt>
              <c:pt idx="4">
                <c:v>20.5519</c:v>
              </c:pt>
              <c:pt idx="5">
                <c:v>20.555800000000001</c:v>
              </c:pt>
              <c:pt idx="6">
                <c:v>20.5548</c:v>
              </c:pt>
              <c:pt idx="7">
                <c:v>20.549900000000001</c:v>
              </c:pt>
              <c:pt idx="8">
                <c:v>20.565999999999999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36FE-49AA-8B8B-1ACD6C991785}"/>
            </c:ext>
          </c:extLst>
        </c:ser>
        <c:ser>
          <c:idx val="6"/>
          <c:order val="6"/>
          <c:tx>
            <c:v>V</c:v>
          </c:tx>
          <c:spPr>
            <a:ln w="28803" cap="rnd">
              <a:solidFill>
                <a:srgbClr val="314004"/>
              </a:solidFill>
              <a:prstDash val="solid"/>
              <a:round/>
            </a:ln>
          </c:spPr>
          <c:marker>
            <c:symbol val="plus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0</c:v>
              </c:pt>
              <c:pt idx="1">
                <c:v>953</c:v>
              </c:pt>
              <c:pt idx="2">
                <c:v>72429</c:v>
              </c:pt>
              <c:pt idx="3">
                <c:v>86689</c:v>
              </c:pt>
              <c:pt idx="4">
                <c:v>4425</c:v>
              </c:pt>
              <c:pt idx="5">
                <c:v>81779</c:v>
              </c:pt>
              <c:pt idx="6">
                <c:v>67336</c:v>
              </c:pt>
              <c:pt idx="7">
                <c:v>359</c:v>
              </c:pt>
              <c:pt idx="8">
                <c:v>50979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36FE-49AA-8B8B-1ACD6C991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15040"/>
        <c:axId val="735014320"/>
      </c:scatterChart>
      <c:valAx>
        <c:axId val="73501432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5040"/>
        <c:crossesAt val="0"/>
        <c:crossBetween val="midCat"/>
      </c:valAx>
      <c:valAx>
        <c:axId val="7350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432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externalData r:id="rId1">
    <c:autoUpdate val="0"/>
  </c:externalData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>
        <c:manualLayout>
          <c:xMode val="edge"/>
          <c:yMode val="edge"/>
          <c:x val="1.8937294692029365E-2"/>
          <c:y val="4.0035418145126032E-2"/>
          <c:w val="0.77837503732872204"/>
          <c:h val="0.95996458185487399"/>
        </c:manualLayout>
      </c:layout>
      <c:scatterChart>
        <c:scatterStyle val="lineMarker"/>
        <c:varyColors val="0"/>
        <c:ser>
          <c:idx val="0"/>
          <c:order val="0"/>
          <c:tx>
            <c:v>V</c:v>
          </c:tx>
          <c:spPr>
            <a:ln w="28803" cap="rnd">
              <a:solidFill>
                <a:srgbClr val="004586"/>
              </a:solidFill>
              <a:prstDash val="solid"/>
              <a:round/>
            </a:ln>
          </c:spPr>
          <c:marker>
            <c:symbol val="square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6.1132900000000001</c:v>
              </c:pt>
              <c:pt idx="1">
                <c:v>6.1341400000000004</c:v>
              </c:pt>
              <c:pt idx="2">
                <c:v>6.1845499999999998</c:v>
              </c:pt>
              <c:pt idx="3">
                <c:v>6.18466</c:v>
              </c:pt>
              <c:pt idx="4">
                <c:v>6.2110099999999999</c:v>
              </c:pt>
              <c:pt idx="5">
                <c:v>6.1444999999999999</c:v>
              </c:pt>
              <c:pt idx="6">
                <c:v>6.1173799999999998</c:v>
              </c:pt>
              <c:pt idx="7">
                <c:v>6.0731700000000002</c:v>
              </c:pt>
              <c:pt idx="8">
                <c:v>6.0315899999999996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9D67-43AF-BAF4-44DDCC61CD38}"/>
            </c:ext>
          </c:extLst>
        </c:ser>
        <c:ser>
          <c:idx val="1"/>
          <c:order val="1"/>
          <c:tx>
            <c:v>V</c:v>
          </c:tx>
          <c:spPr>
            <a:ln w="28803" cap="rnd">
              <a:solidFill>
                <a:srgbClr val="FF420E"/>
              </a:solidFill>
              <a:prstDash val="solid"/>
              <a:round/>
            </a:ln>
          </c:spPr>
          <c:marker>
            <c:symbol val="diamond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6.1498999999999997</c:v>
              </c:pt>
              <c:pt idx="1">
                <c:v>6.0888</c:v>
              </c:pt>
              <c:pt idx="2">
                <c:v>6.0597000000000003</c:v>
              </c:pt>
              <c:pt idx="3">
                <c:v>6.07742</c:v>
              </c:pt>
              <c:pt idx="4">
                <c:v>6.0979299999999999</c:v>
              </c:pt>
              <c:pt idx="5">
                <c:v>6.0213799999999997</c:v>
              </c:pt>
              <c:pt idx="6">
                <c:v>5.9681300000000004</c:v>
              </c:pt>
              <c:pt idx="7">
                <c:v>5.9958900000000002</c:v>
              </c:pt>
              <c:pt idx="8">
                <c:v>6.0572999999999997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9D67-43AF-BAF4-44DDCC61CD38}"/>
            </c:ext>
          </c:extLst>
        </c:ser>
        <c:ser>
          <c:idx val="2"/>
          <c:order val="2"/>
          <c:tx>
            <c:v>V</c:v>
          </c:tx>
          <c:spPr>
            <a:ln w="28803" cap="rnd">
              <a:solidFill>
                <a:srgbClr val="FFD320"/>
              </a:solidFill>
              <a:prstDash val="solid"/>
              <a:round/>
            </a:ln>
          </c:spP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6.1815699999999998</c:v>
              </c:pt>
              <c:pt idx="1">
                <c:v>6.1819600000000001</c:v>
              </c:pt>
              <c:pt idx="2">
                <c:v>6.1815800000000003</c:v>
              </c:pt>
              <c:pt idx="3">
                <c:v>6.1624999999999996</c:v>
              </c:pt>
              <c:pt idx="4">
                <c:v>6.1392699999999998</c:v>
              </c:pt>
              <c:pt idx="5">
                <c:v>6.13687</c:v>
              </c:pt>
              <c:pt idx="6">
                <c:v>6.1048999999999998</c:v>
              </c:pt>
              <c:pt idx="7">
                <c:v>6.0892200000000001</c:v>
              </c:pt>
              <c:pt idx="8">
                <c:v>6.0996899999999998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9D67-43AF-BAF4-44DDCC61CD38}"/>
            </c:ext>
          </c:extLst>
        </c:ser>
        <c:ser>
          <c:idx val="3"/>
          <c:order val="3"/>
          <c:tx>
            <c:v>V</c:v>
          </c:tx>
          <c:spPr>
            <a:ln w="28803" cap="rnd">
              <a:solidFill>
                <a:srgbClr val="579D1C"/>
              </a:solidFill>
              <a:prstDash val="solid"/>
              <a:round/>
            </a:ln>
          </c:spPr>
          <c:marker>
            <c:symbol val="x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6.1189999999999998</c:v>
              </c:pt>
              <c:pt idx="1">
                <c:v>6.0923699999999998</c:v>
              </c:pt>
              <c:pt idx="2">
                <c:v>6.0955000000000004</c:v>
              </c:pt>
              <c:pt idx="3">
                <c:v>6.0823499999999999</c:v>
              </c:pt>
              <c:pt idx="4">
                <c:v>6.0483900000000004</c:v>
              </c:pt>
              <c:pt idx="5">
                <c:v>6.0339400000000003</c:v>
              </c:pt>
              <c:pt idx="6">
                <c:v>6.0375300000000003</c:v>
              </c:pt>
              <c:pt idx="7">
                <c:v>6.0233699999999999</c:v>
              </c:pt>
              <c:pt idx="8">
                <c:v>6.0164900000000001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9D67-43AF-BAF4-44DDCC61CD38}"/>
            </c:ext>
          </c:extLst>
        </c:ser>
        <c:ser>
          <c:idx val="4"/>
          <c:order val="4"/>
          <c:tx>
            <c:v>V</c:v>
          </c:tx>
          <c:spPr>
            <a:ln w="28803" cap="rnd">
              <a:solidFill>
                <a:srgbClr val="7E0021"/>
              </a:solidFill>
              <a:prstDash val="solid"/>
              <a:round/>
            </a:ln>
          </c:spPr>
          <c:marker>
            <c:symbol val="star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6.27454</c:v>
              </c:pt>
              <c:pt idx="1">
                <c:v>6.2837800000000001</c:v>
              </c:pt>
              <c:pt idx="2">
                <c:v>6.2624700000000004</c:v>
              </c:pt>
              <c:pt idx="3">
                <c:v>6.2365399999999998</c:v>
              </c:pt>
              <c:pt idx="4">
                <c:v>6.23637</c:v>
              </c:pt>
              <c:pt idx="5">
                <c:v>6.2179099999999998</c:v>
              </c:pt>
              <c:pt idx="6">
                <c:v>6.1955900000000002</c:v>
              </c:pt>
              <c:pt idx="7">
                <c:v>6.1933199999999999</c:v>
              </c:pt>
              <c:pt idx="8">
                <c:v>6.1736599999999999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9D67-43AF-BAF4-44DDCC61CD38}"/>
            </c:ext>
          </c:extLst>
        </c:ser>
        <c:ser>
          <c:idx val="5"/>
          <c:order val="5"/>
          <c:tx>
            <c:v>V</c:v>
          </c:tx>
          <c:spPr>
            <a:ln w="28803" cap="rnd">
              <a:solidFill>
                <a:srgbClr val="83CAFF"/>
              </a:solidFill>
              <a:prstDash val="solid"/>
              <a:round/>
            </a:ln>
          </c:spPr>
          <c:marker>
            <c:symbol val="circle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6.1650200000000002</c:v>
              </c:pt>
              <c:pt idx="1">
                <c:v>6.11937</c:v>
              </c:pt>
              <c:pt idx="2">
                <c:v>6.12575</c:v>
              </c:pt>
              <c:pt idx="3">
                <c:v>6.0875899999999996</c:v>
              </c:pt>
              <c:pt idx="4">
                <c:v>6.0729499999999996</c:v>
              </c:pt>
              <c:pt idx="5">
                <c:v>6.0699100000000001</c:v>
              </c:pt>
              <c:pt idx="6">
                <c:v>6.0610099999999996</c:v>
              </c:pt>
              <c:pt idx="7">
                <c:v>6.0383399999999998</c:v>
              </c:pt>
              <c:pt idx="8">
                <c:v>6.0358099999999997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9D67-43AF-BAF4-44DDCC61CD38}"/>
            </c:ext>
          </c:extLst>
        </c:ser>
        <c:ser>
          <c:idx val="6"/>
          <c:order val="6"/>
          <c:tx>
            <c:v>V</c:v>
          </c:tx>
          <c:spPr>
            <a:ln w="28803" cap="rnd">
              <a:solidFill>
                <a:srgbClr val="314004"/>
              </a:solidFill>
              <a:prstDash val="solid"/>
              <a:round/>
            </a:ln>
          </c:spPr>
          <c:marker>
            <c:symbol val="plus"/>
            <c:size val="7"/>
          </c:marker>
          <c:xVal>
            <c:numLit>
              <c:formatCode>General</c:formatCode>
              <c:ptCount val="9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</c:numLit>
          </c:xVal>
          <c:yVal>
            <c:numLit>
              <c:formatCode>General</c:formatCode>
              <c:ptCount val="9"/>
              <c:pt idx="0">
                <c:v>6.2113300000000002</c:v>
              </c:pt>
              <c:pt idx="1">
                <c:v>6.20045</c:v>
              </c:pt>
              <c:pt idx="2">
                <c:v>6.18689</c:v>
              </c:pt>
              <c:pt idx="3">
                <c:v>6.17821</c:v>
              </c:pt>
              <c:pt idx="4">
                <c:v>6.1527799999999999</c:v>
              </c:pt>
              <c:pt idx="5">
                <c:v>6.1510699999999998</c:v>
              </c:pt>
              <c:pt idx="6">
                <c:v>6.1134199999999996</c:v>
              </c:pt>
              <c:pt idx="7">
                <c:v>6.11036</c:v>
              </c:pt>
              <c:pt idx="8">
                <c:v>6.0954699999999997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9D67-43AF-BAF4-44DDCC61C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08560"/>
        <c:axId val="735019000"/>
      </c:scatterChart>
      <c:valAx>
        <c:axId val="73501900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08560"/>
        <c:crossesAt val="0"/>
        <c:crossBetween val="midCat"/>
      </c:valAx>
      <c:valAx>
        <c:axId val="73500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900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externalData r:id="rId1">
    <c:autoUpdate val="0"/>
  </c:externalData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Tabelle7!$F$1:$F$1</c:f>
              <c:strCache>
                <c:ptCount val="1"/>
                <c:pt idx="0">
                  <c:v>prior%</c:v>
                </c:pt>
              </c:strCache>
            </c:strRef>
          </c:tx>
          <c:spPr>
            <a:ln w="28803" cap="rnd">
              <a:solidFill>
                <a:srgbClr val="004586"/>
              </a:solidFill>
              <a:prstDash val="solid"/>
              <a:round/>
            </a:ln>
          </c:spPr>
          <c:marker>
            <c:symbol val="square"/>
            <c:size val="7"/>
          </c:marker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0.00" "%</c:formatCode>
                <c:ptCount val="15"/>
                <c:pt idx="0">
                  <c:v>-0.39215686274509809</c:v>
                </c:pt>
                <c:pt idx="1">
                  <c:v>-0.36036036036036034</c:v>
                </c:pt>
                <c:pt idx="2">
                  <c:v>-0.28436018957345977</c:v>
                </c:pt>
                <c:pt idx="3">
                  <c:v>-0.22792022792022792</c:v>
                </c:pt>
                <c:pt idx="4">
                  <c:v>-0.18832391713747643</c:v>
                </c:pt>
                <c:pt idx="5">
                  <c:v>-0.15978695073235683</c:v>
                </c:pt>
                <c:pt idx="6">
                  <c:v>-0.13847675568743822</c:v>
                </c:pt>
                <c:pt idx="7">
                  <c:v>-0.1220442410373761</c:v>
                </c:pt>
                <c:pt idx="8">
                  <c:v>-0.10902483343428226</c:v>
                </c:pt>
                <c:pt idx="9">
                  <c:v>-9.8473658296405753E-2</c:v>
                </c:pt>
                <c:pt idx="10">
                  <c:v>-8.9759281925744561E-2</c:v>
                </c:pt>
                <c:pt idx="11">
                  <c:v>-8.2445894881484016E-2</c:v>
                </c:pt>
                <c:pt idx="12">
                  <c:v>-7.6223981237173888E-2</c:v>
                </c:pt>
                <c:pt idx="13">
                  <c:v>-7.086813464945585E-2</c:v>
                </c:pt>
                <c:pt idx="14">
                  <c:v>-6.6210549547561226E-2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C-4E82-BFD7-72FF13A9467B}"/>
            </c:ext>
          </c:extLst>
        </c:ser>
        <c:ser>
          <c:idx val="1"/>
          <c:order val="1"/>
          <c:tx>
            <c:strRef>
              <c:f>Tabelle7!$G$1:$G$1</c:f>
              <c:strCache>
                <c:ptCount val="1"/>
                <c:pt idx="0">
                  <c:v>prior2%</c:v>
                </c:pt>
              </c:strCache>
            </c:strRef>
          </c:tx>
          <c:spPr>
            <a:ln w="28803" cap="rnd">
              <a:solidFill>
                <a:srgbClr val="FF420E"/>
              </a:solidFill>
              <a:prstDash val="solid"/>
              <a:round/>
            </a:ln>
          </c:spPr>
          <c:marker>
            <c:symbol val="diamond"/>
            <c:size val="7"/>
          </c:marker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0.00" "%</c:formatCode>
                <c:ptCount val="15"/>
                <c:pt idx="0">
                  <c:v>-0.19607843137254899</c:v>
                </c:pt>
                <c:pt idx="1">
                  <c:v>-0.18018018018018023</c:v>
                </c:pt>
                <c:pt idx="2">
                  <c:v>-0.14218009478672988</c:v>
                </c:pt>
                <c:pt idx="3">
                  <c:v>-0.11396011396011396</c:v>
                </c:pt>
                <c:pt idx="4">
                  <c:v>-9.4161958568738213E-2</c:v>
                </c:pt>
                <c:pt idx="5">
                  <c:v>-7.9893475366178413E-2</c:v>
                </c:pt>
                <c:pt idx="6">
                  <c:v>-6.9238377843719112E-2</c:v>
                </c:pt>
                <c:pt idx="7">
                  <c:v>-6.102212051868805E-2</c:v>
                </c:pt>
                <c:pt idx="8">
                  <c:v>-5.4512416717141132E-2</c:v>
                </c:pt>
                <c:pt idx="9">
                  <c:v>-4.9236829148202821E-2</c:v>
                </c:pt>
                <c:pt idx="10">
                  <c:v>-4.4879640962872336E-2</c:v>
                </c:pt>
                <c:pt idx="11">
                  <c:v>-4.1222947440742064E-2</c:v>
                </c:pt>
                <c:pt idx="12">
                  <c:v>-3.8111990618586944E-2</c:v>
                </c:pt>
                <c:pt idx="13">
                  <c:v>-3.5434067324727869E-2</c:v>
                </c:pt>
                <c:pt idx="14">
                  <c:v>-3.3105274773780669E-2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4C-4E82-BFD7-72FF13A94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16840"/>
        <c:axId val="735008200"/>
      </c:scatterChart>
      <c:valAx>
        <c:axId val="735008200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0.00&quot; &quot;%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16840"/>
        <c:crossesAt val="0"/>
        <c:crossBetween val="midCat"/>
      </c:valAx>
      <c:valAx>
        <c:axId val="735016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735008200"/>
        <c:crossesAt val="0"/>
        <c:crossBetween val="midCat"/>
      </c:val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lang="de-DE" sz="1000" b="0" i="0" u="none" strike="noStrike" kern="1200" baseline="0">
          <a:solidFill>
            <a:srgbClr val="000000"/>
          </a:solidFill>
          <a:latin typeface="Calibri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38096</xdr:colOff>
      <xdr:row>0</xdr:row>
      <xdr:rowOff>119064</xdr:rowOff>
    </xdr:from>
    <xdr:ext cx="5343525" cy="3262314"/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B7C98028-7874-4086-A83E-E2B6A30B2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17</xdr:col>
      <xdr:colOff>57150</xdr:colOff>
      <xdr:row>18</xdr:row>
      <xdr:rowOff>4757</xdr:rowOff>
    </xdr:from>
    <xdr:ext cx="5333996" cy="3138485"/>
    <xdr:graphicFrame macro="">
      <xdr:nvGraphicFramePr>
        <xdr:cNvPr id="3" name="Diagramm 3">
          <a:extLst>
            <a:ext uri="{FF2B5EF4-FFF2-40B4-BE49-F238E27FC236}">
              <a16:creationId xmlns:a16="http://schemas.microsoft.com/office/drawing/2014/main" id="{4B3EA405-6A51-42AB-80BC-A42BA334F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31</xdr:col>
      <xdr:colOff>71435</xdr:colOff>
      <xdr:row>0</xdr:row>
      <xdr:rowOff>100010</xdr:rowOff>
    </xdr:from>
    <xdr:ext cx="5176839" cy="3024185"/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F4E1CF0A-1BB2-44DA-BA67-54D8F39C73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31</xdr:col>
      <xdr:colOff>76196</xdr:colOff>
      <xdr:row>16</xdr:row>
      <xdr:rowOff>104775</xdr:rowOff>
    </xdr:from>
    <xdr:ext cx="5229225" cy="3167060"/>
    <xdr:graphicFrame macro="">
      <xdr:nvGraphicFramePr>
        <xdr:cNvPr id="3" name="Diagramm 3">
          <a:extLst>
            <a:ext uri="{FF2B5EF4-FFF2-40B4-BE49-F238E27FC236}">
              <a16:creationId xmlns:a16="http://schemas.microsoft.com/office/drawing/2014/main" id="{4E19F8DA-2C4E-47B4-9AC1-88AA4FF4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47621</xdr:colOff>
      <xdr:row>0</xdr:row>
      <xdr:rowOff>61914</xdr:rowOff>
    </xdr:from>
    <xdr:ext cx="5343525" cy="3262314"/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007E59-A10E-FEF4-8E1D-D96D2D790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57150</xdr:colOff>
      <xdr:row>20</xdr:row>
      <xdr:rowOff>100007</xdr:rowOff>
    </xdr:from>
    <xdr:ext cx="5333996" cy="3138485"/>
    <xdr:graphicFrame macro="">
      <xdr:nvGraphicFramePr>
        <xdr:cNvPr id="3" name="Diagramm 3">
          <a:extLst>
            <a:ext uri="{FF2B5EF4-FFF2-40B4-BE49-F238E27FC236}">
              <a16:creationId xmlns:a16="http://schemas.microsoft.com/office/drawing/2014/main" id="{2619E937-F3A2-F2AF-9797-EE4C818F3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52385</xdr:colOff>
      <xdr:row>0</xdr:row>
      <xdr:rowOff>80960</xdr:rowOff>
    </xdr:from>
    <xdr:ext cx="5176839" cy="3024185"/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1945EB9E-6983-11FB-9BBC-92E426C5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76196</xdr:colOff>
      <xdr:row>19</xdr:row>
      <xdr:rowOff>85725</xdr:rowOff>
    </xdr:from>
    <xdr:ext cx="5229225" cy="3167060"/>
    <xdr:graphicFrame macro="">
      <xdr:nvGraphicFramePr>
        <xdr:cNvPr id="3" name="Diagramm 3">
          <a:extLst>
            <a:ext uri="{FF2B5EF4-FFF2-40B4-BE49-F238E27FC236}">
              <a16:creationId xmlns:a16="http://schemas.microsoft.com/office/drawing/2014/main" id="{749632E5-9274-8DB8-17C7-E69193629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4323237" y="240121"/>
    <xdr:ext cx="5759641" cy="3237122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B1B6D3F-1A9B-D68A-7DB7-7FF5B1AC8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356</xdr:rowOff>
    </xdr:from>
    <xdr:ext cx="9795601" cy="397907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3033E9-5DDB-DE38-CCF3-E476BFA49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356</xdr:rowOff>
    </xdr:from>
    <xdr:ext cx="9795601" cy="3979075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0A72096-F75E-228C-F006-D088A98245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2214356" y="19506236"/>
    <xdr:ext cx="5759641" cy="3236756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614976A-4A56-4617-264F-ED0FD76E0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16304401" y="331561"/>
    <xdr:ext cx="5759641" cy="3243962"/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AFFC08A-0C04-C2E9-62FB-0AFF413AC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16627870" y="10516340"/>
    <xdr:ext cx="5759641" cy="3236756"/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3E3EE9F-C6F9-933C-66A8-68BBE5BE7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5725799" y="35999"/>
    <xdr:ext cx="5759641" cy="3239636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91846AF-1C42-D262-9600-C8F8166B72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1" connectionId="1" xr16:uid="{DD0C5293-A855-4C28-9205-BF9D3C1F7708}" autoFormatId="0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8" connectionId="8" xr16:uid="{B8859F4C-538E-49CF-AC75-2A7E5090C98A}" autoFormatId="0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7" connectionId="7" xr16:uid="{095AEA87-A542-4684-871E-EBF2DA604117}" autoFormatId="0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6" connectionId="6" xr16:uid="{8BC6B87B-1079-4F62-8926-F2EE99AF0CB1}" autoFormatId="0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5" connectionId="5" xr16:uid="{E0D3944A-1789-4976-A439-38FF1C109AB7}" autoFormatId="0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4" connectionId="4" xr16:uid="{B4458212-B519-4BF7-8AC7-2A20D4657BA0}" autoFormatId="0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3" connectionId="3" xr16:uid="{02F4F040-1FBA-494E-BEFF-C9560A7A1630}" autoFormatId="0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erbindung2" connectionId="2" xr16:uid="{8255F442-1F87-4F9C-81A4-93E5B324341F}" autoFormatId="0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107F9-82F3-4CAD-917C-114C9903EFD3}" name="__Anonymous_Sheet_DB__3" displayName="__Anonymous_Sheet_DB__3" ref="A1:M52" headerRowCount="0" totalsRowShown="0">
  <sortState xmlns:xlrd2="http://schemas.microsoft.com/office/spreadsheetml/2017/richdata2" ref="A1:M52">
    <sortCondition ref="H1:H52"/>
    <sortCondition ref="I1:I52"/>
  </sortState>
  <tableColumns count="13">
    <tableColumn id="1" xr3:uid="{ACEF78B2-E619-4BF5-BF3A-651980E4AFAC}" name="Spalte1"/>
    <tableColumn id="2" xr3:uid="{28171105-E689-41DA-9B9C-2461ECE53912}" name="Spalte2"/>
    <tableColumn id="3" xr3:uid="{6D9BB945-2F47-4FF9-9D80-6FB417BF5CF9}" name="Spalte3"/>
    <tableColumn id="4" xr3:uid="{DA33CDC0-3D4D-456A-A485-CB10547CAC94}" name="Spalte4"/>
    <tableColumn id="5" xr3:uid="{B5CDBDE5-F5FD-488E-9541-EC966D2EBE14}" name="Spalte5"/>
    <tableColumn id="6" xr3:uid="{7BDE01A8-3493-4F56-87DC-8854A1D8BFD6}" name="Spalte6"/>
    <tableColumn id="7" xr3:uid="{3909F604-67C3-40E2-98CE-8C5F91EAE71C}" name="Spalte7"/>
    <tableColumn id="8" xr3:uid="{921D8EEC-4FD0-4DBB-8DA4-F8397FEDC73D}" name="Spalte8"/>
    <tableColumn id="9" xr3:uid="{7F1CDB1B-2874-4616-8659-3349BE62060F}" name="Spalte9"/>
    <tableColumn id="10" xr3:uid="{A66C21ED-5E14-40C6-9878-96070F9F9545}" name="Spalte10"/>
    <tableColumn id="11" xr3:uid="{AF0313B1-5ABA-4415-9AF1-BB4A414573E1}" name="Spalte11"/>
    <tableColumn id="12" xr3:uid="{0DDC78DB-6CD1-47F5-9574-7A5091845904}" name="Spalte12"/>
    <tableColumn id="13" xr3:uid="{6074171D-105C-40E7-892B-125A92B5FD2F}" name="Spalte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6044B3-ABD4-4540-9252-83DEC96F1823}" name="test1" displayName="test1" ref="S2:T262" totalsRowShown="0">
  <tableColumns count="2">
    <tableColumn id="1" xr3:uid="{F5221547-A8FA-46DF-ACA5-8E6ADA994D2B}" name="26"/>
    <tableColumn id="2" xr3:uid="{9E87A664-963A-447F-9075-D88CC0B72A33}" name="286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2" Type="http://schemas.openxmlformats.org/officeDocument/2006/relationships/table" Target="../tables/table2.xml"/><Relationship Id="rId1" Type="http://schemas.openxmlformats.org/officeDocument/2006/relationships/drawing" Target="../drawings/drawing8.xml"/><Relationship Id="rId6" Type="http://schemas.openxmlformats.org/officeDocument/2006/relationships/queryTable" Target="../queryTables/queryTable5.xml"/><Relationship Id="rId5" Type="http://schemas.openxmlformats.org/officeDocument/2006/relationships/queryTable" Target="../queryTables/queryTable4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6172-3457-4CA3-B426-92F5F86A5A24}">
  <dimension ref="A1:Q33"/>
  <sheetViews>
    <sheetView topLeftCell="F1" workbookViewId="0">
      <selection activeCell="F2" sqref="F2:F33"/>
    </sheetView>
  </sheetViews>
  <sheetFormatPr baseColWidth="10" defaultRowHeight="15"/>
  <cols>
    <col min="1" max="10" width="12.140625" customWidth="1"/>
    <col min="11" max="11" width="11.42578125" customWidth="1"/>
  </cols>
  <sheetData>
    <row r="1" spans="1:17">
      <c r="A1" t="s">
        <v>0</v>
      </c>
      <c r="B1" t="s">
        <v>332</v>
      </c>
      <c r="C1" t="s">
        <v>329</v>
      </c>
      <c r="D1" t="s">
        <v>334</v>
      </c>
      <c r="E1" t="s">
        <v>335</v>
      </c>
      <c r="F1" t="s">
        <v>336</v>
      </c>
      <c r="G1" t="s">
        <v>330</v>
      </c>
      <c r="J1" t="str">
        <f>C1</f>
        <v>master_old</v>
      </c>
      <c r="K1" t="str">
        <f>C1</f>
        <v>master_old</v>
      </c>
      <c r="L1" t="str">
        <f>D1</f>
        <v>n%(w+6)</v>
      </c>
      <c r="M1" t="str">
        <f>D1</f>
        <v>n%(w+6)</v>
      </c>
      <c r="N1" t="str">
        <f>E1</f>
        <v>n%(w+4)</v>
      </c>
      <c r="O1" t="str">
        <f>E1</f>
        <v>n%(w+4)</v>
      </c>
      <c r="P1" t="str">
        <f>F1</f>
        <v>n%(w+5)</v>
      </c>
      <c r="Q1" t="str">
        <f>F1</f>
        <v>n%(w+5)</v>
      </c>
    </row>
    <row r="2" spans="1:17">
      <c r="A2">
        <v>0</v>
      </c>
      <c r="B2">
        <v>25.802600000000002</v>
      </c>
      <c r="C2">
        <v>26.266300000000001</v>
      </c>
      <c r="D2">
        <v>26.0259</v>
      </c>
      <c r="E2">
        <v>25.782</v>
      </c>
      <c r="F2">
        <v>25.839700000000001</v>
      </c>
      <c r="I2" s="1">
        <f>LN(B2/(100-B2))-LN($B2/(100-$B2))</f>
        <v>0</v>
      </c>
      <c r="J2" s="1">
        <f>LN(C2)-LN($B2)</f>
        <v>1.7811486663536158E-2</v>
      </c>
      <c r="K2" s="1">
        <f t="shared" ref="K2:K33" si="0">C2-$B2</f>
        <v>0.46369999999999933</v>
      </c>
      <c r="L2" s="1">
        <f>LN(D2)-LN($B2)</f>
        <v>8.6169339917576693E-3</v>
      </c>
      <c r="M2" s="1">
        <f>D2-$B2</f>
        <v>0.22329999999999828</v>
      </c>
      <c r="N2" s="1">
        <f>LN(E2)-LN($B2)</f>
        <v>-7.9868802297866637E-4</v>
      </c>
      <c r="O2" s="1">
        <f>E2-$B2</f>
        <v>-2.0600000000001728E-2</v>
      </c>
      <c r="P2" s="1">
        <f>LN(F2)-LN($B2)</f>
        <v>1.4368068959931257E-3</v>
      </c>
      <c r="Q2" s="1">
        <f>F2-$B2</f>
        <v>3.7099999999998801E-2</v>
      </c>
    </row>
    <row r="3" spans="1:17">
      <c r="A3">
        <f t="shared" ref="A3:A33" si="1">1+A2</f>
        <v>1</v>
      </c>
      <c r="B3">
        <v>27.8843</v>
      </c>
      <c r="C3">
        <v>27.9971</v>
      </c>
      <c r="D3">
        <v>28.271100000000001</v>
      </c>
      <c r="E3">
        <v>27.641300000000001</v>
      </c>
      <c r="F3">
        <v>28.091699999999999</v>
      </c>
      <c r="I3" s="1">
        <f>B3-$B3</f>
        <v>0</v>
      </c>
      <c r="J3" s="1">
        <f t="shared" ref="J3:J33" si="2">LN(C3)-LN($B3)</f>
        <v>4.0371269583392433E-3</v>
      </c>
      <c r="K3" s="1">
        <f t="shared" si="0"/>
        <v>0.11280000000000001</v>
      </c>
      <c r="L3" s="1">
        <f t="shared" ref="L3:L33" si="3">LN(D3)-LN($B3)</f>
        <v>1.3776275029938834E-2</v>
      </c>
      <c r="M3" s="1">
        <f t="shared" ref="M3:M33" si="4">D3-$B3</f>
        <v>0.38680000000000092</v>
      </c>
      <c r="N3" s="1">
        <f t="shared" ref="N3:N33" si="5">LN(E3)-LN($B3)</f>
        <v>-8.7527753458696012E-3</v>
      </c>
      <c r="O3" s="1">
        <f t="shared" ref="O3:O33" si="6">E3-$B3</f>
        <v>-0.24299999999999855</v>
      </c>
      <c r="P3" s="1">
        <f t="shared" ref="P3:P33" si="7">LN(F3)-LN($B3)</f>
        <v>7.4103526184239321E-3</v>
      </c>
      <c r="Q3" s="1">
        <f t="shared" ref="Q3:Q33" si="8">F3-$B3</f>
        <v>0.20739999999999981</v>
      </c>
    </row>
    <row r="4" spans="1:17">
      <c r="A4">
        <f t="shared" si="1"/>
        <v>2</v>
      </c>
      <c r="B4">
        <v>8.3880800000000004</v>
      </c>
      <c r="C4">
        <v>8.4535800000000005</v>
      </c>
      <c r="D4">
        <v>8.3826400000000003</v>
      </c>
      <c r="E4">
        <v>8.3919300000000003</v>
      </c>
      <c r="F4">
        <v>8.3645700000000005</v>
      </c>
      <c r="I4" s="1">
        <f>LN(B4)-LN($B4)</f>
        <v>0</v>
      </c>
      <c r="J4" s="1">
        <f t="shared" si="2"/>
        <v>7.7783698572959636E-3</v>
      </c>
      <c r="K4" s="1">
        <f t="shared" si="0"/>
        <v>6.5500000000000114E-2</v>
      </c>
      <c r="L4" s="1">
        <f t="shared" si="3"/>
        <v>-6.487497484659599E-4</v>
      </c>
      <c r="M4" s="1">
        <f t="shared" si="4"/>
        <v>-5.4400000000001114E-3</v>
      </c>
      <c r="N4" s="1">
        <f t="shared" si="5"/>
        <v>4.5887935317789896E-4</v>
      </c>
      <c r="O4" s="1">
        <f t="shared" si="6"/>
        <v>3.8499999999999091E-3</v>
      </c>
      <c r="P4" s="1">
        <f t="shared" si="7"/>
        <v>-2.8067219733833859E-3</v>
      </c>
      <c r="Q4" s="1">
        <f t="shared" si="8"/>
        <v>-2.350999999999992E-2</v>
      </c>
    </row>
    <row r="5" spans="1:17">
      <c r="A5">
        <f t="shared" si="1"/>
        <v>3</v>
      </c>
      <c r="B5">
        <v>7.6803299999999997</v>
      </c>
      <c r="C5">
        <v>7.7830199999999996</v>
      </c>
      <c r="D5">
        <v>7.6459700000000002</v>
      </c>
      <c r="E5">
        <v>7.7543600000000001</v>
      </c>
      <c r="F5">
        <v>7.6656500000000003</v>
      </c>
      <c r="J5" s="1">
        <f t="shared" si="2"/>
        <v>1.3281922690698167E-2</v>
      </c>
      <c r="K5" s="1">
        <f t="shared" si="0"/>
        <v>0.10268999999999995</v>
      </c>
      <c r="L5" s="1">
        <f t="shared" si="3"/>
        <v>-4.4838033401202182E-3</v>
      </c>
      <c r="M5" s="1">
        <f t="shared" si="4"/>
        <v>-3.4359999999999502E-2</v>
      </c>
      <c r="N5" s="1">
        <f t="shared" si="5"/>
        <v>9.592750834801933E-3</v>
      </c>
      <c r="O5" s="1">
        <f t="shared" si="6"/>
        <v>7.4030000000000484E-2</v>
      </c>
      <c r="P5" s="1">
        <f t="shared" si="7"/>
        <v>-1.9132052143731038E-3</v>
      </c>
      <c r="Q5" s="1">
        <f t="shared" si="8"/>
        <v>-1.467999999999936E-2</v>
      </c>
    </row>
    <row r="6" spans="1:17">
      <c r="A6">
        <f t="shared" si="1"/>
        <v>4</v>
      </c>
      <c r="B6">
        <v>6.29467</v>
      </c>
      <c r="C6">
        <v>6.28993</v>
      </c>
      <c r="D6">
        <v>6.2465000000000002</v>
      </c>
      <c r="E6">
        <v>6.40944</v>
      </c>
      <c r="F6">
        <v>6.2835400000000003</v>
      </c>
      <c r="J6" s="1">
        <f t="shared" si="2"/>
        <v>-7.5330169002563174E-4</v>
      </c>
      <c r="K6" s="1">
        <f t="shared" si="0"/>
        <v>-4.7399999999999665E-3</v>
      </c>
      <c r="L6" s="1">
        <f t="shared" si="3"/>
        <v>-7.6819366748679396E-3</v>
      </c>
      <c r="M6" s="1">
        <f t="shared" si="4"/>
        <v>-4.8169999999999824E-2</v>
      </c>
      <c r="N6" s="1">
        <f t="shared" si="5"/>
        <v>1.8068660057011687E-2</v>
      </c>
      <c r="O6" s="1">
        <f t="shared" si="6"/>
        <v>0.11477000000000004</v>
      </c>
      <c r="P6" s="1">
        <f t="shared" si="7"/>
        <v>-1.7697276329255995E-3</v>
      </c>
      <c r="Q6" s="1">
        <f t="shared" si="8"/>
        <v>-1.112999999999964E-2</v>
      </c>
    </row>
    <row r="7" spans="1:17">
      <c r="A7">
        <f t="shared" si="1"/>
        <v>5</v>
      </c>
      <c r="B7">
        <v>4.8431600000000001</v>
      </c>
      <c r="C7">
        <v>4.7150100000000004</v>
      </c>
      <c r="D7">
        <v>4.7914199999999996</v>
      </c>
      <c r="E7">
        <v>4.9797099999999999</v>
      </c>
      <c r="F7">
        <v>4.8345200000000004</v>
      </c>
      <c r="J7" s="1">
        <f t="shared" si="2"/>
        <v>-2.6816363274952959E-2</v>
      </c>
      <c r="K7" s="1">
        <f t="shared" si="0"/>
        <v>-0.12814999999999976</v>
      </c>
      <c r="L7" s="1">
        <f t="shared" si="3"/>
        <v>-1.0740581819515205E-2</v>
      </c>
      <c r="M7" s="1">
        <f t="shared" si="4"/>
        <v>-5.1740000000000563E-2</v>
      </c>
      <c r="N7" s="1">
        <f t="shared" si="5"/>
        <v>2.7804256160332663E-2</v>
      </c>
      <c r="O7" s="1">
        <f t="shared" si="6"/>
        <v>0.13654999999999973</v>
      </c>
      <c r="P7" s="1">
        <f t="shared" si="7"/>
        <v>-1.7855523835261788E-3</v>
      </c>
      <c r="Q7" s="1">
        <f t="shared" si="8"/>
        <v>-8.639999999999759E-3</v>
      </c>
    </row>
    <row r="8" spans="1:17">
      <c r="A8">
        <f t="shared" si="1"/>
        <v>6</v>
      </c>
      <c r="B8">
        <v>3.77075</v>
      </c>
      <c r="C8">
        <v>3.6066600000000002</v>
      </c>
      <c r="D8">
        <v>3.7221099999999998</v>
      </c>
      <c r="E8">
        <v>3.8997000000000002</v>
      </c>
      <c r="F8">
        <v>3.7592699999999999</v>
      </c>
      <c r="J8" s="1">
        <f t="shared" si="2"/>
        <v>-4.4491784346542662E-2</v>
      </c>
      <c r="K8" s="1">
        <f t="shared" si="0"/>
        <v>-0.16408999999999985</v>
      </c>
      <c r="L8" s="1">
        <f t="shared" si="3"/>
        <v>-1.2983208879652652E-2</v>
      </c>
      <c r="M8" s="1">
        <f t="shared" si="4"/>
        <v>-4.8640000000000239E-2</v>
      </c>
      <c r="N8" s="1">
        <f t="shared" si="5"/>
        <v>3.3625706433721314E-2</v>
      </c>
      <c r="O8" s="1">
        <f t="shared" si="6"/>
        <v>0.12895000000000012</v>
      </c>
      <c r="P8" s="1">
        <f t="shared" si="7"/>
        <v>-3.0491310499363156E-3</v>
      </c>
      <c r="Q8" s="1">
        <f t="shared" si="8"/>
        <v>-1.1480000000000157E-2</v>
      </c>
    </row>
    <row r="9" spans="1:17">
      <c r="A9">
        <f t="shared" si="1"/>
        <v>7</v>
      </c>
      <c r="B9">
        <v>3.1460499999999998</v>
      </c>
      <c r="C9">
        <v>2.9949300000000001</v>
      </c>
      <c r="D9">
        <v>3.0929600000000002</v>
      </c>
      <c r="E9">
        <v>3.2188500000000002</v>
      </c>
      <c r="F9">
        <v>3.1251099999999998</v>
      </c>
      <c r="J9" s="1">
        <f t="shared" si="2"/>
        <v>-4.9226838700370479E-2</v>
      </c>
      <c r="K9" s="1">
        <f t="shared" si="0"/>
        <v>-0.1511199999999997</v>
      </c>
      <c r="L9" s="1">
        <f t="shared" si="3"/>
        <v>-1.7019136516257083E-2</v>
      </c>
      <c r="M9" s="1">
        <f t="shared" si="4"/>
        <v>-5.3089999999999637E-2</v>
      </c>
      <c r="N9" s="1">
        <f t="shared" si="5"/>
        <v>2.2876455200973478E-2</v>
      </c>
      <c r="O9" s="1">
        <f t="shared" si="6"/>
        <v>7.280000000000042E-2</v>
      </c>
      <c r="P9" s="1">
        <f t="shared" si="7"/>
        <v>-6.6782151386424182E-3</v>
      </c>
      <c r="Q9" s="1">
        <f t="shared" si="8"/>
        <v>-2.0939999999999959E-2</v>
      </c>
    </row>
    <row r="10" spans="1:17">
      <c r="A10">
        <f t="shared" si="1"/>
        <v>8</v>
      </c>
      <c r="B10">
        <v>2.6354099999999998</v>
      </c>
      <c r="C10">
        <v>2.5376300000000001</v>
      </c>
      <c r="D10">
        <v>2.5731799999999998</v>
      </c>
      <c r="E10">
        <v>2.6488900000000002</v>
      </c>
      <c r="F10">
        <v>2.6027800000000001</v>
      </c>
      <c r="J10" s="1">
        <f t="shared" si="2"/>
        <v>-3.780819302950611E-2</v>
      </c>
      <c r="K10" s="1">
        <f t="shared" si="0"/>
        <v>-9.7779999999999756E-2</v>
      </c>
      <c r="L10" s="1">
        <f t="shared" si="3"/>
        <v>-2.3896279511154583E-2</v>
      </c>
      <c r="M10" s="1">
        <f t="shared" si="4"/>
        <v>-6.2230000000000008E-2</v>
      </c>
      <c r="N10" s="1">
        <f t="shared" si="5"/>
        <v>5.101916711713339E-3</v>
      </c>
      <c r="O10" s="1">
        <f t="shared" si="6"/>
        <v>1.3480000000000381E-2</v>
      </c>
      <c r="P10" s="1">
        <f t="shared" si="7"/>
        <v>-1.2458663035626261E-2</v>
      </c>
      <c r="Q10" s="1">
        <f t="shared" si="8"/>
        <v>-3.2629999999999715E-2</v>
      </c>
    </row>
    <row r="11" spans="1:17">
      <c r="A11">
        <f t="shared" si="1"/>
        <v>9</v>
      </c>
      <c r="B11">
        <v>2.1776300000000002</v>
      </c>
      <c r="C11">
        <v>2.1287500000000001</v>
      </c>
      <c r="D11">
        <v>2.09931</v>
      </c>
      <c r="E11">
        <v>2.1355300000000002</v>
      </c>
      <c r="F11">
        <v>2.1266400000000001</v>
      </c>
      <c r="J11" s="1">
        <f t="shared" si="2"/>
        <v>-2.270217646023398E-2</v>
      </c>
      <c r="K11" s="1">
        <f t="shared" si="0"/>
        <v>-4.8880000000000035E-2</v>
      </c>
      <c r="L11" s="1">
        <f t="shared" si="3"/>
        <v>-3.6628410145608026E-2</v>
      </c>
      <c r="M11" s="1">
        <f t="shared" si="4"/>
        <v>-7.8320000000000167E-2</v>
      </c>
      <c r="N11" s="1">
        <f t="shared" si="5"/>
        <v>-1.9522270022022226E-2</v>
      </c>
      <c r="O11" s="1">
        <f t="shared" si="6"/>
        <v>-4.2100000000000026E-2</v>
      </c>
      <c r="P11" s="1">
        <f t="shared" si="7"/>
        <v>-2.3693860029975422E-2</v>
      </c>
      <c r="Q11" s="1">
        <f t="shared" si="8"/>
        <v>-5.0990000000000091E-2</v>
      </c>
    </row>
    <row r="12" spans="1:17">
      <c r="A12">
        <f t="shared" si="1"/>
        <v>10</v>
      </c>
      <c r="B12">
        <v>1.7503200000000001</v>
      </c>
      <c r="C12">
        <v>1.7307300000000001</v>
      </c>
      <c r="D12">
        <v>1.6781999999999999</v>
      </c>
      <c r="E12">
        <v>1.6869099999999999</v>
      </c>
      <c r="F12">
        <v>1.70418</v>
      </c>
      <c r="J12" s="1">
        <f t="shared" si="2"/>
        <v>-1.1255343536671902E-2</v>
      </c>
      <c r="K12" s="1">
        <f t="shared" si="0"/>
        <v>-1.9589999999999996E-2</v>
      </c>
      <c r="L12" s="1">
        <f t="shared" si="3"/>
        <v>-4.2076837908118336E-2</v>
      </c>
      <c r="M12" s="1">
        <f t="shared" si="4"/>
        <v>-7.2120000000000184E-2</v>
      </c>
      <c r="N12" s="1">
        <f t="shared" si="5"/>
        <v>-3.6900175361721188E-2</v>
      </c>
      <c r="O12" s="1">
        <f t="shared" si="6"/>
        <v>-6.3410000000000188E-2</v>
      </c>
      <c r="P12" s="1">
        <f t="shared" si="7"/>
        <v>-2.6714571730866665E-2</v>
      </c>
      <c r="Q12" s="1">
        <f t="shared" si="8"/>
        <v>-4.614000000000007E-2</v>
      </c>
    </row>
    <row r="13" spans="1:17">
      <c r="A13">
        <f t="shared" si="1"/>
        <v>11</v>
      </c>
      <c r="B13">
        <v>1.39229</v>
      </c>
      <c r="C13">
        <v>1.39171</v>
      </c>
      <c r="D13">
        <v>1.3299399999999999</v>
      </c>
      <c r="E13">
        <v>1.3303</v>
      </c>
      <c r="F13">
        <v>1.3534999999999999</v>
      </c>
      <c r="J13" s="1">
        <f t="shared" si="2"/>
        <v>-4.1666667269485425E-4</v>
      </c>
      <c r="K13" s="1">
        <f t="shared" si="0"/>
        <v>-5.8000000000002494E-4</v>
      </c>
      <c r="L13" s="1">
        <f t="shared" si="3"/>
        <v>-4.5816045113090675E-2</v>
      </c>
      <c r="M13" s="1">
        <f t="shared" si="4"/>
        <v>-6.2350000000000128E-2</v>
      </c>
      <c r="N13" s="1">
        <f t="shared" si="5"/>
        <v>-4.5545392839462961E-2</v>
      </c>
      <c r="O13" s="1">
        <f t="shared" si="6"/>
        <v>-6.198999999999999E-2</v>
      </c>
      <c r="P13" s="1">
        <f t="shared" si="7"/>
        <v>-2.8256043474967185E-2</v>
      </c>
      <c r="Q13" s="1">
        <f t="shared" si="8"/>
        <v>-3.8790000000000102E-2</v>
      </c>
    </row>
    <row r="14" spans="1:17">
      <c r="A14">
        <f t="shared" si="1"/>
        <v>12</v>
      </c>
      <c r="B14">
        <v>1.09297</v>
      </c>
      <c r="C14">
        <v>1.08697</v>
      </c>
      <c r="D14">
        <v>1.0477700000000001</v>
      </c>
      <c r="E14">
        <v>1.0442400000000001</v>
      </c>
      <c r="F14">
        <v>1.0684</v>
      </c>
      <c r="J14" s="1">
        <f t="shared" si="2"/>
        <v>-5.5047525630455424E-3</v>
      </c>
      <c r="K14" s="1">
        <f t="shared" si="0"/>
        <v>-6.0000000000000053E-3</v>
      </c>
      <c r="L14" s="1">
        <f t="shared" si="3"/>
        <v>-4.2234665261331315E-2</v>
      </c>
      <c r="M14" s="1">
        <f t="shared" si="4"/>
        <v>-4.5199999999999907E-2</v>
      </c>
      <c r="N14" s="1">
        <f t="shared" si="5"/>
        <v>-4.5609413326819864E-2</v>
      </c>
      <c r="O14" s="1">
        <f t="shared" si="6"/>
        <v>-4.872999999999994E-2</v>
      </c>
      <c r="P14" s="1">
        <f t="shared" si="7"/>
        <v>-2.2736559171548459E-2</v>
      </c>
      <c r="Q14" s="1">
        <f t="shared" si="8"/>
        <v>-2.4569999999999981E-2</v>
      </c>
    </row>
    <row r="15" spans="1:17">
      <c r="A15">
        <f t="shared" si="1"/>
        <v>13</v>
      </c>
      <c r="B15">
        <v>0.83717299999999994</v>
      </c>
      <c r="C15">
        <v>0.82000399999999996</v>
      </c>
      <c r="D15">
        <v>0.80931699999999995</v>
      </c>
      <c r="E15">
        <v>0.80380200000000002</v>
      </c>
      <c r="F15">
        <v>0.82699400000000001</v>
      </c>
      <c r="J15" s="1">
        <f t="shared" si="2"/>
        <v>-2.0721521398271714E-2</v>
      </c>
      <c r="K15" s="1">
        <f t="shared" si="0"/>
        <v>-1.716899999999999E-2</v>
      </c>
      <c r="L15" s="1">
        <f t="shared" si="3"/>
        <v>-3.3840057604928087E-2</v>
      </c>
      <c r="M15" s="1">
        <f t="shared" si="4"/>
        <v>-2.7855999999999992E-2</v>
      </c>
      <c r="N15" s="1">
        <f t="shared" si="5"/>
        <v>-4.0677769500308464E-2</v>
      </c>
      <c r="O15" s="1">
        <f t="shared" si="6"/>
        <v>-3.3370999999999928E-2</v>
      </c>
      <c r="P15" s="1">
        <f t="shared" si="7"/>
        <v>-1.2233299835137462E-2</v>
      </c>
      <c r="Q15" s="1">
        <f t="shared" si="8"/>
        <v>-1.0178999999999938E-2</v>
      </c>
    </row>
    <row r="16" spans="1:17">
      <c r="A16">
        <f t="shared" si="1"/>
        <v>14</v>
      </c>
      <c r="B16">
        <v>0.63293299999999997</v>
      </c>
      <c r="C16">
        <v>0.60846800000000001</v>
      </c>
      <c r="D16">
        <v>0.61770000000000003</v>
      </c>
      <c r="E16">
        <v>0.61138599999999999</v>
      </c>
      <c r="F16">
        <v>0.63252600000000003</v>
      </c>
      <c r="J16" s="1">
        <f t="shared" si="2"/>
        <v>-3.9420248647701772E-2</v>
      </c>
      <c r="K16" s="1">
        <f t="shared" si="0"/>
        <v>-2.4464999999999959E-2</v>
      </c>
      <c r="L16" s="1">
        <f t="shared" si="3"/>
        <v>-2.4361668658651525E-2</v>
      </c>
      <c r="M16" s="1">
        <f t="shared" si="4"/>
        <v>-1.5232999999999941E-2</v>
      </c>
      <c r="N16" s="1">
        <f t="shared" si="5"/>
        <v>-3.4636060432214344E-2</v>
      </c>
      <c r="O16" s="1">
        <f t="shared" si="6"/>
        <v>-2.1546999999999983E-2</v>
      </c>
      <c r="P16" s="1">
        <f t="shared" si="7"/>
        <v>-6.432448843201044E-4</v>
      </c>
      <c r="Q16" s="1">
        <f t="shared" si="8"/>
        <v>-4.0699999999993519E-4</v>
      </c>
    </row>
    <row r="17" spans="1:17">
      <c r="A17">
        <f t="shared" si="1"/>
        <v>15</v>
      </c>
      <c r="B17">
        <v>0.47179399999999999</v>
      </c>
      <c r="C17">
        <v>0.44498599999999999</v>
      </c>
      <c r="D17">
        <v>0.46287600000000001</v>
      </c>
      <c r="E17">
        <v>0.45815099999999997</v>
      </c>
      <c r="F17">
        <v>0.47581800000000002</v>
      </c>
      <c r="J17" s="1">
        <f t="shared" si="2"/>
        <v>-5.849962864245084E-2</v>
      </c>
      <c r="K17" s="1">
        <f t="shared" si="0"/>
        <v>-2.6807999999999998E-2</v>
      </c>
      <c r="L17" s="1">
        <f t="shared" si="3"/>
        <v>-1.9083249997715268E-2</v>
      </c>
      <c r="M17" s="1">
        <f t="shared" si="4"/>
        <v>-8.9179999999999815E-3</v>
      </c>
      <c r="N17" s="1">
        <f t="shared" si="5"/>
        <v>-2.9343625539537954E-2</v>
      </c>
      <c r="O17" s="1">
        <f t="shared" si="6"/>
        <v>-1.3643000000000016E-2</v>
      </c>
      <c r="P17" s="1">
        <f t="shared" si="7"/>
        <v>8.4929785350834619E-3</v>
      </c>
      <c r="Q17" s="1">
        <f t="shared" si="8"/>
        <v>4.0240000000000276E-3</v>
      </c>
    </row>
    <row r="18" spans="1:17">
      <c r="A18">
        <f t="shared" si="1"/>
        <v>16</v>
      </c>
      <c r="B18">
        <v>0.34799999999999998</v>
      </c>
      <c r="C18">
        <v>0.32495099999999999</v>
      </c>
      <c r="D18">
        <v>0.34243299999999999</v>
      </c>
      <c r="E18">
        <v>0.33974900000000002</v>
      </c>
      <c r="F18">
        <v>0.35328599999999999</v>
      </c>
      <c r="J18" s="1">
        <f t="shared" si="2"/>
        <v>-6.8528078042328966E-2</v>
      </c>
      <c r="K18" s="1">
        <f t="shared" si="0"/>
        <v>-2.3048999999999986E-2</v>
      </c>
      <c r="L18" s="1">
        <f t="shared" si="3"/>
        <v>-1.6126461646324142E-2</v>
      </c>
      <c r="M18" s="1">
        <f t="shared" si="4"/>
        <v>-5.5669999999999886E-3</v>
      </c>
      <c r="N18" s="1">
        <f t="shared" si="5"/>
        <v>-2.3995370088244483E-2</v>
      </c>
      <c r="O18" s="1">
        <f t="shared" si="6"/>
        <v>-8.2509999999999528E-3</v>
      </c>
      <c r="P18" s="1">
        <f t="shared" si="7"/>
        <v>1.5075447425632271E-2</v>
      </c>
      <c r="Q18" s="1">
        <f t="shared" si="8"/>
        <v>5.2860000000000129E-3</v>
      </c>
    </row>
    <row r="19" spans="1:17">
      <c r="A19">
        <f t="shared" si="1"/>
        <v>17</v>
      </c>
      <c r="B19">
        <v>0.25445899999999999</v>
      </c>
      <c r="C19">
        <v>0.23650299999999999</v>
      </c>
      <c r="D19">
        <v>0.25092900000000001</v>
      </c>
      <c r="E19">
        <v>0.249861</v>
      </c>
      <c r="F19">
        <v>0.25953300000000001</v>
      </c>
      <c r="J19" s="1">
        <f t="shared" si="2"/>
        <v>-7.3178829975120152E-2</v>
      </c>
      <c r="K19" s="1">
        <f t="shared" si="0"/>
        <v>-1.7956E-2</v>
      </c>
      <c r="L19" s="1">
        <f t="shared" si="3"/>
        <v>-1.3969692225043406E-2</v>
      </c>
      <c r="M19" s="1">
        <f t="shared" si="4"/>
        <v>-3.5299999999999776E-3</v>
      </c>
      <c r="N19" s="1">
        <f t="shared" si="5"/>
        <v>-1.8234959579153998E-2</v>
      </c>
      <c r="O19" s="1">
        <f t="shared" si="6"/>
        <v>-4.597999999999991E-3</v>
      </c>
      <c r="P19" s="1">
        <f t="shared" si="7"/>
        <v>1.9744139334800348E-2</v>
      </c>
      <c r="Q19" s="1">
        <f t="shared" si="8"/>
        <v>5.0740000000000229E-3</v>
      </c>
    </row>
    <row r="20" spans="1:17">
      <c r="A20">
        <f t="shared" si="1"/>
        <v>18</v>
      </c>
      <c r="B20">
        <v>0.183004</v>
      </c>
      <c r="C20">
        <v>0.17074700000000001</v>
      </c>
      <c r="D20">
        <v>0.18080599999999999</v>
      </c>
      <c r="E20">
        <v>0.18107500000000001</v>
      </c>
      <c r="F20">
        <v>0.187781</v>
      </c>
      <c r="J20" s="1">
        <f t="shared" si="2"/>
        <v>-6.9325081775603925E-2</v>
      </c>
      <c r="K20" s="1">
        <f t="shared" si="0"/>
        <v>-1.225699999999999E-2</v>
      </c>
      <c r="L20" s="1">
        <f t="shared" si="3"/>
        <v>-1.2083377277890994E-2</v>
      </c>
      <c r="M20" s="1">
        <f t="shared" si="4"/>
        <v>-2.1980000000000055E-3</v>
      </c>
      <c r="N20" s="1">
        <f t="shared" si="5"/>
        <v>-1.0596700444647444E-2</v>
      </c>
      <c r="O20" s="1">
        <f t="shared" si="6"/>
        <v>-1.9289999999999863E-3</v>
      </c>
      <c r="P20" s="1">
        <f t="shared" si="7"/>
        <v>2.5768379670949138E-2</v>
      </c>
      <c r="Q20" s="1">
        <f t="shared" si="8"/>
        <v>4.7770000000000035E-3</v>
      </c>
    </row>
    <row r="21" spans="1:17">
      <c r="A21">
        <f t="shared" si="1"/>
        <v>19</v>
      </c>
      <c r="B21">
        <v>0.12982099999999999</v>
      </c>
      <c r="C21">
        <v>0.122323</v>
      </c>
      <c r="D21">
        <v>0.12879399999999999</v>
      </c>
      <c r="E21">
        <v>0.129723</v>
      </c>
      <c r="F21">
        <v>0.13425599999999999</v>
      </c>
      <c r="J21" s="1">
        <f t="shared" si="2"/>
        <v>-5.9491491395070373E-2</v>
      </c>
      <c r="K21" s="1">
        <f t="shared" si="0"/>
        <v>-7.4979999999999908E-3</v>
      </c>
      <c r="L21" s="1">
        <f t="shared" si="3"/>
        <v>-7.9423498147423999E-3</v>
      </c>
      <c r="M21" s="1">
        <f t="shared" si="4"/>
        <v>-1.0270000000000001E-3</v>
      </c>
      <c r="N21" s="1">
        <f t="shared" si="5"/>
        <v>-7.5517064279884139E-4</v>
      </c>
      <c r="O21" s="1">
        <f t="shared" si="6"/>
        <v>-9.7999999999986986E-5</v>
      </c>
      <c r="P21" s="1">
        <f t="shared" si="7"/>
        <v>3.359184657871106E-2</v>
      </c>
      <c r="Q21" s="1">
        <f t="shared" si="8"/>
        <v>4.4349999999999945E-3</v>
      </c>
    </row>
    <row r="22" spans="1:17">
      <c r="A22">
        <f t="shared" si="1"/>
        <v>20</v>
      </c>
      <c r="B22">
        <v>9.0984099999999998E-2</v>
      </c>
      <c r="C22">
        <v>8.7123400000000004E-2</v>
      </c>
      <c r="D22">
        <v>9.1077900000000003E-2</v>
      </c>
      <c r="E22">
        <v>9.2099100000000003E-2</v>
      </c>
      <c r="F22">
        <v>9.5101500000000005E-2</v>
      </c>
      <c r="J22" s="1">
        <f t="shared" si="2"/>
        <v>-4.3359261482764033E-2</v>
      </c>
      <c r="K22" s="1">
        <f t="shared" si="0"/>
        <v>-3.8606999999999947E-3</v>
      </c>
      <c r="L22" s="1">
        <f t="shared" si="3"/>
        <v>1.0304183003531087E-3</v>
      </c>
      <c r="M22" s="1">
        <f t="shared" si="4"/>
        <v>9.380000000000499E-5</v>
      </c>
      <c r="N22" s="1">
        <f t="shared" si="5"/>
        <v>1.2180405250658666E-2</v>
      </c>
      <c r="O22" s="1">
        <f t="shared" si="6"/>
        <v>1.1150000000000049E-3</v>
      </c>
      <c r="P22" s="1">
        <f t="shared" si="7"/>
        <v>4.4259976321731287E-2</v>
      </c>
      <c r="Q22" s="1">
        <f t="shared" si="8"/>
        <v>4.1174000000000072E-3</v>
      </c>
    </row>
    <row r="23" spans="1:17">
      <c r="A23">
        <f t="shared" si="1"/>
        <v>21</v>
      </c>
      <c r="B23">
        <v>6.3215999999999994E-2</v>
      </c>
      <c r="C23">
        <v>6.1721600000000001E-2</v>
      </c>
      <c r="D23">
        <v>6.4130300000000001E-2</v>
      </c>
      <c r="E23">
        <v>6.4961599999999994E-2</v>
      </c>
      <c r="F23">
        <v>6.6984100000000005E-2</v>
      </c>
      <c r="J23" s="1">
        <f t="shared" si="2"/>
        <v>-2.3923482984483879E-2</v>
      </c>
      <c r="K23" s="1">
        <f t="shared" si="0"/>
        <v>-1.494399999999993E-3</v>
      </c>
      <c r="L23" s="1">
        <f t="shared" si="3"/>
        <v>1.435951747861175E-2</v>
      </c>
      <c r="M23" s="1">
        <f t="shared" si="4"/>
        <v>9.1430000000000677E-4</v>
      </c>
      <c r="N23" s="1">
        <f t="shared" si="5"/>
        <v>2.7238892422932981E-2</v>
      </c>
      <c r="O23" s="1">
        <f t="shared" si="6"/>
        <v>1.7455999999999999E-3</v>
      </c>
      <c r="P23" s="1">
        <f t="shared" si="7"/>
        <v>5.7897844125807119E-2</v>
      </c>
      <c r="Q23" s="1">
        <f t="shared" si="8"/>
        <v>3.7681000000000103E-3</v>
      </c>
    </row>
    <row r="24" spans="1:17">
      <c r="A24">
        <f t="shared" si="1"/>
        <v>22</v>
      </c>
      <c r="B24">
        <v>4.3402200000000002E-2</v>
      </c>
      <c r="C24">
        <v>4.3398399999999997E-2</v>
      </c>
      <c r="D24">
        <v>4.48466E-2</v>
      </c>
      <c r="E24">
        <v>4.5532999999999997E-2</v>
      </c>
      <c r="F24">
        <v>4.6708E-2</v>
      </c>
      <c r="J24" s="1">
        <f t="shared" si="2"/>
        <v>-8.7556998510152084E-5</v>
      </c>
      <c r="K24" s="1">
        <f t="shared" si="0"/>
        <v>-3.8000000000051881E-6</v>
      </c>
      <c r="L24" s="1">
        <f t="shared" si="3"/>
        <v>3.2737646315652125E-2</v>
      </c>
      <c r="M24" s="1">
        <f t="shared" si="4"/>
        <v>1.4443999999999985E-3</v>
      </c>
      <c r="N24" s="1">
        <f t="shared" si="5"/>
        <v>4.7927206731726013E-2</v>
      </c>
      <c r="O24" s="1">
        <f t="shared" si="6"/>
        <v>2.1307999999999952E-3</v>
      </c>
      <c r="P24" s="1">
        <f t="shared" si="7"/>
        <v>7.340532514762721E-2</v>
      </c>
      <c r="Q24" s="1">
        <f t="shared" si="8"/>
        <v>3.3057999999999976E-3</v>
      </c>
    </row>
    <row r="25" spans="1:17">
      <c r="A25">
        <f t="shared" si="1"/>
        <v>23</v>
      </c>
      <c r="B25">
        <v>2.9377E-2</v>
      </c>
      <c r="C25">
        <v>3.03281E-2</v>
      </c>
      <c r="D25">
        <v>3.1232200000000002E-2</v>
      </c>
      <c r="E25">
        <v>3.1705999999999998E-2</v>
      </c>
      <c r="F25">
        <v>3.2369000000000002E-2</v>
      </c>
      <c r="J25" s="1">
        <f t="shared" si="2"/>
        <v>3.1862620238616302E-2</v>
      </c>
      <c r="K25" s="1">
        <f t="shared" si="0"/>
        <v>9.5109999999999986E-4</v>
      </c>
      <c r="L25" s="1">
        <f t="shared" si="3"/>
        <v>6.123755864568281E-2</v>
      </c>
      <c r="M25" s="1">
        <f t="shared" si="4"/>
        <v>1.8552000000000013E-3</v>
      </c>
      <c r="N25" s="1">
        <f t="shared" si="5"/>
        <v>7.6293882168015692E-2</v>
      </c>
      <c r="O25" s="1">
        <f t="shared" si="6"/>
        <v>2.3289999999999977E-3</v>
      </c>
      <c r="P25" s="1">
        <f t="shared" si="7"/>
        <v>9.6989119405963109E-2</v>
      </c>
      <c r="Q25" s="1">
        <f t="shared" si="8"/>
        <v>2.9920000000000016E-3</v>
      </c>
    </row>
    <row r="26" spans="1:17">
      <c r="A26">
        <f t="shared" si="1"/>
        <v>24</v>
      </c>
      <c r="B26">
        <v>1.9771899999999999E-2</v>
      </c>
      <c r="C26">
        <v>2.1123599999999999E-2</v>
      </c>
      <c r="D26">
        <v>2.1737699999999999E-2</v>
      </c>
      <c r="E26">
        <v>2.20716E-2</v>
      </c>
      <c r="F26">
        <v>2.23263E-2</v>
      </c>
      <c r="J26" s="1">
        <f t="shared" si="2"/>
        <v>6.6129161083160248E-2</v>
      </c>
      <c r="K26" s="1">
        <f t="shared" si="0"/>
        <v>1.3517000000000008E-3</v>
      </c>
      <c r="L26" s="1">
        <f t="shared" si="3"/>
        <v>9.478634255349716E-2</v>
      </c>
      <c r="M26" s="1">
        <f t="shared" si="4"/>
        <v>1.9658000000000002E-3</v>
      </c>
      <c r="N26" s="1">
        <f t="shared" si="5"/>
        <v>0.11002997646798551</v>
      </c>
      <c r="O26" s="1">
        <f t="shared" si="6"/>
        <v>2.2997000000000017E-3</v>
      </c>
      <c r="P26" s="1">
        <f t="shared" si="7"/>
        <v>0.12150361797568321</v>
      </c>
      <c r="Q26" s="1">
        <f t="shared" si="8"/>
        <v>2.5544000000000018E-3</v>
      </c>
    </row>
    <row r="27" spans="1:17">
      <c r="A27">
        <f t="shared" si="1"/>
        <v>25</v>
      </c>
      <c r="B27">
        <v>1.3236599999999999E-2</v>
      </c>
      <c r="C27">
        <v>1.4660599999999999E-2</v>
      </c>
      <c r="D27">
        <v>1.5123599999999999E-2</v>
      </c>
      <c r="E27">
        <v>1.52941E-2</v>
      </c>
      <c r="F27">
        <v>1.53092E-2</v>
      </c>
      <c r="J27" s="1">
        <f t="shared" si="2"/>
        <v>0.10217790336776211</v>
      </c>
      <c r="K27" s="1">
        <f t="shared" si="0"/>
        <v>1.4239999999999999E-3</v>
      </c>
      <c r="L27" s="1">
        <f t="shared" si="3"/>
        <v>0.13327071770167453</v>
      </c>
      <c r="M27" s="1">
        <f t="shared" si="4"/>
        <v>1.8869999999999998E-3</v>
      </c>
      <c r="N27" s="1">
        <f t="shared" si="5"/>
        <v>0.14448141316485685</v>
      </c>
      <c r="O27" s="1">
        <f t="shared" si="6"/>
        <v>2.0575000000000003E-3</v>
      </c>
      <c r="P27" s="1">
        <f t="shared" si="7"/>
        <v>0.14546823492756822</v>
      </c>
      <c r="Q27" s="1">
        <f t="shared" si="8"/>
        <v>2.0726000000000008E-3</v>
      </c>
    </row>
    <row r="28" spans="1:17">
      <c r="A28">
        <f t="shared" si="1"/>
        <v>26</v>
      </c>
      <c r="B28">
        <v>8.7469699999999997E-3</v>
      </c>
      <c r="C28">
        <v>1.01137E-2</v>
      </c>
      <c r="D28">
        <v>1.04981E-2</v>
      </c>
      <c r="E28">
        <v>1.05221E-2</v>
      </c>
      <c r="F28">
        <v>1.0414400000000001E-2</v>
      </c>
      <c r="J28" s="1">
        <f t="shared" si="2"/>
        <v>0.14518358567852108</v>
      </c>
      <c r="K28" s="1">
        <f t="shared" si="0"/>
        <v>1.36673E-3</v>
      </c>
      <c r="L28" s="1">
        <f t="shared" si="3"/>
        <v>0.18248693372417435</v>
      </c>
      <c r="M28" s="1">
        <f t="shared" si="4"/>
        <v>1.75113E-3</v>
      </c>
      <c r="N28" s="1">
        <f t="shared" si="5"/>
        <v>0.18477045247555779</v>
      </c>
      <c r="O28" s="1">
        <f t="shared" si="6"/>
        <v>1.7751299999999998E-3</v>
      </c>
      <c r="P28" s="1">
        <f t="shared" si="7"/>
        <v>0.17448210915149165</v>
      </c>
      <c r="Q28" s="1">
        <f t="shared" si="8"/>
        <v>1.667430000000001E-3</v>
      </c>
    </row>
    <row r="29" spans="1:17">
      <c r="A29">
        <f t="shared" si="1"/>
        <v>27</v>
      </c>
      <c r="B29">
        <v>5.7212399999999998E-3</v>
      </c>
      <c r="C29">
        <v>6.9646500000000002E-3</v>
      </c>
      <c r="D29">
        <v>7.2627899999999999E-3</v>
      </c>
      <c r="E29">
        <v>7.1766499999999997E-3</v>
      </c>
      <c r="F29">
        <v>7.0658200000000004E-3</v>
      </c>
      <c r="J29" s="1">
        <f t="shared" si="2"/>
        <v>0.19666178959844771</v>
      </c>
      <c r="K29" s="1">
        <f t="shared" si="0"/>
        <v>1.2434100000000003E-3</v>
      </c>
      <c r="L29" s="1">
        <f t="shared" si="3"/>
        <v>0.23857848741958332</v>
      </c>
      <c r="M29" s="1">
        <f t="shared" si="4"/>
        <v>1.54155E-3</v>
      </c>
      <c r="N29" s="1">
        <f t="shared" si="5"/>
        <v>0.22664713525014246</v>
      </c>
      <c r="O29" s="1">
        <f t="shared" si="6"/>
        <v>1.4554099999999999E-3</v>
      </c>
      <c r="P29" s="1">
        <f t="shared" si="7"/>
        <v>0.21108350939674914</v>
      </c>
      <c r="Q29" s="1">
        <f t="shared" si="8"/>
        <v>1.3445800000000006E-3</v>
      </c>
    </row>
    <row r="30" spans="1:17">
      <c r="A30">
        <f t="shared" si="1"/>
        <v>28</v>
      </c>
      <c r="B30">
        <v>3.6980899999999998E-3</v>
      </c>
      <c r="C30">
        <v>4.74793E-3</v>
      </c>
      <c r="D30">
        <v>4.9487200000000002E-3</v>
      </c>
      <c r="E30">
        <v>4.8688500000000001E-3</v>
      </c>
      <c r="F30">
        <v>4.7573900000000002E-3</v>
      </c>
      <c r="J30" s="1">
        <f t="shared" si="2"/>
        <v>0.24989226344053694</v>
      </c>
      <c r="K30" s="1">
        <f t="shared" si="0"/>
        <v>1.0498400000000002E-3</v>
      </c>
      <c r="L30" s="1">
        <f t="shared" si="3"/>
        <v>0.2913124871344257</v>
      </c>
      <c r="M30" s="1">
        <f t="shared" si="4"/>
        <v>1.2506300000000004E-3</v>
      </c>
      <c r="N30" s="1">
        <f t="shared" si="5"/>
        <v>0.27504129943025557</v>
      </c>
      <c r="O30" s="1">
        <f t="shared" si="6"/>
        <v>1.1707600000000003E-3</v>
      </c>
      <c r="P30" s="1">
        <f t="shared" si="7"/>
        <v>0.2518827283850813</v>
      </c>
      <c r="Q30" s="1">
        <f t="shared" si="8"/>
        <v>1.0593000000000004E-3</v>
      </c>
    </row>
    <row r="31" spans="1:17">
      <c r="A31">
        <f t="shared" si="1"/>
        <v>29</v>
      </c>
      <c r="B31">
        <v>2.33629E-3</v>
      </c>
      <c r="C31">
        <v>3.2351699999999999E-3</v>
      </c>
      <c r="D31">
        <v>3.3446600000000002E-3</v>
      </c>
      <c r="E31">
        <v>3.2705799999999999E-3</v>
      </c>
      <c r="F31">
        <v>3.2061899999999998E-3</v>
      </c>
      <c r="J31" s="1">
        <f t="shared" si="2"/>
        <v>0.32551727570759859</v>
      </c>
      <c r="K31" s="1">
        <f t="shared" si="0"/>
        <v>8.988799999999999E-4</v>
      </c>
      <c r="L31" s="1">
        <f t="shared" si="3"/>
        <v>0.35880084307253401</v>
      </c>
      <c r="M31" s="1">
        <f t="shared" si="4"/>
        <v>1.0083700000000002E-3</v>
      </c>
      <c r="N31" s="1">
        <f t="shared" si="5"/>
        <v>0.33640313811514932</v>
      </c>
      <c r="O31" s="1">
        <f t="shared" si="6"/>
        <v>9.3428999999999995E-4</v>
      </c>
      <c r="P31" s="1">
        <f t="shared" si="7"/>
        <v>0.31651911521516229</v>
      </c>
      <c r="Q31" s="1">
        <f t="shared" si="8"/>
        <v>8.6989999999999984E-4</v>
      </c>
    </row>
    <row r="32" spans="1:17">
      <c r="A32">
        <f t="shared" si="1"/>
        <v>30</v>
      </c>
      <c r="B32">
        <v>1.4513600000000001E-3</v>
      </c>
      <c r="C32">
        <v>2.1812400000000001E-3</v>
      </c>
      <c r="D32">
        <v>2.2123199999999998E-3</v>
      </c>
      <c r="E32">
        <v>2.1435899999999999E-3</v>
      </c>
      <c r="F32">
        <v>2.1401800000000002E-3</v>
      </c>
      <c r="J32" s="1">
        <f t="shared" si="2"/>
        <v>0.40739247454637351</v>
      </c>
      <c r="K32" s="1">
        <f t="shared" si="0"/>
        <v>7.2988000000000003E-4</v>
      </c>
      <c r="L32" s="1">
        <f t="shared" si="3"/>
        <v>0.42154069077367318</v>
      </c>
      <c r="M32" s="1">
        <f t="shared" si="4"/>
        <v>7.6095999999999976E-4</v>
      </c>
      <c r="N32" s="1">
        <f t="shared" si="5"/>
        <v>0.38998094569372999</v>
      </c>
      <c r="O32" s="1">
        <f t="shared" si="6"/>
        <v>6.9222999999999984E-4</v>
      </c>
      <c r="P32" s="1">
        <f t="shared" si="7"/>
        <v>0.38838888976156749</v>
      </c>
      <c r="Q32" s="1">
        <f t="shared" si="8"/>
        <v>6.8882000000000014E-4</v>
      </c>
    </row>
    <row r="33" spans="1:17">
      <c r="A33">
        <f t="shared" si="1"/>
        <v>31</v>
      </c>
      <c r="B33">
        <v>8.87717E-4</v>
      </c>
      <c r="C33">
        <v>1.4555499999999999E-3</v>
      </c>
      <c r="D33">
        <v>1.4217100000000001E-3</v>
      </c>
      <c r="E33">
        <v>1.3692800000000001E-3</v>
      </c>
      <c r="F33">
        <v>1.42896E-3</v>
      </c>
      <c r="J33" s="1">
        <f t="shared" si="2"/>
        <v>0.49448611654699715</v>
      </c>
      <c r="K33" s="1">
        <f t="shared" si="0"/>
        <v>5.678329999999999E-4</v>
      </c>
      <c r="L33" s="1">
        <f t="shared" si="3"/>
        <v>0.47096265294480144</v>
      </c>
      <c r="M33" s="1">
        <f t="shared" si="4"/>
        <v>5.3399300000000008E-4</v>
      </c>
      <c r="N33" s="1">
        <f t="shared" si="5"/>
        <v>0.43338733472360325</v>
      </c>
      <c r="O33" s="1">
        <f t="shared" si="6"/>
        <v>4.8156300000000006E-4</v>
      </c>
      <c r="P33" s="1">
        <f t="shared" si="7"/>
        <v>0.47604918743072666</v>
      </c>
      <c r="Q33" s="1">
        <f t="shared" si="8"/>
        <v>5.4124299999999995E-4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5107-FD82-4B40-A50A-B14880E48ECE}">
  <dimension ref="A1:AE33"/>
  <sheetViews>
    <sheetView tabSelected="1" topLeftCell="O1" workbookViewId="0">
      <selection activeCell="AD3" sqref="AD3:AE33"/>
    </sheetView>
  </sheetViews>
  <sheetFormatPr baseColWidth="10" defaultRowHeight="15"/>
  <cols>
    <col min="1" max="14" width="12.140625" customWidth="1"/>
    <col min="15" max="15" width="11.42578125" customWidth="1"/>
  </cols>
  <sheetData>
    <row r="1" spans="1:31">
      <c r="A1" t="s">
        <v>0</v>
      </c>
      <c r="B1" t="s">
        <v>332</v>
      </c>
      <c r="C1" t="s">
        <v>329</v>
      </c>
      <c r="D1" t="s">
        <v>330</v>
      </c>
      <c r="E1" t="s">
        <v>331</v>
      </c>
      <c r="F1" t="s">
        <v>333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N1" t="str">
        <f>C1</f>
        <v>master_old</v>
      </c>
      <c r="O1" t="str">
        <f>C1</f>
        <v>master_old</v>
      </c>
      <c r="P1" t="str">
        <f>D1</f>
        <v>n%(w+8)</v>
      </c>
      <c r="Q1" t="str">
        <f>D1</f>
        <v>n%(w+8)</v>
      </c>
      <c r="R1" t="str">
        <f>E1</f>
        <v>n%(w+16)</v>
      </c>
      <c r="S1" t="str">
        <f>E1</f>
        <v>n%(w+16)</v>
      </c>
      <c r="T1" t="str">
        <f>F1</f>
        <v>n%(w+10)</v>
      </c>
      <c r="U1" t="str">
        <f>F1</f>
        <v>n%(w+10)</v>
      </c>
      <c r="V1" t="str">
        <f>G1</f>
        <v>n%(w+6)</v>
      </c>
      <c r="W1" t="str">
        <f>G1</f>
        <v>n%(w+6)</v>
      </c>
      <c r="X1" t="str">
        <f>H1</f>
        <v>n%(w+4)</v>
      </c>
      <c r="Y1" t="str">
        <f>H1</f>
        <v>n%(w+4)</v>
      </c>
      <c r="Z1" t="str">
        <f>I1</f>
        <v>n%(w+5)</v>
      </c>
      <c r="AA1" t="str">
        <f>I1</f>
        <v>n%(w+5)</v>
      </c>
      <c r="AB1" t="str">
        <f>J1</f>
        <v>n%(razor+64pc)</v>
      </c>
      <c r="AC1" t="str">
        <f>J1</f>
        <v>n%(razor+64pc)</v>
      </c>
      <c r="AD1" t="str">
        <f>K1</f>
        <v>n%(razor+128pc)</v>
      </c>
      <c r="AE1" t="str">
        <f>K1</f>
        <v>n%(razor+128pc)</v>
      </c>
    </row>
    <row r="2" spans="1:31">
      <c r="A2">
        <v>0</v>
      </c>
      <c r="B2">
        <v>26.778500000000001</v>
      </c>
      <c r="C2">
        <v>26.725999999999999</v>
      </c>
      <c r="D2">
        <v>26.783300000000001</v>
      </c>
      <c r="E2">
        <v>26.8049</v>
      </c>
      <c r="F2">
        <v>26.742599999999999</v>
      </c>
      <c r="G2">
        <v>26.829000000000001</v>
      </c>
      <c r="H2">
        <v>26.620200000000001</v>
      </c>
      <c r="I2">
        <v>26.872</v>
      </c>
      <c r="J2">
        <v>26.631599999999999</v>
      </c>
      <c r="K2">
        <v>26.697399999999998</v>
      </c>
      <c r="M2" s="1">
        <f>LN(B2/(100-B2))-LN($B2/(100-$B2))</f>
        <v>0</v>
      </c>
      <c r="N2" s="1">
        <f>LN(C2)-LN($B2)</f>
        <v>-1.9624523862136201E-3</v>
      </c>
      <c r="O2" s="1">
        <f t="shared" ref="O2:O33" si="0">C2-$B2</f>
        <v>-5.250000000000199E-2</v>
      </c>
      <c r="P2" s="1">
        <f>LN(D2)-LN($B2)</f>
        <v>1.7923221448334914E-4</v>
      </c>
      <c r="Q2" s="1">
        <f t="shared" ref="Q2:Q33" si="1">D2-$B2</f>
        <v>4.7999999999994714E-3</v>
      </c>
      <c r="R2" s="1">
        <f>LN(E2)-LN($B2)</f>
        <v>9.8537988019220535E-4</v>
      </c>
      <c r="S2" s="1">
        <f t="shared" ref="S2:S33" si="2">E2-$B2</f>
        <v>2.6399999999998869E-2</v>
      </c>
      <c r="T2" s="1">
        <f>LN(F2)-LN($B2)</f>
        <v>-1.3415271877477153E-3</v>
      </c>
      <c r="U2" s="1">
        <f>F2-$B2</f>
        <v>-3.5900000000001597E-2</v>
      </c>
      <c r="V2" s="1">
        <f>LN(G2)-LN($B2)</f>
        <v>1.8840652870713015E-3</v>
      </c>
      <c r="W2" s="1">
        <f>G2-$B2</f>
        <v>5.0499999999999545E-2</v>
      </c>
      <c r="X2" s="1">
        <f>LN(H2)-LN($B2)</f>
        <v>-5.9290006583316845E-3</v>
      </c>
      <c r="Y2" s="1">
        <f>H2-$B2</f>
        <v>-0.15830000000000055</v>
      </c>
      <c r="Z2" s="1">
        <f>LN(I2)-LN($B2)</f>
        <v>3.4855255649088868E-3</v>
      </c>
      <c r="AA2" s="1">
        <f>I2-$B2</f>
        <v>9.3499999999998806E-2</v>
      </c>
      <c r="AB2" s="1">
        <f>LN(J2)-LN($B2)</f>
        <v>-5.5008461105359174E-3</v>
      </c>
      <c r="AC2" s="1">
        <f>J2-$B2</f>
        <v>-0.14690000000000225</v>
      </c>
      <c r="AD2" s="1">
        <f>LN(K2)-LN($B2)</f>
        <v>-3.0331443576048223E-3</v>
      </c>
      <c r="AE2" s="1">
        <f>K2-$B2</f>
        <v>-8.1100000000002836E-2</v>
      </c>
    </row>
    <row r="3" spans="1:31">
      <c r="A3">
        <f t="shared" ref="A3:A33" si="3">1+A2</f>
        <v>1</v>
      </c>
      <c r="B3">
        <v>29.9316</v>
      </c>
      <c r="C3">
        <v>29.968</v>
      </c>
      <c r="D3">
        <v>29.980799999999999</v>
      </c>
      <c r="E3">
        <v>30.183900000000001</v>
      </c>
      <c r="F3">
        <v>30.144300000000001</v>
      </c>
      <c r="G3">
        <v>30.0641</v>
      </c>
      <c r="H3">
        <v>29.964300000000001</v>
      </c>
      <c r="I3">
        <v>30.174199999999999</v>
      </c>
      <c r="J3">
        <v>29.937799999999999</v>
      </c>
      <c r="K3">
        <v>29.961400000000001</v>
      </c>
      <c r="M3" s="1">
        <f>B3-$B3</f>
        <v>0</v>
      </c>
      <c r="N3" s="1">
        <f t="shared" ref="N3:N33" si="4">LN(C3)-LN($B3)</f>
        <v>1.2153671971297797E-3</v>
      </c>
      <c r="O3" s="1">
        <f t="shared" si="0"/>
        <v>3.6400000000000432E-2</v>
      </c>
      <c r="P3" s="1">
        <f t="shared" ref="P3:P33" si="5">LN(D3)-LN($B3)</f>
        <v>1.6423982701292417E-3</v>
      </c>
      <c r="Q3" s="1">
        <f t="shared" si="1"/>
        <v>4.9199999999999022E-2</v>
      </c>
      <c r="R3" s="1">
        <f t="shared" ref="R3:R33" si="6">LN(E3)-LN($B3)</f>
        <v>8.3938911384011661E-3</v>
      </c>
      <c r="S3" s="1">
        <f t="shared" si="2"/>
        <v>0.25230000000000175</v>
      </c>
      <c r="T3" s="1">
        <f t="shared" ref="T3:T33" si="7">LN(F3)-LN($B3)</f>
        <v>7.0810720691256712E-3</v>
      </c>
      <c r="U3" s="1">
        <f t="shared" ref="U3:U33" si="8">F3-$B3</f>
        <v>0.21270000000000167</v>
      </c>
      <c r="V3" s="1">
        <f t="shared" ref="V3:V33" si="9">LN(G3)-LN($B3)</f>
        <v>4.4169903983348746E-3</v>
      </c>
      <c r="W3" s="1">
        <f t="shared" ref="W3:W33" si="10">G3-$B3</f>
        <v>0.13250000000000028</v>
      </c>
      <c r="X3" s="1">
        <f t="shared" ref="X3:X33" si="11">LN(H3)-LN($B3)</f>
        <v>1.0918945453308737E-3</v>
      </c>
      <c r="Y3" s="1">
        <f t="shared" ref="Y3:Y33" si="12">H3-$B3</f>
        <v>3.270000000000195E-2</v>
      </c>
      <c r="Z3" s="1">
        <f t="shared" ref="Z3:Z33" si="13">LN(I3)-LN($B3)</f>
        <v>8.0724761142865198E-3</v>
      </c>
      <c r="AA3" s="1">
        <f t="shared" ref="AA3:AA33" si="14">I3-$B3</f>
        <v>0.24259999999999948</v>
      </c>
      <c r="AB3" s="1">
        <f t="shared" ref="AB3:AB33" si="15">LN(J3)-LN($B3)</f>
        <v>2.0711749314905603E-4</v>
      </c>
      <c r="AC3" s="1">
        <f t="shared" ref="AC3:AC33" si="16">J3-$B3</f>
        <v>6.1999999999997613E-3</v>
      </c>
      <c r="AD3" s="1">
        <f t="shared" ref="AD3:AD33" si="17">LN(K3)-LN($B3)</f>
        <v>9.9510802461377779E-4</v>
      </c>
      <c r="AE3" s="1">
        <f t="shared" ref="AE3:AE33" si="18">K3-$B3</f>
        <v>2.9800000000001603E-2</v>
      </c>
    </row>
    <row r="4" spans="1:31">
      <c r="A4">
        <f t="shared" si="3"/>
        <v>2</v>
      </c>
      <c r="B4">
        <v>8.5688999999999993</v>
      </c>
      <c r="C4">
        <v>8.5703099999999992</v>
      </c>
      <c r="D4">
        <v>8.5165400000000009</v>
      </c>
      <c r="E4">
        <v>8.5202399999999994</v>
      </c>
      <c r="F4">
        <v>8.5232799999999997</v>
      </c>
      <c r="G4">
        <v>8.5013400000000008</v>
      </c>
      <c r="H4">
        <v>8.5711600000000008</v>
      </c>
      <c r="I4">
        <v>8.5263899999999992</v>
      </c>
      <c r="J4">
        <v>8.5526800000000005</v>
      </c>
      <c r="K4">
        <v>8.5630900000000008</v>
      </c>
      <c r="M4" s="1">
        <f>LN(B4)-LN($B4)</f>
        <v>0</v>
      </c>
      <c r="N4" s="1">
        <f t="shared" si="4"/>
        <v>1.6453500519375552E-4</v>
      </c>
      <c r="O4" s="1">
        <f t="shared" si="0"/>
        <v>1.4099999999999113E-3</v>
      </c>
      <c r="P4" s="1">
        <f t="shared" si="5"/>
        <v>-6.1292145731597358E-3</v>
      </c>
      <c r="Q4" s="1">
        <f t="shared" si="1"/>
        <v>-5.2359999999998408E-2</v>
      </c>
      <c r="R4" s="1">
        <f t="shared" si="6"/>
        <v>-5.6948601871580351E-3</v>
      </c>
      <c r="S4" s="1">
        <f t="shared" si="2"/>
        <v>-4.8659999999999926E-2</v>
      </c>
      <c r="T4" s="1">
        <f t="shared" si="7"/>
        <v>-5.338126363131579E-3</v>
      </c>
      <c r="U4" s="1">
        <f t="shared" si="8"/>
        <v>-4.561999999999955E-2</v>
      </c>
      <c r="V4" s="1">
        <f t="shared" si="9"/>
        <v>-7.9155715156251638E-3</v>
      </c>
      <c r="W4" s="1">
        <f t="shared" si="10"/>
        <v>-6.755999999999851E-2</v>
      </c>
      <c r="X4" s="1">
        <f t="shared" si="11"/>
        <v>2.6370969682698586E-4</v>
      </c>
      <c r="Y4" s="1">
        <f t="shared" si="12"/>
        <v>2.260000000001483E-3</v>
      </c>
      <c r="Z4" s="1">
        <f t="shared" si="13"/>
        <v>-4.9733099139577241E-3</v>
      </c>
      <c r="AA4" s="1">
        <f t="shared" si="14"/>
        <v>-4.2510000000000048E-2</v>
      </c>
      <c r="AB4" s="1">
        <f t="shared" si="15"/>
        <v>-1.8946855199408752E-3</v>
      </c>
      <c r="AC4" s="1">
        <f t="shared" si="16"/>
        <v>-1.6219999999998791E-2</v>
      </c>
      <c r="AD4" s="1">
        <f t="shared" si="17"/>
        <v>-6.7826332174281134E-4</v>
      </c>
      <c r="AE4" s="1">
        <f t="shared" si="18"/>
        <v>-5.8099999999985386E-3</v>
      </c>
    </row>
    <row r="5" spans="1:31">
      <c r="A5">
        <f t="shared" si="3"/>
        <v>3</v>
      </c>
      <c r="B5">
        <v>7.6157899999999996</v>
      </c>
      <c r="C5">
        <v>7.6212099999999996</v>
      </c>
      <c r="D5">
        <v>7.5902200000000004</v>
      </c>
      <c r="E5">
        <v>7.5708000000000002</v>
      </c>
      <c r="F5">
        <v>7.5824299999999996</v>
      </c>
      <c r="G5">
        <v>7.5621499999999999</v>
      </c>
      <c r="H5">
        <v>7.6259300000000003</v>
      </c>
      <c r="I5">
        <v>7.5755299999999997</v>
      </c>
      <c r="J5">
        <v>7.6128299999999998</v>
      </c>
      <c r="K5">
        <v>7.6174099999999996</v>
      </c>
      <c r="N5" s="1">
        <f t="shared" si="4"/>
        <v>7.114261637592989E-4</v>
      </c>
      <c r="O5" s="1">
        <f t="shared" si="0"/>
        <v>5.4199999999999804E-3</v>
      </c>
      <c r="P5" s="1">
        <f t="shared" si="5"/>
        <v>-3.3631470847823586E-3</v>
      </c>
      <c r="Q5" s="1">
        <f t="shared" si="1"/>
        <v>-2.5569999999999204E-2</v>
      </c>
      <c r="R5" s="1">
        <f t="shared" si="6"/>
        <v>-5.9249813968684784E-3</v>
      </c>
      <c r="S5" s="1">
        <f t="shared" si="2"/>
        <v>-4.4989999999999419E-2</v>
      </c>
      <c r="T5" s="1">
        <f t="shared" si="7"/>
        <v>-4.3899948252223986E-3</v>
      </c>
      <c r="U5" s="1">
        <f t="shared" si="8"/>
        <v>-3.3360000000000056E-2</v>
      </c>
      <c r="V5" s="1">
        <f t="shared" si="9"/>
        <v>-7.0681822852693976E-3</v>
      </c>
      <c r="W5" s="1">
        <f t="shared" si="10"/>
        <v>-5.3639999999999688E-2</v>
      </c>
      <c r="X5" s="1">
        <f t="shared" si="11"/>
        <v>1.3305586896983357E-3</v>
      </c>
      <c r="Y5" s="1">
        <f t="shared" si="12"/>
        <v>1.0140000000000704E-2</v>
      </c>
      <c r="Z5" s="1">
        <f t="shared" si="13"/>
        <v>-5.3004076349396634E-3</v>
      </c>
      <c r="AA5" s="1">
        <f t="shared" si="14"/>
        <v>-4.0259999999999962E-2</v>
      </c>
      <c r="AB5" s="1">
        <f t="shared" si="15"/>
        <v>-3.8874172935932094E-4</v>
      </c>
      <c r="AC5" s="1">
        <f t="shared" si="16"/>
        <v>-2.9599999999998516E-3</v>
      </c>
      <c r="AD5" s="1">
        <f t="shared" si="17"/>
        <v>2.1269332853313117E-4</v>
      </c>
      <c r="AE5" s="1">
        <f t="shared" si="18"/>
        <v>1.6199999999999548E-3</v>
      </c>
    </row>
    <row r="6" spans="1:31">
      <c r="A6">
        <f t="shared" si="3"/>
        <v>4</v>
      </c>
      <c r="B6">
        <v>6.1933199999999999</v>
      </c>
      <c r="C6">
        <v>6.1973799999999999</v>
      </c>
      <c r="D6">
        <v>6.1916599999999997</v>
      </c>
      <c r="E6">
        <v>6.1709500000000004</v>
      </c>
      <c r="F6">
        <v>6.1619700000000002</v>
      </c>
      <c r="G6">
        <v>6.1617600000000001</v>
      </c>
      <c r="H6">
        <v>6.2044800000000002</v>
      </c>
      <c r="I6">
        <v>6.1628400000000001</v>
      </c>
      <c r="J6">
        <v>6.2054200000000002</v>
      </c>
      <c r="K6">
        <v>6.2014199999999997</v>
      </c>
      <c r="N6" s="1">
        <f t="shared" si="4"/>
        <v>6.5533023078589991E-4</v>
      </c>
      <c r="O6" s="1">
        <f t="shared" si="0"/>
        <v>4.0599999999999525E-3</v>
      </c>
      <c r="P6" s="1">
        <f t="shared" si="5"/>
        <v>-2.6806664361855859E-4</v>
      </c>
      <c r="Q6" s="1">
        <f t="shared" si="1"/>
        <v>-1.6600000000002169E-3</v>
      </c>
      <c r="R6" s="1">
        <f t="shared" si="6"/>
        <v>-3.6184949711501879E-3</v>
      </c>
      <c r="S6" s="1">
        <f t="shared" si="2"/>
        <v>-2.2369999999999557E-2</v>
      </c>
      <c r="T6" s="1">
        <f t="shared" si="7"/>
        <v>-5.0747602492833277E-3</v>
      </c>
      <c r="U6" s="1">
        <f t="shared" si="8"/>
        <v>-3.1349999999999767E-2</v>
      </c>
      <c r="V6" s="1">
        <f t="shared" si="9"/>
        <v>-5.1088408401467333E-3</v>
      </c>
      <c r="W6" s="1">
        <f t="shared" si="10"/>
        <v>-3.155999999999981E-2</v>
      </c>
      <c r="X6" s="1">
        <f t="shared" si="11"/>
        <v>1.8003198977674106E-3</v>
      </c>
      <c r="Y6" s="1">
        <f t="shared" si="12"/>
        <v>1.1160000000000281E-2</v>
      </c>
      <c r="Z6" s="1">
        <f t="shared" si="13"/>
        <v>-4.9335816020759093E-3</v>
      </c>
      <c r="AA6" s="1">
        <f t="shared" si="14"/>
        <v>-3.0479999999999841E-2</v>
      </c>
      <c r="AB6" s="1">
        <f t="shared" si="15"/>
        <v>1.9518118520616135E-3</v>
      </c>
      <c r="AC6" s="1">
        <f t="shared" si="16"/>
        <v>1.2100000000000222E-2</v>
      </c>
      <c r="AD6" s="1">
        <f t="shared" si="17"/>
        <v>1.307006222490914E-3</v>
      </c>
      <c r="AE6" s="1">
        <f t="shared" si="18"/>
        <v>8.099999999999774E-3</v>
      </c>
    </row>
    <row r="7" spans="1:31">
      <c r="A7">
        <f t="shared" si="3"/>
        <v>5</v>
      </c>
      <c r="B7">
        <v>4.6429</v>
      </c>
      <c r="C7">
        <v>4.6429099999999996</v>
      </c>
      <c r="D7">
        <v>4.6440599999999996</v>
      </c>
      <c r="E7">
        <v>4.6227999999999998</v>
      </c>
      <c r="F7">
        <v>4.6166299999999998</v>
      </c>
      <c r="G7">
        <v>4.6236699999999997</v>
      </c>
      <c r="H7">
        <v>4.6544299999999996</v>
      </c>
      <c r="I7">
        <v>4.6092899999999997</v>
      </c>
      <c r="J7">
        <v>4.6600999999999999</v>
      </c>
      <c r="K7">
        <v>4.6472899999999999</v>
      </c>
      <c r="N7" s="1">
        <f t="shared" si="4"/>
        <v>2.1538239529661496E-6</v>
      </c>
      <c r="O7" s="1">
        <f t="shared" si="0"/>
        <v>9.9999999996214228E-6</v>
      </c>
      <c r="P7" s="1">
        <f t="shared" si="5"/>
        <v>2.4981264181866969E-4</v>
      </c>
      <c r="Q7" s="1">
        <f t="shared" si="1"/>
        <v>1.1599999999996058E-3</v>
      </c>
      <c r="R7" s="1">
        <f t="shared" si="6"/>
        <v>-4.3385888878566536E-3</v>
      </c>
      <c r="S7" s="1">
        <f t="shared" si="2"/>
        <v>-2.0100000000000229E-2</v>
      </c>
      <c r="T7" s="1">
        <f t="shared" si="7"/>
        <v>-5.6741693115749392E-3</v>
      </c>
      <c r="U7" s="1">
        <f t="shared" si="8"/>
        <v>-2.6270000000000238E-2</v>
      </c>
      <c r="V7" s="1">
        <f t="shared" si="9"/>
        <v>-4.1504089656665411E-3</v>
      </c>
      <c r="W7" s="1">
        <f t="shared" si="10"/>
        <v>-1.9230000000000302E-2</v>
      </c>
      <c r="X7" s="1">
        <f t="shared" si="11"/>
        <v>2.4802832449442036E-3</v>
      </c>
      <c r="Y7" s="1">
        <f t="shared" si="12"/>
        <v>1.1529999999999596E-2</v>
      </c>
      <c r="Z7" s="1">
        <f t="shared" si="13"/>
        <v>-7.2653388748555869E-3</v>
      </c>
      <c r="AA7" s="1">
        <f t="shared" si="14"/>
        <v>-3.3610000000000362E-2</v>
      </c>
      <c r="AB7" s="1">
        <f t="shared" si="15"/>
        <v>3.6977361277705789E-3</v>
      </c>
      <c r="AC7" s="1">
        <f t="shared" si="16"/>
        <v>1.7199999999999882E-2</v>
      </c>
      <c r="AD7" s="1">
        <f t="shared" si="17"/>
        <v>9.4508300190976335E-4</v>
      </c>
      <c r="AE7" s="1">
        <f t="shared" si="18"/>
        <v>4.389999999999894E-3</v>
      </c>
    </row>
    <row r="8" spans="1:31">
      <c r="A8">
        <f t="shared" si="3"/>
        <v>6</v>
      </c>
      <c r="B8">
        <v>3.5486</v>
      </c>
      <c r="C8">
        <v>3.54379</v>
      </c>
      <c r="D8">
        <v>3.5486900000000001</v>
      </c>
      <c r="E8">
        <v>3.52772</v>
      </c>
      <c r="F8">
        <v>3.52678</v>
      </c>
      <c r="G8">
        <v>3.5343100000000001</v>
      </c>
      <c r="H8">
        <v>3.55837</v>
      </c>
      <c r="I8">
        <v>3.5210900000000001</v>
      </c>
      <c r="J8">
        <v>3.5659100000000001</v>
      </c>
      <c r="K8">
        <v>3.5552600000000001</v>
      </c>
      <c r="N8" s="1">
        <f t="shared" si="4"/>
        <v>-1.3563835991659001E-3</v>
      </c>
      <c r="O8" s="1">
        <f t="shared" si="0"/>
        <v>-4.809999999999981E-3</v>
      </c>
      <c r="P8" s="1">
        <f t="shared" si="5"/>
        <v>2.5361793023703783E-5</v>
      </c>
      <c r="Q8" s="1">
        <f t="shared" si="1"/>
        <v>9.0000000000145519E-5</v>
      </c>
      <c r="R8" s="1">
        <f t="shared" si="6"/>
        <v>-5.9013895917368053E-3</v>
      </c>
      <c r="S8" s="1">
        <f t="shared" si="2"/>
        <v>-2.088000000000001E-2</v>
      </c>
      <c r="T8" s="1">
        <f t="shared" si="7"/>
        <v>-6.1678861557918907E-3</v>
      </c>
      <c r="U8" s="1">
        <f t="shared" si="8"/>
        <v>-2.1819999999999951E-2</v>
      </c>
      <c r="V8" s="1">
        <f t="shared" si="9"/>
        <v>-4.0350701587044124E-3</v>
      </c>
      <c r="W8" s="1">
        <f t="shared" si="10"/>
        <v>-1.4289999999999914E-2</v>
      </c>
      <c r="X8" s="1">
        <f t="shared" si="11"/>
        <v>2.7494153357947582E-3</v>
      </c>
      <c r="Y8" s="1">
        <f t="shared" si="12"/>
        <v>9.7700000000000564E-3</v>
      </c>
      <c r="Z8" s="1">
        <f t="shared" si="13"/>
        <v>-7.7825587409081631E-3</v>
      </c>
      <c r="AA8" s="1">
        <f t="shared" si="14"/>
        <v>-2.7509999999999923E-2</v>
      </c>
      <c r="AB8" s="1">
        <f t="shared" si="15"/>
        <v>4.8661212528031683E-3</v>
      </c>
      <c r="AC8" s="1">
        <f t="shared" si="16"/>
        <v>1.7310000000000159E-2</v>
      </c>
      <c r="AD8" s="1">
        <f t="shared" si="17"/>
        <v>1.8750375010909703E-3</v>
      </c>
      <c r="AE8" s="1">
        <f t="shared" si="18"/>
        <v>6.6600000000001103E-3</v>
      </c>
    </row>
    <row r="9" spans="1:31">
      <c r="A9">
        <f t="shared" si="3"/>
        <v>7</v>
      </c>
      <c r="B9">
        <v>2.9045299999999998</v>
      </c>
      <c r="C9">
        <v>2.89255</v>
      </c>
      <c r="D9">
        <v>2.9043000000000001</v>
      </c>
      <c r="E9">
        <v>2.8810799999999999</v>
      </c>
      <c r="F9">
        <v>2.8872599999999999</v>
      </c>
      <c r="G9">
        <v>2.8892699999999998</v>
      </c>
      <c r="H9">
        <v>2.9107099999999999</v>
      </c>
      <c r="I9">
        <v>2.8729499999999999</v>
      </c>
      <c r="J9">
        <v>2.9196900000000001</v>
      </c>
      <c r="K9">
        <v>2.9079700000000002</v>
      </c>
      <c r="N9" s="1">
        <f t="shared" si="4"/>
        <v>-4.1331211762523079E-3</v>
      </c>
      <c r="O9" s="1">
        <f t="shared" si="0"/>
        <v>-1.197999999999988E-2</v>
      </c>
      <c r="P9" s="1">
        <f t="shared" si="5"/>
        <v>-7.9189785247679723E-5</v>
      </c>
      <c r="Q9" s="1">
        <f t="shared" si="1"/>
        <v>-2.2999999999973042E-4</v>
      </c>
      <c r="R9" s="1">
        <f t="shared" si="6"/>
        <v>-8.1063633443183569E-3</v>
      </c>
      <c r="S9" s="1">
        <f t="shared" si="2"/>
        <v>-2.3449999999999971E-2</v>
      </c>
      <c r="T9" s="1">
        <f t="shared" si="7"/>
        <v>-5.9636316868505457E-3</v>
      </c>
      <c r="U9" s="1">
        <f t="shared" si="8"/>
        <v>-1.7269999999999897E-2</v>
      </c>
      <c r="V9" s="1">
        <f t="shared" si="9"/>
        <v>-5.267712136144409E-3</v>
      </c>
      <c r="W9" s="1">
        <f t="shared" si="10"/>
        <v>-1.5260000000000051E-2</v>
      </c>
      <c r="X9" s="1">
        <f t="shared" si="11"/>
        <v>2.1254504806449415E-3</v>
      </c>
      <c r="Y9" s="1">
        <f t="shared" si="12"/>
        <v>6.1800000000000743E-3</v>
      </c>
      <c r="Z9" s="1">
        <f t="shared" si="13"/>
        <v>-1.0932210762603312E-2</v>
      </c>
      <c r="AA9" s="1">
        <f t="shared" si="14"/>
        <v>-3.1579999999999941E-2</v>
      </c>
      <c r="AB9" s="1">
        <f t="shared" si="15"/>
        <v>5.2058590635455371E-3</v>
      </c>
      <c r="AC9" s="1">
        <f t="shared" si="16"/>
        <v>1.5160000000000284E-2</v>
      </c>
      <c r="AD9" s="1">
        <f t="shared" si="17"/>
        <v>1.1836560521745199E-3</v>
      </c>
      <c r="AE9" s="1">
        <f t="shared" si="18"/>
        <v>3.4400000000003317E-3</v>
      </c>
    </row>
    <row r="10" spans="1:31">
      <c r="A10">
        <f t="shared" si="3"/>
        <v>8</v>
      </c>
      <c r="B10">
        <v>2.4361000000000002</v>
      </c>
      <c r="C10">
        <v>2.4272900000000002</v>
      </c>
      <c r="D10">
        <v>2.4386399999999999</v>
      </c>
      <c r="E10">
        <v>2.4202300000000001</v>
      </c>
      <c r="F10">
        <v>2.4242900000000001</v>
      </c>
      <c r="G10">
        <v>2.4239299999999999</v>
      </c>
      <c r="H10">
        <v>2.4434999999999998</v>
      </c>
      <c r="I10">
        <v>2.4116200000000001</v>
      </c>
      <c r="J10">
        <v>2.4495399999999998</v>
      </c>
      <c r="K10">
        <v>2.4398399999999998</v>
      </c>
      <c r="N10" s="1">
        <f t="shared" si="4"/>
        <v>-3.6229912208223247E-3</v>
      </c>
      <c r="O10" s="1">
        <f t="shared" si="0"/>
        <v>-8.8099999999999845E-3</v>
      </c>
      <c r="P10" s="1">
        <f t="shared" si="5"/>
        <v>1.0421069553933071E-3</v>
      </c>
      <c r="Q10" s="1">
        <f t="shared" si="1"/>
        <v>2.5399999999997647E-3</v>
      </c>
      <c r="R10" s="1">
        <f t="shared" si="6"/>
        <v>-6.5358229334364637E-3</v>
      </c>
      <c r="S10" s="1">
        <f t="shared" si="2"/>
        <v>-1.5870000000000051E-2</v>
      </c>
      <c r="T10" s="1">
        <f t="shared" si="7"/>
        <v>-4.859701893371593E-3</v>
      </c>
      <c r="U10" s="1">
        <f t="shared" si="8"/>
        <v>-1.1810000000000098E-2</v>
      </c>
      <c r="V10" s="1">
        <f t="shared" si="9"/>
        <v>-5.0082100059002377E-3</v>
      </c>
      <c r="W10" s="1">
        <f t="shared" si="10"/>
        <v>-1.2170000000000236E-2</v>
      </c>
      <c r="X10" s="1">
        <f t="shared" si="11"/>
        <v>3.0330378198670793E-3</v>
      </c>
      <c r="Y10" s="1">
        <f t="shared" si="12"/>
        <v>7.3999999999996291E-3</v>
      </c>
      <c r="Z10" s="1">
        <f t="shared" si="13"/>
        <v>-1.0099679060185496E-2</v>
      </c>
      <c r="AA10" s="1">
        <f t="shared" si="14"/>
        <v>-2.4480000000000057E-2</v>
      </c>
      <c r="AB10" s="1">
        <f t="shared" si="15"/>
        <v>5.5018519181937453E-3</v>
      </c>
      <c r="AC10" s="1">
        <f t="shared" si="16"/>
        <v>1.3439999999999674E-2</v>
      </c>
      <c r="AD10" s="1">
        <f t="shared" si="17"/>
        <v>1.5340634763596483E-3</v>
      </c>
      <c r="AE10" s="1">
        <f t="shared" si="18"/>
        <v>3.7399999999996325E-3</v>
      </c>
    </row>
    <row r="11" spans="1:31">
      <c r="A11">
        <f t="shared" si="3"/>
        <v>9</v>
      </c>
      <c r="B11">
        <v>1.97577</v>
      </c>
      <c r="C11">
        <v>1.9694400000000001</v>
      </c>
      <c r="D11">
        <v>1.9767699999999999</v>
      </c>
      <c r="E11">
        <v>1.96163</v>
      </c>
      <c r="F11">
        <v>1.96739</v>
      </c>
      <c r="G11">
        <v>1.9686399999999999</v>
      </c>
      <c r="H11">
        <v>1.98455</v>
      </c>
      <c r="I11">
        <v>1.9554499999999999</v>
      </c>
      <c r="J11">
        <v>1.9820199999999999</v>
      </c>
      <c r="K11">
        <v>1.97956</v>
      </c>
      <c r="N11" s="1">
        <f t="shared" si="4"/>
        <v>-3.2089574100651053E-3</v>
      </c>
      <c r="O11" s="1">
        <f t="shared" si="0"/>
        <v>-6.3299999999999468E-3</v>
      </c>
      <c r="P11" s="1">
        <f t="shared" si="5"/>
        <v>5.0600374510390012E-4</v>
      </c>
      <c r="Q11" s="1">
        <f t="shared" si="1"/>
        <v>9.9999999999988987E-4</v>
      </c>
      <c r="R11" s="1">
        <f t="shared" si="6"/>
        <v>-7.1824355092584558E-3</v>
      </c>
      <c r="S11" s="1">
        <f t="shared" si="2"/>
        <v>-1.4140000000000041E-2</v>
      </c>
      <c r="T11" s="1">
        <f t="shared" si="7"/>
        <v>-4.2504045567735016E-3</v>
      </c>
      <c r="U11" s="1">
        <f t="shared" si="8"/>
        <v>-8.3800000000000541E-3</v>
      </c>
      <c r="V11" s="1">
        <f t="shared" si="9"/>
        <v>-3.6152467749357431E-3</v>
      </c>
      <c r="W11" s="1">
        <f t="shared" si="10"/>
        <v>-7.1300000000000807E-3</v>
      </c>
      <c r="X11" s="1">
        <f t="shared" si="11"/>
        <v>4.4339923969644035E-3</v>
      </c>
      <c r="Y11" s="1">
        <f t="shared" si="12"/>
        <v>8.78000000000001E-3</v>
      </c>
      <c r="Z11" s="1">
        <f t="shared" si="13"/>
        <v>-1.0337849811579813E-2</v>
      </c>
      <c r="AA11" s="1">
        <f t="shared" si="14"/>
        <v>-2.0320000000000116E-2</v>
      </c>
      <c r="AB11" s="1">
        <f t="shared" si="15"/>
        <v>3.1583308843267099E-3</v>
      </c>
      <c r="AC11" s="1">
        <f t="shared" si="16"/>
        <v>6.2499999999998668E-3</v>
      </c>
      <c r="AD11" s="1">
        <f t="shared" si="17"/>
        <v>1.9164019992912174E-3</v>
      </c>
      <c r="AE11" s="1">
        <f t="shared" si="18"/>
        <v>3.7899999999999601E-3</v>
      </c>
    </row>
    <row r="12" spans="1:31">
      <c r="A12">
        <f t="shared" si="3"/>
        <v>10</v>
      </c>
      <c r="B12">
        <v>1.5722100000000001</v>
      </c>
      <c r="C12">
        <v>1.5677099999999999</v>
      </c>
      <c r="D12">
        <v>1.57612</v>
      </c>
      <c r="E12">
        <v>1.5646</v>
      </c>
      <c r="F12">
        <v>1.56488</v>
      </c>
      <c r="G12">
        <v>1.57043</v>
      </c>
      <c r="H12">
        <v>1.57914</v>
      </c>
      <c r="I12">
        <v>1.55525</v>
      </c>
      <c r="J12">
        <v>1.5792900000000001</v>
      </c>
      <c r="K12">
        <v>1.5746199999999999</v>
      </c>
      <c r="N12" s="1">
        <f t="shared" si="4"/>
        <v>-2.8663170277680727E-3</v>
      </c>
      <c r="O12" s="1">
        <f t="shared" si="0"/>
        <v>-4.5000000000001705E-3</v>
      </c>
      <c r="P12" s="1">
        <f t="shared" si="5"/>
        <v>2.4838577977813747E-3</v>
      </c>
      <c r="Q12" s="1">
        <f t="shared" si="1"/>
        <v>3.909999999999858E-3</v>
      </c>
      <c r="R12" s="1">
        <f t="shared" si="6"/>
        <v>-4.8520726023774663E-3</v>
      </c>
      <c r="S12" s="1">
        <f t="shared" si="2"/>
        <v>-7.6100000000001167E-3</v>
      </c>
      <c r="T12" s="1">
        <f t="shared" si="7"/>
        <v>-4.6731291352537507E-3</v>
      </c>
      <c r="U12" s="1">
        <f t="shared" si="8"/>
        <v>-7.3300000000000587E-3</v>
      </c>
      <c r="V12" s="1">
        <f t="shared" si="9"/>
        <v>-1.1328056604311687E-3</v>
      </c>
      <c r="W12" s="1">
        <f t="shared" si="10"/>
        <v>-1.7800000000001148E-3</v>
      </c>
      <c r="X12" s="1">
        <f t="shared" si="11"/>
        <v>4.3981221830994843E-3</v>
      </c>
      <c r="Y12" s="1">
        <f t="shared" si="12"/>
        <v>6.9299999999998807E-3</v>
      </c>
      <c r="Z12" s="1">
        <f t="shared" si="13"/>
        <v>-1.084596845822855E-2</v>
      </c>
      <c r="AA12" s="1">
        <f t="shared" si="14"/>
        <v>-1.6960000000000086E-2</v>
      </c>
      <c r="AB12" s="1">
        <f t="shared" si="15"/>
        <v>4.4931060833998671E-3</v>
      </c>
      <c r="AC12" s="1">
        <f t="shared" si="16"/>
        <v>7.0799999999999752E-3</v>
      </c>
      <c r="AD12" s="1">
        <f t="shared" si="17"/>
        <v>1.5317004548552893E-3</v>
      </c>
      <c r="AE12" s="1">
        <f t="shared" si="18"/>
        <v>2.4099999999998012E-3</v>
      </c>
    </row>
    <row r="13" spans="1:31">
      <c r="A13">
        <f t="shared" si="3"/>
        <v>11</v>
      </c>
      <c r="B13">
        <v>1.1954899999999999</v>
      </c>
      <c r="C13">
        <v>1.19499</v>
      </c>
      <c r="D13">
        <v>1.20242</v>
      </c>
      <c r="E13">
        <v>1.18438</v>
      </c>
      <c r="F13">
        <v>1.19309</v>
      </c>
      <c r="G13">
        <v>1.19753</v>
      </c>
      <c r="H13">
        <v>1.2045600000000001</v>
      </c>
      <c r="I13">
        <v>1.1829799999999999</v>
      </c>
      <c r="J13">
        <v>1.2024300000000001</v>
      </c>
      <c r="K13">
        <v>1.19686</v>
      </c>
      <c r="N13" s="1">
        <f t="shared" si="4"/>
        <v>-4.1832603267250024E-4</v>
      </c>
      <c r="O13" s="1">
        <f t="shared" si="0"/>
        <v>-4.9999999999994493E-4</v>
      </c>
      <c r="P13" s="1">
        <f t="shared" si="5"/>
        <v>5.7800495378650951E-3</v>
      </c>
      <c r="Q13" s="1">
        <f t="shared" si="1"/>
        <v>6.9300000000001027E-3</v>
      </c>
      <c r="R13" s="1">
        <f t="shared" si="6"/>
        <v>-9.3367122646691447E-3</v>
      </c>
      <c r="S13" s="1">
        <f t="shared" si="2"/>
        <v>-1.1109999999999953E-2</v>
      </c>
      <c r="T13" s="1">
        <f t="shared" si="7"/>
        <v>-2.0095628429179502E-3</v>
      </c>
      <c r="U13" s="1">
        <f t="shared" si="8"/>
        <v>-2.3999999999999577E-3</v>
      </c>
      <c r="V13" s="1">
        <f t="shared" si="9"/>
        <v>1.7049590009030335E-3</v>
      </c>
      <c r="W13" s="1">
        <f t="shared" si="10"/>
        <v>2.0400000000000418E-3</v>
      </c>
      <c r="X13" s="1">
        <f t="shared" si="11"/>
        <v>7.5582118523548347E-3</v>
      </c>
      <c r="Y13" s="1">
        <f t="shared" si="12"/>
        <v>9.0700000000001335E-3</v>
      </c>
      <c r="Z13" s="1">
        <f t="shared" si="13"/>
        <v>-1.0519464497709657E-2</v>
      </c>
      <c r="AA13" s="1">
        <f t="shared" si="14"/>
        <v>-1.2510000000000021E-2</v>
      </c>
      <c r="AB13" s="1">
        <f t="shared" si="15"/>
        <v>5.7883660648835322E-3</v>
      </c>
      <c r="AC13" s="1">
        <f t="shared" si="16"/>
        <v>6.9400000000001683E-3</v>
      </c>
      <c r="AD13" s="1">
        <f t="shared" si="17"/>
        <v>1.1453174909678288E-3</v>
      </c>
      <c r="AE13" s="1">
        <f t="shared" si="18"/>
        <v>1.3700000000000934E-3</v>
      </c>
    </row>
    <row r="14" spans="1:31">
      <c r="A14">
        <f t="shared" si="3"/>
        <v>12</v>
      </c>
      <c r="B14">
        <v>0.88587800000000005</v>
      </c>
      <c r="C14">
        <v>0.88829899999999995</v>
      </c>
      <c r="D14">
        <v>0.88938600000000001</v>
      </c>
      <c r="E14">
        <v>0.87571699999999997</v>
      </c>
      <c r="F14">
        <v>0.88693299999999997</v>
      </c>
      <c r="G14">
        <v>0.89059299999999997</v>
      </c>
      <c r="H14">
        <v>0.89482600000000001</v>
      </c>
      <c r="I14">
        <v>0.87581500000000001</v>
      </c>
      <c r="J14">
        <v>0.89483900000000005</v>
      </c>
      <c r="K14">
        <v>0.89006700000000005</v>
      </c>
      <c r="N14" s="1">
        <f t="shared" si="4"/>
        <v>2.729154422237437E-3</v>
      </c>
      <c r="O14" s="1">
        <f t="shared" si="0"/>
        <v>2.4209999999998955E-3</v>
      </c>
      <c r="P14" s="1">
        <f t="shared" si="5"/>
        <v>3.9520933967741589E-3</v>
      </c>
      <c r="Q14" s="1">
        <f t="shared" si="1"/>
        <v>3.5079999999999556E-3</v>
      </c>
      <c r="R14" s="1">
        <f t="shared" si="6"/>
        <v>-1.1536264226233675E-2</v>
      </c>
      <c r="S14" s="1">
        <f t="shared" si="2"/>
        <v>-1.0161000000000087E-2</v>
      </c>
      <c r="T14" s="1">
        <f t="shared" si="7"/>
        <v>1.1902003366863478E-3</v>
      </c>
      <c r="U14" s="1">
        <f t="shared" si="8"/>
        <v>1.0549999999999171E-3</v>
      </c>
      <c r="V14" s="1">
        <f t="shared" si="9"/>
        <v>5.3082893799847597E-3</v>
      </c>
      <c r="W14" s="1">
        <f t="shared" si="10"/>
        <v>4.7149999999999137E-3</v>
      </c>
      <c r="X14" s="1">
        <f t="shared" si="11"/>
        <v>1.0050042359320305E-2</v>
      </c>
      <c r="Y14" s="1">
        <f t="shared" si="12"/>
        <v>8.947999999999956E-3</v>
      </c>
      <c r="Z14" s="1">
        <f t="shared" si="13"/>
        <v>-1.142436218835792E-2</v>
      </c>
      <c r="AA14" s="1">
        <f t="shared" si="14"/>
        <v>-1.0063000000000044E-2</v>
      </c>
      <c r="AB14" s="1">
        <f t="shared" si="15"/>
        <v>1.0064570217886315E-2</v>
      </c>
      <c r="AC14" s="1">
        <f t="shared" si="16"/>
        <v>8.9609999999999967E-3</v>
      </c>
      <c r="AD14" s="1">
        <f t="shared" si="17"/>
        <v>4.7174971846197788E-3</v>
      </c>
      <c r="AE14" s="1">
        <f t="shared" si="18"/>
        <v>4.1889999999999983E-3</v>
      </c>
    </row>
    <row r="15" spans="1:31">
      <c r="A15">
        <f t="shared" si="3"/>
        <v>13</v>
      </c>
      <c r="B15">
        <v>0.62095599999999995</v>
      </c>
      <c r="C15">
        <v>0.62555499999999997</v>
      </c>
      <c r="D15">
        <v>0.62198399999999998</v>
      </c>
      <c r="E15">
        <v>0.61083100000000001</v>
      </c>
      <c r="F15">
        <v>0.62265800000000004</v>
      </c>
      <c r="G15">
        <v>0.62559399999999998</v>
      </c>
      <c r="H15">
        <v>0.62837200000000004</v>
      </c>
      <c r="I15">
        <v>0.61038199999999998</v>
      </c>
      <c r="J15">
        <v>0.63153700000000002</v>
      </c>
      <c r="K15">
        <v>0.62425299999999995</v>
      </c>
      <c r="N15" s="1">
        <f t="shared" si="4"/>
        <v>7.3790297365593505E-3</v>
      </c>
      <c r="O15" s="1">
        <f t="shared" si="0"/>
        <v>4.5990000000000197E-3</v>
      </c>
      <c r="P15" s="1">
        <f t="shared" si="5"/>
        <v>1.654142974560624E-3</v>
      </c>
      <c r="Q15" s="1">
        <f t="shared" si="1"/>
        <v>1.0280000000000289E-3</v>
      </c>
      <c r="R15" s="1">
        <f t="shared" si="6"/>
        <v>-1.643990079383939E-2</v>
      </c>
      <c r="S15" s="1">
        <f t="shared" si="2"/>
        <v>-1.012499999999994E-2</v>
      </c>
      <c r="T15" s="1">
        <f t="shared" si="7"/>
        <v>2.7371854331671996E-3</v>
      </c>
      <c r="U15" s="1">
        <f t="shared" si="8"/>
        <v>1.7020000000000923E-3</v>
      </c>
      <c r="V15" s="1">
        <f t="shared" si="9"/>
        <v>7.4413724311747087E-3</v>
      </c>
      <c r="W15" s="1">
        <f t="shared" si="10"/>
        <v>4.638000000000031E-3</v>
      </c>
      <c r="X15" s="1">
        <f t="shared" si="11"/>
        <v>1.1872121821030757E-2</v>
      </c>
      <c r="Y15" s="1">
        <f t="shared" si="12"/>
        <v>7.4160000000000892E-3</v>
      </c>
      <c r="Z15" s="1">
        <f t="shared" si="13"/>
        <v>-1.7175235285417589E-2</v>
      </c>
      <c r="AA15" s="1">
        <f t="shared" si="14"/>
        <v>-1.0573999999999972E-2</v>
      </c>
      <c r="AB15" s="1">
        <f t="shared" si="15"/>
        <v>1.6896304770250004E-2</v>
      </c>
      <c r="AC15" s="1">
        <f t="shared" si="16"/>
        <v>1.0581000000000063E-2</v>
      </c>
      <c r="AD15" s="1">
        <f t="shared" si="17"/>
        <v>5.295508954159367E-3</v>
      </c>
      <c r="AE15" s="1">
        <f t="shared" si="18"/>
        <v>3.2969999999999944E-3</v>
      </c>
    </row>
    <row r="16" spans="1:31">
      <c r="A16">
        <f t="shared" si="3"/>
        <v>14</v>
      </c>
      <c r="B16">
        <v>0.42227199999999998</v>
      </c>
      <c r="C16">
        <v>0.42674099999999998</v>
      </c>
      <c r="D16">
        <v>0.42302000000000001</v>
      </c>
      <c r="E16">
        <v>0.41328799999999999</v>
      </c>
      <c r="F16">
        <v>0.426263</v>
      </c>
      <c r="G16">
        <v>0.4274</v>
      </c>
      <c r="H16">
        <v>0.42773899999999998</v>
      </c>
      <c r="I16">
        <v>0.413937</v>
      </c>
      <c r="J16">
        <v>0.430566</v>
      </c>
      <c r="K16">
        <v>0.42336800000000002</v>
      </c>
      <c r="N16" s="1">
        <f t="shared" si="4"/>
        <v>1.0527615655167688E-2</v>
      </c>
      <c r="O16" s="1">
        <f t="shared" si="0"/>
        <v>4.4690000000000007E-3</v>
      </c>
      <c r="P16" s="1">
        <f t="shared" si="5"/>
        <v>1.7698030863670944E-3</v>
      </c>
      <c r="Q16" s="1">
        <f t="shared" si="1"/>
        <v>7.4800000000002642E-4</v>
      </c>
      <c r="R16" s="1">
        <f t="shared" si="6"/>
        <v>-2.1504969669451368E-2</v>
      </c>
      <c r="S16" s="1">
        <f t="shared" si="2"/>
        <v>-8.983999999999992E-3</v>
      </c>
      <c r="T16" s="1">
        <f t="shared" si="7"/>
        <v>9.4068705003186315E-3</v>
      </c>
      <c r="U16" s="1">
        <f t="shared" si="8"/>
        <v>3.9910000000000223E-3</v>
      </c>
      <c r="V16" s="1">
        <f t="shared" si="9"/>
        <v>1.2070686718985812E-2</v>
      </c>
      <c r="W16" s="1">
        <f t="shared" si="10"/>
        <v>5.1280000000000214E-3</v>
      </c>
      <c r="X16" s="1">
        <f t="shared" si="11"/>
        <v>1.2863540319999034E-2</v>
      </c>
      <c r="Y16" s="1">
        <f t="shared" si="12"/>
        <v>5.4669999999999996E-3</v>
      </c>
      <c r="Z16" s="1">
        <f t="shared" si="13"/>
        <v>-1.9935867833415166E-2</v>
      </c>
      <c r="AA16" s="1">
        <f t="shared" si="14"/>
        <v>-8.3349999999999813E-3</v>
      </c>
      <c r="AB16" s="1">
        <f t="shared" si="15"/>
        <v>1.9450966055460595E-2</v>
      </c>
      <c r="AC16" s="1">
        <f t="shared" si="16"/>
        <v>8.2940000000000236E-3</v>
      </c>
      <c r="AD16" s="1">
        <f t="shared" si="17"/>
        <v>2.5921210294617136E-3</v>
      </c>
      <c r="AE16" s="1">
        <f t="shared" si="18"/>
        <v>1.0960000000000414E-3</v>
      </c>
    </row>
    <row r="17" spans="1:31">
      <c r="A17">
        <f t="shared" si="3"/>
        <v>15</v>
      </c>
      <c r="B17">
        <v>0.27494200000000002</v>
      </c>
      <c r="C17">
        <v>0.27855799999999997</v>
      </c>
      <c r="D17">
        <v>0.27499699999999999</v>
      </c>
      <c r="E17">
        <v>0.268876</v>
      </c>
      <c r="F17">
        <v>0.27936499999999997</v>
      </c>
      <c r="G17">
        <v>0.27881</v>
      </c>
      <c r="H17">
        <v>0.27928399999999998</v>
      </c>
      <c r="I17">
        <v>0.267482</v>
      </c>
      <c r="J17">
        <v>0.28240799999999999</v>
      </c>
      <c r="K17">
        <v>0.27643099999999998</v>
      </c>
      <c r="N17" s="1">
        <f t="shared" si="4"/>
        <v>1.3066129881157185E-2</v>
      </c>
      <c r="O17" s="1">
        <f t="shared" si="0"/>
        <v>3.6159999999999526E-3</v>
      </c>
      <c r="P17" s="1">
        <f t="shared" si="5"/>
        <v>2.0002218494541424E-4</v>
      </c>
      <c r="Q17" s="1">
        <f t="shared" si="1"/>
        <v>5.4999999999971738E-5</v>
      </c>
      <c r="R17" s="1">
        <f t="shared" si="6"/>
        <v>-2.230985954986231E-2</v>
      </c>
      <c r="S17" s="1">
        <f t="shared" si="2"/>
        <v>-6.0660000000000158E-3</v>
      </c>
      <c r="T17" s="1">
        <f t="shared" si="7"/>
        <v>1.5959004212548811E-2</v>
      </c>
      <c r="U17" s="1">
        <f t="shared" si="8"/>
        <v>4.4229999999999547E-3</v>
      </c>
      <c r="V17" s="1">
        <f t="shared" si="9"/>
        <v>1.3970379917654041E-2</v>
      </c>
      <c r="W17" s="1">
        <f t="shared" si="10"/>
        <v>3.8679999999999826E-3</v>
      </c>
      <c r="X17" s="1">
        <f t="shared" si="11"/>
        <v>1.5669018906685483E-2</v>
      </c>
      <c r="Y17" s="1">
        <f t="shared" si="12"/>
        <v>4.341999999999957E-3</v>
      </c>
      <c r="Z17" s="1">
        <f t="shared" si="13"/>
        <v>-2.7507891978831855E-2</v>
      </c>
      <c r="AA17" s="1">
        <f t="shared" si="14"/>
        <v>-7.4600000000000222E-3</v>
      </c>
      <c r="AB17" s="1">
        <f t="shared" si="15"/>
        <v>2.6792667498525269E-2</v>
      </c>
      <c r="AC17" s="1">
        <f t="shared" si="16"/>
        <v>7.4659999999999727E-3</v>
      </c>
      <c r="AD17" s="1">
        <f t="shared" si="17"/>
        <v>5.4010755684799072E-3</v>
      </c>
      <c r="AE17" s="1">
        <f t="shared" si="18"/>
        <v>1.4889999999999626E-3</v>
      </c>
    </row>
    <row r="18" spans="1:31">
      <c r="A18">
        <f t="shared" si="3"/>
        <v>16</v>
      </c>
      <c r="B18">
        <v>0.17358899999999999</v>
      </c>
      <c r="C18">
        <v>0.178152</v>
      </c>
      <c r="D18">
        <v>0.174675</v>
      </c>
      <c r="E18">
        <v>0.170181</v>
      </c>
      <c r="F18">
        <v>0.17816499999999999</v>
      </c>
      <c r="G18">
        <v>0.17744399999999999</v>
      </c>
      <c r="H18">
        <v>0.177317</v>
      </c>
      <c r="I18">
        <v>0.167549</v>
      </c>
      <c r="J18">
        <v>0.18035300000000001</v>
      </c>
      <c r="K18">
        <v>0.17598800000000001</v>
      </c>
      <c r="N18" s="1">
        <f t="shared" si="4"/>
        <v>2.5946682319991865E-2</v>
      </c>
      <c r="O18" s="1">
        <f t="shared" si="0"/>
        <v>4.5630000000000115E-3</v>
      </c>
      <c r="P18" s="1">
        <f t="shared" si="5"/>
        <v>6.2366682751506808E-3</v>
      </c>
      <c r="Q18" s="1">
        <f t="shared" si="1"/>
        <v>1.0860000000000036E-3</v>
      </c>
      <c r="R18" s="1">
        <f t="shared" si="6"/>
        <v>-1.9827859628061439E-2</v>
      </c>
      <c r="S18" s="1">
        <f t="shared" si="2"/>
        <v>-3.4079999999999944E-3</v>
      </c>
      <c r="T18" s="1">
        <f t="shared" si="7"/>
        <v>2.6019651052922033E-2</v>
      </c>
      <c r="U18" s="1">
        <f t="shared" si="8"/>
        <v>4.5759999999999967E-3</v>
      </c>
      <c r="V18" s="1">
        <f t="shared" si="9"/>
        <v>2.196463001598703E-2</v>
      </c>
      <c r="W18" s="1">
        <f t="shared" si="10"/>
        <v>3.8549999999999973E-3</v>
      </c>
      <c r="X18" s="1">
        <f t="shared" si="11"/>
        <v>2.1248655005063011E-2</v>
      </c>
      <c r="Y18" s="1">
        <f t="shared" si="12"/>
        <v>3.7280000000000091E-3</v>
      </c>
      <c r="Z18" s="1">
        <f t="shared" si="13"/>
        <v>-3.5414590365506537E-2</v>
      </c>
      <c r="AA18" s="1">
        <f t="shared" si="14"/>
        <v>-6.0399999999999898E-3</v>
      </c>
      <c r="AB18" s="1">
        <f t="shared" si="15"/>
        <v>3.8225605369986981E-2</v>
      </c>
      <c r="AC18" s="1">
        <f t="shared" si="16"/>
        <v>6.76400000000002E-3</v>
      </c>
      <c r="AD18" s="1">
        <f t="shared" si="17"/>
        <v>1.3725374732120432E-2</v>
      </c>
      <c r="AE18" s="1">
        <f t="shared" si="18"/>
        <v>2.3990000000000122E-3</v>
      </c>
    </row>
    <row r="19" spans="1:31">
      <c r="A19">
        <f t="shared" si="3"/>
        <v>17</v>
      </c>
      <c r="B19">
        <v>0.106165</v>
      </c>
      <c r="C19">
        <v>0.109497</v>
      </c>
      <c r="D19">
        <v>0.106811</v>
      </c>
      <c r="E19">
        <v>0.103223</v>
      </c>
      <c r="F19">
        <v>0.109482</v>
      </c>
      <c r="G19">
        <v>0.10932500000000001</v>
      </c>
      <c r="H19">
        <v>0.109361</v>
      </c>
      <c r="I19">
        <v>0.10093299999999999</v>
      </c>
      <c r="J19">
        <v>0.11176999999999999</v>
      </c>
      <c r="K19">
        <v>0.108255</v>
      </c>
      <c r="N19" s="1">
        <f t="shared" si="4"/>
        <v>3.0902663987212531E-2</v>
      </c>
      <c r="O19" s="1">
        <f t="shared" si="0"/>
        <v>3.3320000000000016E-3</v>
      </c>
      <c r="P19" s="1">
        <f t="shared" si="5"/>
        <v>6.0664298432686614E-3</v>
      </c>
      <c r="Q19" s="1">
        <f t="shared" si="1"/>
        <v>6.4600000000000768E-4</v>
      </c>
      <c r="R19" s="1">
        <f t="shared" si="6"/>
        <v>-2.8102791200672605E-2</v>
      </c>
      <c r="S19" s="1">
        <f t="shared" si="2"/>
        <v>-2.9420000000000002E-3</v>
      </c>
      <c r="T19" s="1">
        <f t="shared" si="7"/>
        <v>3.0765664548695781E-2</v>
      </c>
      <c r="U19" s="1">
        <f t="shared" si="8"/>
        <v>3.3170000000000005E-3</v>
      </c>
      <c r="V19" s="1">
        <f t="shared" si="9"/>
        <v>2.9330609665227048E-2</v>
      </c>
      <c r="W19" s="1">
        <f t="shared" si="10"/>
        <v>3.16000000000001E-3</v>
      </c>
      <c r="X19" s="1">
        <f t="shared" si="11"/>
        <v>2.9659848851322224E-2</v>
      </c>
      <c r="Y19" s="1">
        <f t="shared" si="12"/>
        <v>3.1960000000000044E-3</v>
      </c>
      <c r="Z19" s="1">
        <f t="shared" si="13"/>
        <v>-5.053755725393394E-2</v>
      </c>
      <c r="AA19" s="1">
        <f t="shared" si="14"/>
        <v>-5.2320000000000005E-3</v>
      </c>
      <c r="AB19" s="1">
        <f t="shared" si="15"/>
        <v>5.1448700763762734E-2</v>
      </c>
      <c r="AC19" s="1">
        <f t="shared" si="16"/>
        <v>5.6049999999999989E-3</v>
      </c>
      <c r="AD19" s="1">
        <f t="shared" si="17"/>
        <v>1.9495067558588985E-2</v>
      </c>
      <c r="AE19" s="1">
        <f t="shared" si="18"/>
        <v>2.0900000000000085E-3</v>
      </c>
    </row>
    <row r="20" spans="1:31">
      <c r="A20">
        <f t="shared" si="3"/>
        <v>18</v>
      </c>
      <c r="B20">
        <v>6.4152899999999999E-2</v>
      </c>
      <c r="C20">
        <v>6.7097199999999996E-2</v>
      </c>
      <c r="D20">
        <v>6.4253500000000005E-2</v>
      </c>
      <c r="E20">
        <v>6.1889399999999997E-2</v>
      </c>
      <c r="F20">
        <v>6.6777100000000006E-2</v>
      </c>
      <c r="G20">
        <v>6.6705600000000004E-2</v>
      </c>
      <c r="H20">
        <v>6.6619700000000004E-2</v>
      </c>
      <c r="I20">
        <v>6.0086100000000003E-2</v>
      </c>
      <c r="J20">
        <v>6.8725499999999995E-2</v>
      </c>
      <c r="K20">
        <v>6.5292299999999998E-2</v>
      </c>
      <c r="N20" s="1">
        <f t="shared" si="4"/>
        <v>4.4873017756911437E-2</v>
      </c>
      <c r="O20" s="1">
        <f t="shared" si="0"/>
        <v>2.9442999999999969E-3</v>
      </c>
      <c r="P20" s="1">
        <f t="shared" si="5"/>
        <v>1.5669004127918384E-3</v>
      </c>
      <c r="Q20" s="1">
        <f t="shared" si="1"/>
        <v>1.0060000000000624E-4</v>
      </c>
      <c r="R20" s="1">
        <f t="shared" si="6"/>
        <v>-3.5920375502224822E-2</v>
      </c>
      <c r="S20" s="1">
        <f t="shared" si="2"/>
        <v>-2.2635000000000016E-3</v>
      </c>
      <c r="T20" s="1">
        <f t="shared" si="7"/>
        <v>4.0090910810047564E-2</v>
      </c>
      <c r="U20" s="1">
        <f t="shared" si="8"/>
        <v>2.6242000000000071E-3</v>
      </c>
      <c r="V20" s="1">
        <f t="shared" si="9"/>
        <v>3.9019610831274587E-2</v>
      </c>
      <c r="W20" s="1">
        <f t="shared" si="10"/>
        <v>2.552700000000005E-3</v>
      </c>
      <c r="X20" s="1">
        <f t="shared" si="11"/>
        <v>3.7731033016172422E-2</v>
      </c>
      <c r="Y20" s="1">
        <f t="shared" si="12"/>
        <v>2.4668000000000051E-3</v>
      </c>
      <c r="Z20" s="1">
        <f t="shared" si="13"/>
        <v>-6.549076299347778E-2</v>
      </c>
      <c r="AA20" s="1">
        <f t="shared" si="14"/>
        <v>-4.0667999999999954E-3</v>
      </c>
      <c r="AB20" s="1">
        <f t="shared" si="15"/>
        <v>6.885101281069117E-2</v>
      </c>
      <c r="AC20" s="1">
        <f t="shared" si="16"/>
        <v>4.5725999999999961E-3</v>
      </c>
      <c r="AD20" s="1">
        <f t="shared" si="17"/>
        <v>1.7604815437830545E-2</v>
      </c>
      <c r="AE20" s="1">
        <f t="shared" si="18"/>
        <v>1.1393999999999987E-3</v>
      </c>
    </row>
    <row r="21" spans="1:31">
      <c r="A21">
        <f t="shared" si="3"/>
        <v>19</v>
      </c>
      <c r="B21">
        <v>3.7937100000000001E-2</v>
      </c>
      <c r="C21">
        <v>4.0912299999999999E-2</v>
      </c>
      <c r="D21">
        <v>3.8175099999999997E-2</v>
      </c>
      <c r="E21">
        <v>3.6387999999999997E-2</v>
      </c>
      <c r="F21">
        <v>4.0298E-2</v>
      </c>
      <c r="G21">
        <v>4.0099099999999999E-2</v>
      </c>
      <c r="H21">
        <v>3.9315299999999997E-2</v>
      </c>
      <c r="I21">
        <v>3.5320699999999997E-2</v>
      </c>
      <c r="J21">
        <v>4.12632E-2</v>
      </c>
      <c r="K21">
        <v>3.9171499999999998E-2</v>
      </c>
      <c r="N21" s="1">
        <f t="shared" si="4"/>
        <v>7.5501226227033591E-2</v>
      </c>
      <c r="O21" s="1">
        <f t="shared" si="0"/>
        <v>2.9751999999999973E-3</v>
      </c>
      <c r="P21" s="1">
        <f t="shared" si="5"/>
        <v>6.2539455098535868E-3</v>
      </c>
      <c r="Q21" s="1">
        <f t="shared" si="1"/>
        <v>2.3799999999999516E-4</v>
      </c>
      <c r="R21" s="1">
        <f t="shared" si="6"/>
        <v>-4.1690475146986206E-2</v>
      </c>
      <c r="S21" s="1">
        <f t="shared" si="2"/>
        <v>-1.5491000000000046E-3</v>
      </c>
      <c r="T21" s="1">
        <f t="shared" si="7"/>
        <v>6.0372314822773276E-2</v>
      </c>
      <c r="U21" s="1">
        <f t="shared" si="8"/>
        <v>2.3608999999999991E-3</v>
      </c>
      <c r="V21" s="1">
        <f t="shared" si="9"/>
        <v>5.5424365063579728E-2</v>
      </c>
      <c r="W21" s="1">
        <f t="shared" si="10"/>
        <v>2.1619999999999973E-3</v>
      </c>
      <c r="X21" s="1">
        <f t="shared" si="11"/>
        <v>3.5684230982879317E-2</v>
      </c>
      <c r="Y21" s="1">
        <f t="shared" si="12"/>
        <v>1.3781999999999961E-3</v>
      </c>
      <c r="Z21" s="1">
        <f t="shared" si="13"/>
        <v>-7.1460330767885161E-2</v>
      </c>
      <c r="AA21" s="1">
        <f t="shared" si="14"/>
        <v>-2.6164000000000048E-3</v>
      </c>
      <c r="AB21" s="1">
        <f t="shared" si="15"/>
        <v>8.404153648480861E-2</v>
      </c>
      <c r="AC21" s="1">
        <f t="shared" si="16"/>
        <v>3.3260999999999985E-3</v>
      </c>
      <c r="AD21" s="1">
        <f t="shared" si="17"/>
        <v>3.2019916450943153E-2</v>
      </c>
      <c r="AE21" s="1">
        <f t="shared" si="18"/>
        <v>1.2343999999999966E-3</v>
      </c>
    </row>
    <row r="22" spans="1:31">
      <c r="A22">
        <f t="shared" si="3"/>
        <v>20</v>
      </c>
      <c r="B22">
        <v>2.2084800000000002E-2</v>
      </c>
      <c r="C22">
        <v>2.4570499999999999E-2</v>
      </c>
      <c r="D22">
        <v>2.2478499999999998E-2</v>
      </c>
      <c r="E22">
        <v>2.08057E-2</v>
      </c>
      <c r="F22">
        <v>2.37693E-2</v>
      </c>
      <c r="G22">
        <v>2.3937300000000002E-2</v>
      </c>
      <c r="H22">
        <v>2.33616E-2</v>
      </c>
      <c r="I22">
        <v>2.05183E-2</v>
      </c>
      <c r="J22">
        <v>2.4653100000000001E-2</v>
      </c>
      <c r="K22">
        <v>2.31086E-2</v>
      </c>
      <c r="N22" s="1">
        <f t="shared" si="4"/>
        <v>0.10665694725920183</v>
      </c>
      <c r="O22" s="1">
        <f t="shared" si="0"/>
        <v>2.4856999999999969E-3</v>
      </c>
      <c r="P22" s="1">
        <f t="shared" si="5"/>
        <v>1.7669707733388496E-2</v>
      </c>
      <c r="Q22" s="1">
        <f t="shared" si="1"/>
        <v>3.9369999999999683E-4</v>
      </c>
      <c r="R22" s="1">
        <f t="shared" si="6"/>
        <v>-5.9662601460046982E-2</v>
      </c>
      <c r="S22" s="1">
        <f t="shared" si="2"/>
        <v>-1.2791000000000018E-3</v>
      </c>
      <c r="T22" s="1">
        <f t="shared" si="7"/>
        <v>7.3505242966149353E-2</v>
      </c>
      <c r="U22" s="1">
        <f t="shared" si="8"/>
        <v>1.6844999999999985E-3</v>
      </c>
      <c r="V22" s="1">
        <f t="shared" si="9"/>
        <v>8.0548322727400201E-2</v>
      </c>
      <c r="W22" s="1">
        <f t="shared" si="10"/>
        <v>1.8525E-3</v>
      </c>
      <c r="X22" s="1">
        <f t="shared" si="11"/>
        <v>5.6204059677985807E-2</v>
      </c>
      <c r="Y22" s="1">
        <f t="shared" si="12"/>
        <v>1.2767999999999981E-3</v>
      </c>
      <c r="Z22" s="1">
        <f t="shared" si="13"/>
        <v>-7.3572418220426261E-2</v>
      </c>
      <c r="AA22" s="1">
        <f t="shared" si="14"/>
        <v>-1.5665000000000019E-3</v>
      </c>
      <c r="AB22" s="1">
        <f t="shared" si="15"/>
        <v>0.11001306414340206</v>
      </c>
      <c r="AC22" s="1">
        <f t="shared" si="16"/>
        <v>2.5682999999999991E-3</v>
      </c>
      <c r="AD22" s="1">
        <f t="shared" si="17"/>
        <v>4.5315253528511068E-2</v>
      </c>
      <c r="AE22" s="1">
        <f t="shared" si="18"/>
        <v>1.0237999999999983E-3</v>
      </c>
    </row>
    <row r="23" spans="1:31">
      <c r="A23">
        <f t="shared" si="3"/>
        <v>21</v>
      </c>
      <c r="B23">
        <v>1.2729300000000001E-2</v>
      </c>
      <c r="C23">
        <v>1.49056E-2</v>
      </c>
      <c r="D23">
        <v>1.30834E-2</v>
      </c>
      <c r="E23">
        <v>1.1783800000000001E-2</v>
      </c>
      <c r="F23">
        <v>1.3900900000000001E-2</v>
      </c>
      <c r="G23">
        <v>1.42732E-2</v>
      </c>
      <c r="H23">
        <v>1.37506E-2</v>
      </c>
      <c r="I23">
        <v>1.1933600000000001E-2</v>
      </c>
      <c r="J23">
        <v>1.4486799999999999E-2</v>
      </c>
      <c r="K23">
        <v>1.3576899999999999E-2</v>
      </c>
      <c r="N23" s="1">
        <f t="shared" si="4"/>
        <v>0.15783055842723304</v>
      </c>
      <c r="O23" s="1">
        <f t="shared" si="0"/>
        <v>2.1762999999999991E-3</v>
      </c>
      <c r="P23" s="1">
        <f t="shared" si="5"/>
        <v>2.743782824812957E-2</v>
      </c>
      <c r="Q23" s="1">
        <f t="shared" si="1"/>
        <v>3.5409999999999955E-4</v>
      </c>
      <c r="R23" s="1">
        <f t="shared" si="6"/>
        <v>-7.7180715989944915E-2</v>
      </c>
      <c r="S23" s="1">
        <f t="shared" si="2"/>
        <v>-9.4550000000000016E-4</v>
      </c>
      <c r="T23" s="1">
        <f t="shared" si="7"/>
        <v>8.8047163401413719E-2</v>
      </c>
      <c r="U23" s="1">
        <f t="shared" si="8"/>
        <v>1.1716000000000001E-3</v>
      </c>
      <c r="V23" s="1">
        <f t="shared" si="9"/>
        <v>0.11447723017995948</v>
      </c>
      <c r="W23" s="1">
        <f t="shared" si="10"/>
        <v>1.5438999999999991E-3</v>
      </c>
      <c r="X23" s="1">
        <f t="shared" si="11"/>
        <v>7.7176036683581195E-2</v>
      </c>
      <c r="Y23" s="1">
        <f t="shared" si="12"/>
        <v>1.0212999999999993E-3</v>
      </c>
      <c r="Z23" s="1">
        <f t="shared" si="13"/>
        <v>-6.4548471983013833E-2</v>
      </c>
      <c r="AA23" s="1">
        <f t="shared" si="14"/>
        <v>-7.9569999999999988E-4</v>
      </c>
      <c r="AB23" s="1">
        <f t="shared" si="15"/>
        <v>0.12933146714284494</v>
      </c>
      <c r="AC23" s="1">
        <f t="shared" si="16"/>
        <v>1.7574999999999986E-3</v>
      </c>
      <c r="AD23" s="1">
        <f t="shared" si="17"/>
        <v>6.4463396353058755E-2</v>
      </c>
      <c r="AE23" s="1">
        <f t="shared" si="18"/>
        <v>8.475999999999987E-4</v>
      </c>
    </row>
    <row r="24" spans="1:31">
      <c r="A24">
        <f t="shared" si="3"/>
        <v>22</v>
      </c>
      <c r="B24">
        <v>7.2886299999999999E-3</v>
      </c>
      <c r="C24">
        <v>8.9049200000000002E-3</v>
      </c>
      <c r="D24">
        <v>7.5786899999999999E-3</v>
      </c>
      <c r="E24">
        <v>6.5470499999999996E-3</v>
      </c>
      <c r="F24">
        <v>8.0092099999999992E-3</v>
      </c>
      <c r="G24">
        <v>8.3847799999999997E-3</v>
      </c>
      <c r="H24">
        <v>8.0026999999999997E-3</v>
      </c>
      <c r="I24">
        <v>6.8254500000000003E-3</v>
      </c>
      <c r="J24">
        <v>8.4863300000000003E-3</v>
      </c>
      <c r="K24">
        <v>7.9262299999999994E-3</v>
      </c>
      <c r="N24" s="1">
        <f t="shared" si="4"/>
        <v>0.20028833329390672</v>
      </c>
      <c r="O24" s="1">
        <f t="shared" si="0"/>
        <v>1.6162900000000003E-3</v>
      </c>
      <c r="P24" s="1">
        <f t="shared" si="5"/>
        <v>3.9024761809278274E-2</v>
      </c>
      <c r="Q24" s="1">
        <f t="shared" si="1"/>
        <v>2.9005999999999997E-4</v>
      </c>
      <c r="R24" s="1">
        <f t="shared" si="6"/>
        <v>-0.10730103317487139</v>
      </c>
      <c r="S24" s="1">
        <f t="shared" si="2"/>
        <v>-7.4158000000000036E-4</v>
      </c>
      <c r="T24" s="1">
        <f t="shared" si="7"/>
        <v>9.4276529809377507E-2</v>
      </c>
      <c r="U24" s="1">
        <f t="shared" si="8"/>
        <v>7.2057999999999931E-4</v>
      </c>
      <c r="V24" s="1">
        <f t="shared" si="9"/>
        <v>0.14010255791205317</v>
      </c>
      <c r="W24" s="1">
        <f t="shared" si="10"/>
        <v>1.0961499999999997E-3</v>
      </c>
      <c r="X24" s="1">
        <f t="shared" si="11"/>
        <v>9.3463385049171066E-2</v>
      </c>
      <c r="Y24" s="1">
        <f t="shared" si="12"/>
        <v>7.1406999999999981E-4</v>
      </c>
      <c r="Z24" s="1">
        <f t="shared" si="13"/>
        <v>-6.5657326726948462E-2</v>
      </c>
      <c r="AA24" s="1">
        <f t="shared" si="14"/>
        <v>-4.6317999999999967E-4</v>
      </c>
      <c r="AB24" s="1">
        <f t="shared" si="15"/>
        <v>0.15214103391322276</v>
      </c>
      <c r="AC24" s="1">
        <f t="shared" si="16"/>
        <v>1.1977000000000003E-3</v>
      </c>
      <c r="AD24" s="1">
        <f t="shared" si="17"/>
        <v>8.3861913077254435E-2</v>
      </c>
      <c r="AE24" s="1">
        <f t="shared" si="18"/>
        <v>6.3759999999999945E-4</v>
      </c>
    </row>
    <row r="25" spans="1:31">
      <c r="A25">
        <f t="shared" si="3"/>
        <v>23</v>
      </c>
      <c r="B25">
        <v>4.0616999999999997E-3</v>
      </c>
      <c r="C25">
        <v>5.5040200000000001E-3</v>
      </c>
      <c r="D25">
        <v>4.3148199999999996E-3</v>
      </c>
      <c r="E25">
        <v>3.5578699999999999E-3</v>
      </c>
      <c r="F25">
        <v>4.5285200000000003E-3</v>
      </c>
      <c r="G25">
        <v>4.7829600000000002E-3</v>
      </c>
      <c r="H25">
        <v>4.7194200000000002E-3</v>
      </c>
      <c r="I25">
        <v>3.9860599999999996E-3</v>
      </c>
      <c r="J25">
        <v>4.9632399999999998E-3</v>
      </c>
      <c r="K25">
        <v>4.6078400000000002E-3</v>
      </c>
      <c r="N25" s="1">
        <f t="shared" si="4"/>
        <v>0.30387712915833287</v>
      </c>
      <c r="O25" s="1">
        <f t="shared" si="0"/>
        <v>1.4423200000000004E-3</v>
      </c>
      <c r="P25" s="1">
        <f t="shared" si="5"/>
        <v>6.0454003530404421E-2</v>
      </c>
      <c r="Q25" s="1">
        <f t="shared" si="1"/>
        <v>2.5311999999999991E-4</v>
      </c>
      <c r="R25" s="1">
        <f t="shared" si="6"/>
        <v>-0.13243955399145158</v>
      </c>
      <c r="S25" s="1">
        <f t="shared" si="2"/>
        <v>-5.0382999999999982E-4</v>
      </c>
      <c r="T25" s="1">
        <f t="shared" si="7"/>
        <v>0.10879357010952173</v>
      </c>
      <c r="U25" s="1">
        <f t="shared" si="8"/>
        <v>4.668200000000006E-4</v>
      </c>
      <c r="V25" s="1">
        <f t="shared" si="9"/>
        <v>0.16345799652403059</v>
      </c>
      <c r="W25" s="1">
        <f t="shared" si="10"/>
        <v>7.2126000000000048E-4</v>
      </c>
      <c r="X25" s="1">
        <f t="shared" si="11"/>
        <v>0.15008430550396135</v>
      </c>
      <c r="Y25" s="1">
        <f t="shared" si="12"/>
        <v>6.5772000000000053E-4</v>
      </c>
      <c r="Z25" s="1">
        <f t="shared" si="13"/>
        <v>-1.8798330825330112E-2</v>
      </c>
      <c r="AA25" s="1">
        <f t="shared" si="14"/>
        <v>-7.5640000000000082E-5</v>
      </c>
      <c r="AB25" s="1">
        <f t="shared" si="15"/>
        <v>0.20045714809713822</v>
      </c>
      <c r="AC25" s="1">
        <f t="shared" si="16"/>
        <v>9.0154000000000015E-4</v>
      </c>
      <c r="AD25" s="1">
        <f t="shared" si="17"/>
        <v>0.12615759538149973</v>
      </c>
      <c r="AE25" s="1">
        <f t="shared" si="18"/>
        <v>5.4614000000000051E-4</v>
      </c>
    </row>
    <row r="26" spans="1:31">
      <c r="A26">
        <f t="shared" si="3"/>
        <v>24</v>
      </c>
      <c r="B26">
        <v>2.1937100000000002E-3</v>
      </c>
      <c r="C26">
        <v>3.4191400000000002E-3</v>
      </c>
      <c r="D26">
        <v>2.4586600000000001E-3</v>
      </c>
      <c r="E26">
        <v>1.8967700000000001E-3</v>
      </c>
      <c r="F26">
        <v>2.47285E-3</v>
      </c>
      <c r="G26">
        <v>2.74735E-3</v>
      </c>
      <c r="H26">
        <v>2.6783699999999998E-3</v>
      </c>
      <c r="I26">
        <v>2.2986299999999999E-3</v>
      </c>
      <c r="J26">
        <v>2.8708100000000001E-3</v>
      </c>
      <c r="K26">
        <v>2.5930699999999998E-3</v>
      </c>
      <c r="N26" s="1">
        <f t="shared" si="4"/>
        <v>0.44379488301677217</v>
      </c>
      <c r="O26" s="1">
        <f t="shared" si="0"/>
        <v>1.22543E-3</v>
      </c>
      <c r="P26" s="1">
        <f t="shared" si="5"/>
        <v>0.11402231163818932</v>
      </c>
      <c r="Q26" s="1">
        <f t="shared" si="1"/>
        <v>2.6494999999999991E-4</v>
      </c>
      <c r="R26" s="1">
        <f t="shared" si="6"/>
        <v>-0.14544173491493328</v>
      </c>
      <c r="S26" s="1">
        <f t="shared" si="2"/>
        <v>-2.9694000000000009E-4</v>
      </c>
      <c r="T26" s="1">
        <f t="shared" si="7"/>
        <v>0.11977715717730675</v>
      </c>
      <c r="U26" s="1">
        <f t="shared" si="8"/>
        <v>2.7913999999999977E-4</v>
      </c>
      <c r="V26" s="1">
        <f t="shared" si="9"/>
        <v>0.22504263627125987</v>
      </c>
      <c r="W26" s="1">
        <f t="shared" si="10"/>
        <v>5.5363999999999977E-4</v>
      </c>
      <c r="X26" s="1">
        <f t="shared" si="11"/>
        <v>0.19961422608587398</v>
      </c>
      <c r="Y26" s="1">
        <f t="shared" si="12"/>
        <v>4.8465999999999961E-4</v>
      </c>
      <c r="Z26" s="1">
        <f t="shared" si="13"/>
        <v>4.6719118842386109E-2</v>
      </c>
      <c r="AA26" s="1">
        <f t="shared" si="14"/>
        <v>1.0491999999999967E-4</v>
      </c>
      <c r="AB26" s="1">
        <f t="shared" si="15"/>
        <v>0.26900004546973122</v>
      </c>
      <c r="AC26" s="1">
        <f t="shared" si="16"/>
        <v>6.7709999999999992E-4</v>
      </c>
      <c r="AD26" s="1">
        <f t="shared" si="17"/>
        <v>0.16724832750238683</v>
      </c>
      <c r="AE26" s="1">
        <f t="shared" si="18"/>
        <v>3.9935999999999965E-4</v>
      </c>
    </row>
    <row r="27" spans="1:31">
      <c r="A27">
        <f t="shared" si="3"/>
        <v>25</v>
      </c>
      <c r="B27">
        <v>1.12587E-3</v>
      </c>
      <c r="C27">
        <v>2.14146E-3</v>
      </c>
      <c r="D27">
        <v>1.3973200000000001E-3</v>
      </c>
      <c r="E27">
        <v>9.4122200000000002E-4</v>
      </c>
      <c r="F27">
        <v>1.31635E-3</v>
      </c>
      <c r="G27">
        <v>1.5743599999999999E-3</v>
      </c>
      <c r="H27">
        <v>1.52994E-3</v>
      </c>
      <c r="I27">
        <v>1.36326E-3</v>
      </c>
      <c r="J27">
        <v>1.65963E-3</v>
      </c>
      <c r="K27">
        <v>1.4721300000000001E-3</v>
      </c>
      <c r="N27" s="1">
        <f t="shared" si="4"/>
        <v>0.6429317692808949</v>
      </c>
      <c r="O27" s="1">
        <f t="shared" si="0"/>
        <v>1.01559E-3</v>
      </c>
      <c r="P27" s="1">
        <f t="shared" si="5"/>
        <v>0.21600004619880586</v>
      </c>
      <c r="Q27" s="1">
        <f t="shared" si="1"/>
        <v>2.7145000000000012E-4</v>
      </c>
      <c r="R27" s="1">
        <f t="shared" si="6"/>
        <v>-0.17913231810803509</v>
      </c>
      <c r="S27" s="1">
        <f t="shared" si="2"/>
        <v>-1.8464799999999993E-4</v>
      </c>
      <c r="T27" s="1">
        <f t="shared" si="7"/>
        <v>0.15630668486795418</v>
      </c>
      <c r="U27" s="1">
        <f t="shared" si="8"/>
        <v>1.9048000000000003E-4</v>
      </c>
      <c r="V27" s="1">
        <f t="shared" si="9"/>
        <v>0.33529277036746841</v>
      </c>
      <c r="W27" s="1">
        <f t="shared" si="10"/>
        <v>4.4848999999999996E-4</v>
      </c>
      <c r="X27" s="1">
        <f t="shared" si="11"/>
        <v>0.30667244882754741</v>
      </c>
      <c r="Y27" s="1">
        <f t="shared" si="12"/>
        <v>4.0407000000000008E-4</v>
      </c>
      <c r="Z27" s="1">
        <f t="shared" si="13"/>
        <v>0.19132282008726254</v>
      </c>
      <c r="AA27" s="1">
        <f t="shared" si="14"/>
        <v>2.3739000000000008E-4</v>
      </c>
      <c r="AB27" s="1">
        <f t="shared" si="15"/>
        <v>0.38803861583660293</v>
      </c>
      <c r="AC27" s="1">
        <f t="shared" si="16"/>
        <v>5.3376000000000009E-4</v>
      </c>
      <c r="AD27" s="1">
        <f t="shared" si="17"/>
        <v>0.26815426150294908</v>
      </c>
      <c r="AE27" s="1">
        <f t="shared" si="18"/>
        <v>3.4626000000000014E-4</v>
      </c>
    </row>
    <row r="28" spans="1:31">
      <c r="A28">
        <f t="shared" si="3"/>
        <v>26</v>
      </c>
      <c r="B28">
        <v>5.4513499999999998E-4</v>
      </c>
      <c r="C28">
        <v>1.42172E-3</v>
      </c>
      <c r="D28">
        <v>7.9056999999999999E-4</v>
      </c>
      <c r="E28">
        <v>4.5801199999999999E-4</v>
      </c>
      <c r="F28">
        <v>6.61343E-4</v>
      </c>
      <c r="G28">
        <v>9.0907800000000001E-4</v>
      </c>
      <c r="H28">
        <v>8.3508499999999995E-4</v>
      </c>
      <c r="I28">
        <v>7.9595700000000002E-4</v>
      </c>
      <c r="J28">
        <v>9.4950999999999998E-4</v>
      </c>
      <c r="K28">
        <v>7.9516299999999999E-4</v>
      </c>
      <c r="N28" s="1">
        <f t="shared" si="4"/>
        <v>0.95858921479708226</v>
      </c>
      <c r="O28" s="1">
        <f t="shared" si="0"/>
        <v>8.7658500000000004E-4</v>
      </c>
      <c r="P28" s="1">
        <f t="shared" si="5"/>
        <v>0.3717207338676296</v>
      </c>
      <c r="Q28" s="1">
        <f t="shared" si="1"/>
        <v>2.4543500000000001E-4</v>
      </c>
      <c r="R28" s="1">
        <f t="shared" si="6"/>
        <v>-0.17413808576678136</v>
      </c>
      <c r="S28" s="1">
        <f t="shared" si="2"/>
        <v>-8.7122999999999986E-5</v>
      </c>
      <c r="T28" s="1">
        <f t="shared" si="7"/>
        <v>0.19323914559427369</v>
      </c>
      <c r="U28" s="1">
        <f t="shared" si="8"/>
        <v>1.1620800000000002E-4</v>
      </c>
      <c r="V28" s="1">
        <f t="shared" si="9"/>
        <v>0.51139742866589888</v>
      </c>
      <c r="W28" s="1">
        <f t="shared" si="10"/>
        <v>3.6394300000000004E-4</v>
      </c>
      <c r="X28" s="1">
        <f t="shared" si="11"/>
        <v>0.42650004566604593</v>
      </c>
      <c r="Y28" s="1">
        <f t="shared" si="12"/>
        <v>2.8994999999999997E-4</v>
      </c>
      <c r="Z28" s="1">
        <f t="shared" si="13"/>
        <v>0.37851169387365058</v>
      </c>
      <c r="AA28" s="1">
        <f t="shared" si="14"/>
        <v>2.5082200000000005E-4</v>
      </c>
      <c r="AB28" s="1">
        <f t="shared" si="15"/>
        <v>0.554912591644662</v>
      </c>
      <c r="AC28" s="1">
        <f t="shared" si="16"/>
        <v>4.04375E-4</v>
      </c>
      <c r="AD28" s="1">
        <f t="shared" si="17"/>
        <v>0.3775136546737059</v>
      </c>
      <c r="AE28" s="1">
        <f t="shared" si="18"/>
        <v>2.5002800000000001E-4</v>
      </c>
    </row>
    <row r="29" spans="1:31">
      <c r="A29">
        <f t="shared" si="3"/>
        <v>27</v>
      </c>
      <c r="B29">
        <v>2.5208899999999999E-4</v>
      </c>
      <c r="C29">
        <v>9.3814799999999998E-4</v>
      </c>
      <c r="D29">
        <v>4.3663300000000002E-4</v>
      </c>
      <c r="E29">
        <v>2.0652499999999999E-4</v>
      </c>
      <c r="F29">
        <v>3.1288300000000002E-4</v>
      </c>
      <c r="G29">
        <v>5.4027399999999998E-4</v>
      </c>
      <c r="H29">
        <v>4.7290899999999998E-4</v>
      </c>
      <c r="I29">
        <v>4.8915199999999997E-4</v>
      </c>
      <c r="J29">
        <v>5.3187700000000004E-4</v>
      </c>
      <c r="K29">
        <v>4.2053799999999998E-4</v>
      </c>
      <c r="N29" s="1">
        <f t="shared" si="4"/>
        <v>1.3141255193127357</v>
      </c>
      <c r="O29" s="1">
        <f t="shared" si="0"/>
        <v>6.8605899999999993E-4</v>
      </c>
      <c r="P29" s="1">
        <f t="shared" si="5"/>
        <v>0.5493108255550192</v>
      </c>
      <c r="Q29" s="1">
        <f t="shared" si="1"/>
        <v>1.8454400000000003E-4</v>
      </c>
      <c r="R29" s="1">
        <f t="shared" si="6"/>
        <v>-0.19936072931455939</v>
      </c>
      <c r="S29" s="1">
        <f t="shared" si="2"/>
        <v>-4.5563999999999999E-5</v>
      </c>
      <c r="T29" s="1">
        <f t="shared" si="7"/>
        <v>0.21604711897874118</v>
      </c>
      <c r="U29" s="1">
        <f t="shared" si="8"/>
        <v>6.0794000000000028E-5</v>
      </c>
      <c r="V29" s="1">
        <f t="shared" si="9"/>
        <v>0.76229421851498991</v>
      </c>
      <c r="W29" s="1">
        <f t="shared" si="10"/>
        <v>2.8818499999999999E-4</v>
      </c>
      <c r="X29" s="1">
        <f t="shared" si="11"/>
        <v>0.62912078121332371</v>
      </c>
      <c r="Y29" s="1">
        <f t="shared" si="12"/>
        <v>2.2081999999999999E-4</v>
      </c>
      <c r="Z29" s="1">
        <f t="shared" si="13"/>
        <v>0.66289107985729068</v>
      </c>
      <c r="AA29" s="1">
        <f t="shared" si="14"/>
        <v>2.3706299999999998E-4</v>
      </c>
      <c r="AB29" s="1">
        <f t="shared" si="15"/>
        <v>0.74663005983946196</v>
      </c>
      <c r="AC29" s="1">
        <f t="shared" si="16"/>
        <v>2.7978800000000005E-4</v>
      </c>
      <c r="AD29" s="1">
        <f t="shared" si="17"/>
        <v>0.51175264417567679</v>
      </c>
      <c r="AE29" s="1">
        <f t="shared" si="18"/>
        <v>1.6844899999999999E-4</v>
      </c>
    </row>
    <row r="30" spans="1:31">
      <c r="A30">
        <f t="shared" si="3"/>
        <v>28</v>
      </c>
      <c r="B30">
        <v>1.1361099999999999E-4</v>
      </c>
      <c r="C30">
        <v>6.2527600000000002E-4</v>
      </c>
      <c r="D30">
        <v>2.5233999999999999E-4</v>
      </c>
      <c r="E30" s="2">
        <v>9.5357400000000003E-5</v>
      </c>
      <c r="F30">
        <v>1.2476300000000001E-4</v>
      </c>
      <c r="G30">
        <v>3.16118E-4</v>
      </c>
      <c r="H30">
        <v>2.6111500000000002E-4</v>
      </c>
      <c r="I30">
        <v>2.8799199999999999E-4</v>
      </c>
      <c r="J30">
        <v>2.9295900000000003E-4</v>
      </c>
      <c r="K30">
        <v>2.42749E-4</v>
      </c>
      <c r="N30" s="1">
        <f t="shared" si="4"/>
        <v>1.7054128196746685</v>
      </c>
      <c r="O30" s="1">
        <f t="shared" si="0"/>
        <v>5.1166500000000001E-4</v>
      </c>
      <c r="P30" s="1">
        <f t="shared" si="5"/>
        <v>0.79799705191444659</v>
      </c>
      <c r="Q30" s="1">
        <f t="shared" si="1"/>
        <v>1.3872899999999998E-4</v>
      </c>
      <c r="R30" s="1">
        <f t="shared" si="6"/>
        <v>-0.17514839474048038</v>
      </c>
      <c r="S30" s="1">
        <f t="shared" si="2"/>
        <v>-1.8253599999999991E-5</v>
      </c>
      <c r="T30" s="1">
        <f t="shared" si="7"/>
        <v>9.3635605033993485E-2</v>
      </c>
      <c r="U30" s="1">
        <f t="shared" si="8"/>
        <v>1.1152000000000018E-5</v>
      </c>
      <c r="V30" s="1">
        <f t="shared" si="9"/>
        <v>1.0233352290202369</v>
      </c>
      <c r="W30" s="1">
        <f t="shared" si="10"/>
        <v>2.0250699999999999E-4</v>
      </c>
      <c r="X30" s="1">
        <f t="shared" si="11"/>
        <v>0.83218059072294892</v>
      </c>
      <c r="Y30" s="1">
        <f t="shared" si="12"/>
        <v>1.4750400000000002E-4</v>
      </c>
      <c r="Z30" s="1">
        <f t="shared" si="13"/>
        <v>0.93015236938720847</v>
      </c>
      <c r="AA30" s="1">
        <f t="shared" si="14"/>
        <v>1.7438099999999998E-4</v>
      </c>
      <c r="AB30" s="1">
        <f t="shared" si="15"/>
        <v>0.94725233489994487</v>
      </c>
      <c r="AC30" s="1">
        <f t="shared" si="16"/>
        <v>1.7934800000000002E-4</v>
      </c>
      <c r="AD30" s="1">
        <f t="shared" si="17"/>
        <v>0.75924765511333092</v>
      </c>
      <c r="AE30" s="1">
        <f t="shared" si="18"/>
        <v>1.29138E-4</v>
      </c>
    </row>
    <row r="31" spans="1:31">
      <c r="A31">
        <f t="shared" si="3"/>
        <v>29</v>
      </c>
      <c r="B31" s="2">
        <v>4.9247499999999999E-5</v>
      </c>
      <c r="C31">
        <v>4.03132E-4</v>
      </c>
      <c r="D31">
        <v>1.6255600000000001E-4</v>
      </c>
      <c r="E31" s="2">
        <v>3.9526400000000002E-5</v>
      </c>
      <c r="F31" s="2">
        <v>4.4349399999999999E-5</v>
      </c>
      <c r="G31">
        <v>2.0835E-4</v>
      </c>
      <c r="H31">
        <v>1.48932E-4</v>
      </c>
      <c r="I31">
        <v>1.7511100000000001E-4</v>
      </c>
      <c r="J31">
        <v>1.6307100000000001E-4</v>
      </c>
      <c r="K31">
        <v>1.2943399999999999E-4</v>
      </c>
      <c r="N31" s="1">
        <f t="shared" si="4"/>
        <v>2.102405446831991</v>
      </c>
      <c r="O31" s="1">
        <f t="shared" si="0"/>
        <v>3.5388450000000001E-4</v>
      </c>
      <c r="P31" s="1">
        <f t="shared" si="5"/>
        <v>1.1941639528797925</v>
      </c>
      <c r="Q31" s="1">
        <f t="shared" si="1"/>
        <v>1.1330850000000001E-4</v>
      </c>
      <c r="R31" s="1">
        <f t="shared" si="6"/>
        <v>-0.21988980182027085</v>
      </c>
      <c r="S31" s="1">
        <f t="shared" si="2"/>
        <v>-9.7210999999999974E-6</v>
      </c>
      <c r="T31" s="1">
        <f t="shared" si="7"/>
        <v>-0.10475942499288848</v>
      </c>
      <c r="U31" s="1">
        <f t="shared" si="8"/>
        <v>-4.8980999999999997E-6</v>
      </c>
      <c r="V31" s="1">
        <f t="shared" si="9"/>
        <v>1.4423607529600897</v>
      </c>
      <c r="W31" s="1">
        <f t="shared" si="10"/>
        <v>1.591025E-4</v>
      </c>
      <c r="X31" s="1">
        <f t="shared" si="11"/>
        <v>1.1066312210270119</v>
      </c>
      <c r="Y31" s="1">
        <f t="shared" si="12"/>
        <v>9.9684500000000011E-5</v>
      </c>
      <c r="Z31" s="1">
        <f t="shared" si="13"/>
        <v>1.2685614536552645</v>
      </c>
      <c r="AA31" s="1">
        <f t="shared" si="14"/>
        <v>1.2586350000000002E-4</v>
      </c>
      <c r="AB31" s="1">
        <f t="shared" si="15"/>
        <v>1.1973270838818166</v>
      </c>
      <c r="AC31" s="1">
        <f t="shared" si="16"/>
        <v>1.1382350000000002E-4</v>
      </c>
      <c r="AD31" s="1">
        <f t="shared" si="17"/>
        <v>0.96631249380458328</v>
      </c>
      <c r="AE31" s="1">
        <f t="shared" si="18"/>
        <v>8.0186500000000002E-5</v>
      </c>
    </row>
    <row r="32" spans="1:31">
      <c r="A32">
        <f t="shared" si="3"/>
        <v>30</v>
      </c>
      <c r="B32" s="2">
        <v>1.9504000000000002E-5</v>
      </c>
      <c r="C32">
        <v>2.6750800000000001E-4</v>
      </c>
      <c r="D32" s="2">
        <v>9.3091599999999995E-5</v>
      </c>
      <c r="E32" s="2">
        <v>1.5316500000000002E-5</v>
      </c>
      <c r="F32" s="2">
        <v>1.26713E-5</v>
      </c>
      <c r="G32">
        <v>1.2213600000000001E-4</v>
      </c>
      <c r="H32" s="2">
        <v>7.4949800000000005E-5</v>
      </c>
      <c r="I32" s="2">
        <v>1.0467999999999999E-4</v>
      </c>
      <c r="J32" s="2">
        <v>8.7224099999999997E-5</v>
      </c>
      <c r="K32" s="2">
        <v>7.7660300000000006E-5</v>
      </c>
      <c r="N32" s="1">
        <f t="shared" si="4"/>
        <v>2.6185298996920103</v>
      </c>
      <c r="O32" s="1">
        <f t="shared" si="0"/>
        <v>2.4800400000000002E-4</v>
      </c>
      <c r="P32" s="1">
        <f t="shared" si="5"/>
        <v>1.5629643819096248</v>
      </c>
      <c r="Q32" s="1">
        <f t="shared" si="1"/>
        <v>7.35876E-5</v>
      </c>
      <c r="R32" s="1">
        <f t="shared" si="6"/>
        <v>-0.24168889405735072</v>
      </c>
      <c r="S32" s="1">
        <f t="shared" si="2"/>
        <v>-4.1875000000000001E-6</v>
      </c>
      <c r="T32" s="1">
        <f t="shared" si="7"/>
        <v>-0.43127997909161486</v>
      </c>
      <c r="U32" s="1">
        <f t="shared" si="8"/>
        <v>-6.8327000000000015E-6</v>
      </c>
      <c r="V32" s="1">
        <f t="shared" si="9"/>
        <v>1.8345156052157261</v>
      </c>
      <c r="W32" s="1">
        <f t="shared" si="10"/>
        <v>1.0263200000000002E-4</v>
      </c>
      <c r="X32" s="1">
        <f t="shared" si="11"/>
        <v>1.3461989833604999</v>
      </c>
      <c r="Y32" s="1">
        <f t="shared" si="12"/>
        <v>5.5445800000000004E-5</v>
      </c>
      <c r="Z32" s="1">
        <f t="shared" si="13"/>
        <v>1.6802885049230287</v>
      </c>
      <c r="AA32" s="1">
        <f t="shared" si="14"/>
        <v>8.5175999999999985E-5</v>
      </c>
      <c r="AB32" s="1">
        <f t="shared" si="15"/>
        <v>1.4978610961379548</v>
      </c>
      <c r="AC32" s="1">
        <f t="shared" si="16"/>
        <v>6.7720099999999989E-5</v>
      </c>
      <c r="AD32" s="1">
        <f t="shared" si="17"/>
        <v>1.3817246145496753</v>
      </c>
      <c r="AE32" s="1">
        <f t="shared" si="18"/>
        <v>5.8156300000000004E-5</v>
      </c>
    </row>
    <row r="33" spans="1:31">
      <c r="A33">
        <f t="shared" si="3"/>
        <v>31</v>
      </c>
      <c r="B33" s="2">
        <v>3.9007900000000001E-6</v>
      </c>
      <c r="C33">
        <v>1.9876E-4</v>
      </c>
      <c r="D33" s="2">
        <v>4.9144799999999997E-5</v>
      </c>
      <c r="E33" s="2">
        <v>6.4230399999999996E-6</v>
      </c>
      <c r="F33" s="2">
        <v>2.9241399999999999E-6</v>
      </c>
      <c r="G33" s="2">
        <v>7.80715E-5</v>
      </c>
      <c r="H33" s="2">
        <v>3.7233100000000001E-5</v>
      </c>
      <c r="I33" s="2">
        <v>5.4993400000000001E-5</v>
      </c>
      <c r="J33" s="2">
        <v>4.8826499999999997E-5</v>
      </c>
      <c r="K33" s="2">
        <v>4.6889199999999998E-5</v>
      </c>
      <c r="N33" s="1">
        <f t="shared" si="4"/>
        <v>3.9309189700092926</v>
      </c>
      <c r="O33" s="1">
        <f t="shared" si="0"/>
        <v>1.9485921E-4</v>
      </c>
      <c r="P33" s="1">
        <f t="shared" si="5"/>
        <v>2.5335919456954947</v>
      </c>
      <c r="Q33" s="1">
        <f t="shared" si="1"/>
        <v>4.5244009999999996E-5</v>
      </c>
      <c r="R33" s="1">
        <f t="shared" si="6"/>
        <v>0.49871242915092928</v>
      </c>
      <c r="S33" s="1">
        <f t="shared" si="2"/>
        <v>2.5222499999999994E-6</v>
      </c>
      <c r="T33" s="1">
        <f t="shared" si="7"/>
        <v>-0.28817867636652394</v>
      </c>
      <c r="U33" s="1">
        <f t="shared" si="8"/>
        <v>-9.7665000000000021E-7</v>
      </c>
      <c r="V33" s="1">
        <f t="shared" si="9"/>
        <v>2.9964459767491167</v>
      </c>
      <c r="W33" s="1">
        <f t="shared" si="10"/>
        <v>7.4170709999999999E-5</v>
      </c>
      <c r="X33" s="1">
        <f t="shared" si="11"/>
        <v>2.2560190538765479</v>
      </c>
      <c r="Y33" s="1">
        <f t="shared" si="12"/>
        <v>3.333231E-5</v>
      </c>
      <c r="Z33" s="1">
        <f t="shared" si="13"/>
        <v>2.646034081307068</v>
      </c>
      <c r="AA33" s="1">
        <f t="shared" si="14"/>
        <v>5.109261E-5</v>
      </c>
      <c r="AB33" s="1">
        <f t="shared" si="15"/>
        <v>2.5270941015322101</v>
      </c>
      <c r="AC33" s="1">
        <f t="shared" si="16"/>
        <v>4.4925709999999996E-5</v>
      </c>
      <c r="AD33" s="1">
        <f t="shared" si="17"/>
        <v>2.486608275024043</v>
      </c>
      <c r="AE33" s="1">
        <f t="shared" si="18"/>
        <v>4.2988409999999997E-5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A5C-BB54-4335-B311-D8290354E931}">
  <dimension ref="A1:M33"/>
  <sheetViews>
    <sheetView workbookViewId="0">
      <selection activeCell="B2" sqref="B2:B33"/>
    </sheetView>
  </sheetViews>
  <sheetFormatPr baseColWidth="10" defaultRowHeight="12.75"/>
  <cols>
    <col min="1" max="8" width="12.140625" customWidth="1"/>
    <col min="9" max="9" width="11.42578125" customWidth="1"/>
  </cols>
  <sheetData>
    <row r="1" spans="1:13" ht="15">
      <c r="A1" t="s">
        <v>0</v>
      </c>
      <c r="B1" t="s">
        <v>1</v>
      </c>
      <c r="C1" t="s">
        <v>2</v>
      </c>
      <c r="D1" t="s">
        <v>3</v>
      </c>
      <c r="E1" t="s">
        <v>4</v>
      </c>
      <c r="H1" t="str">
        <f>C1</f>
        <v>n%(r+653)</v>
      </c>
      <c r="I1" t="str">
        <f>C1</f>
        <v>n%(r+653)</v>
      </c>
      <c r="J1" t="str">
        <f>D1</f>
        <v>n%(+128)</v>
      </c>
      <c r="K1" t="str">
        <f>D1</f>
        <v>n%(+128)</v>
      </c>
      <c r="L1" t="str">
        <f>E1</f>
        <v>n%(w-d)</v>
      </c>
      <c r="M1" t="str">
        <f>E1</f>
        <v>n%(w-d)</v>
      </c>
    </row>
    <row r="2" spans="1:13" ht="15">
      <c r="A2">
        <v>0</v>
      </c>
      <c r="B2">
        <v>26.266300000000001</v>
      </c>
      <c r="C2">
        <v>25.175599999999999</v>
      </c>
      <c r="G2" s="1">
        <f>LN(B2/(100-B2))-LN($B2/(100-$B2))</f>
        <v>0</v>
      </c>
      <c r="H2" s="1">
        <f>LN(C2/(100-C2))-LN($B2/(100-$B2))</f>
        <v>-5.7095558372338928E-2</v>
      </c>
      <c r="I2" s="1">
        <f t="shared" ref="I2:I33" si="0">C2-$B2</f>
        <v>-1.0907000000000018</v>
      </c>
      <c r="J2" s="1"/>
      <c r="K2" s="1"/>
    </row>
    <row r="3" spans="1:13" ht="15">
      <c r="A3">
        <f t="shared" ref="A3:A33" si="1">1+A2</f>
        <v>1</v>
      </c>
      <c r="B3">
        <v>27.9971</v>
      </c>
      <c r="C3">
        <v>26.23</v>
      </c>
      <c r="G3" s="1">
        <f>B3-$B3</f>
        <v>0</v>
      </c>
      <c r="H3" s="1">
        <f t="shared" ref="H3:H33" si="2">LN(C3/(100-C3))-LN($B3/(100-$B3))</f>
        <v>-8.9442888417465061E-2</v>
      </c>
      <c r="I3" s="1">
        <f t="shared" si="0"/>
        <v>-1.7670999999999992</v>
      </c>
      <c r="J3" s="1"/>
      <c r="K3" s="1"/>
    </row>
    <row r="4" spans="1:13" ht="15">
      <c r="A4">
        <f t="shared" si="1"/>
        <v>2</v>
      </c>
      <c r="B4">
        <v>8.4535800000000005</v>
      </c>
      <c r="C4">
        <v>8.4005200000000002</v>
      </c>
      <c r="H4" s="1">
        <f t="shared" si="2"/>
        <v>-6.8758403574991078E-3</v>
      </c>
      <c r="I4" s="1">
        <f t="shared" si="0"/>
        <v>-5.3060000000000329E-2</v>
      </c>
      <c r="J4" s="1"/>
      <c r="K4" s="1"/>
    </row>
    <row r="5" spans="1:13" ht="15">
      <c r="A5">
        <f t="shared" si="1"/>
        <v>3</v>
      </c>
      <c r="B5">
        <v>7.7830199999999996</v>
      </c>
      <c r="C5">
        <v>8.0144300000000008</v>
      </c>
      <c r="H5" s="1">
        <f t="shared" si="2"/>
        <v>3.1811790743426549E-2</v>
      </c>
      <c r="I5" s="1">
        <f t="shared" si="0"/>
        <v>0.23141000000000123</v>
      </c>
      <c r="J5" s="1"/>
      <c r="K5" s="1"/>
    </row>
    <row r="6" spans="1:13" ht="15">
      <c r="A6">
        <f t="shared" si="1"/>
        <v>4</v>
      </c>
      <c r="B6">
        <v>6.28993</v>
      </c>
      <c r="C6">
        <v>6.5820499999999997</v>
      </c>
      <c r="H6" s="1">
        <f t="shared" si="2"/>
        <v>4.8518448289811111E-2</v>
      </c>
      <c r="I6" s="1">
        <f t="shared" si="0"/>
        <v>0.29211999999999971</v>
      </c>
      <c r="J6" s="1"/>
      <c r="K6" s="1"/>
    </row>
    <row r="7" spans="1:13" ht="15">
      <c r="A7">
        <f t="shared" si="1"/>
        <v>5</v>
      </c>
      <c r="B7">
        <v>4.7150100000000004</v>
      </c>
      <c r="C7">
        <v>4.9399300000000004</v>
      </c>
      <c r="H7" s="1">
        <f t="shared" si="2"/>
        <v>4.8963412154406694E-2</v>
      </c>
      <c r="I7" s="1">
        <f t="shared" si="0"/>
        <v>0.22492000000000001</v>
      </c>
      <c r="J7" s="1"/>
      <c r="K7" s="1"/>
    </row>
    <row r="8" spans="1:13" ht="15">
      <c r="A8">
        <f t="shared" si="1"/>
        <v>6</v>
      </c>
      <c r="B8">
        <v>3.6066600000000002</v>
      </c>
      <c r="C8">
        <v>3.78925</v>
      </c>
      <c r="H8" s="1">
        <f t="shared" si="2"/>
        <v>5.1281988312644078E-2</v>
      </c>
      <c r="I8" s="1">
        <f t="shared" si="0"/>
        <v>0.18258999999999981</v>
      </c>
      <c r="J8" s="1"/>
      <c r="K8" s="1"/>
    </row>
    <row r="9" spans="1:13" ht="15">
      <c r="A9">
        <f t="shared" si="1"/>
        <v>7</v>
      </c>
      <c r="B9">
        <v>2.9949300000000001</v>
      </c>
      <c r="C9">
        <v>3.1943199999999998</v>
      </c>
      <c r="H9" s="1">
        <f t="shared" si="2"/>
        <v>6.6510948551124383E-2</v>
      </c>
      <c r="I9" s="1">
        <f t="shared" si="0"/>
        <v>0.19938999999999973</v>
      </c>
      <c r="J9" s="1"/>
      <c r="K9" s="1"/>
    </row>
    <row r="10" spans="1:13" ht="15">
      <c r="A10">
        <f t="shared" si="1"/>
        <v>8</v>
      </c>
      <c r="B10">
        <v>2.5376300000000001</v>
      </c>
      <c r="C10">
        <v>2.8023500000000001</v>
      </c>
      <c r="H10" s="1">
        <f t="shared" si="2"/>
        <v>0.10194759687850397</v>
      </c>
      <c r="I10" s="1">
        <f t="shared" si="0"/>
        <v>0.26472000000000007</v>
      </c>
      <c r="J10" s="1"/>
      <c r="K10" s="1"/>
    </row>
    <row r="11" spans="1:13" ht="15">
      <c r="A11">
        <f t="shared" si="1"/>
        <v>9</v>
      </c>
      <c r="B11">
        <v>2.1287500000000001</v>
      </c>
      <c r="C11">
        <v>2.4485700000000001</v>
      </c>
      <c r="H11" s="1">
        <f t="shared" si="2"/>
        <v>0.14324234097870248</v>
      </c>
      <c r="I11" s="1">
        <f t="shared" si="0"/>
        <v>0.31981999999999999</v>
      </c>
      <c r="J11" s="1"/>
      <c r="K11" s="1"/>
    </row>
    <row r="12" spans="1:13" ht="15">
      <c r="A12">
        <f t="shared" si="1"/>
        <v>10</v>
      </c>
      <c r="B12">
        <v>1.7307300000000001</v>
      </c>
      <c r="C12">
        <v>2.0303599999999999</v>
      </c>
      <c r="H12" s="1">
        <f t="shared" si="2"/>
        <v>0.16272356148496225</v>
      </c>
      <c r="I12" s="1">
        <f t="shared" si="0"/>
        <v>0.29962999999999984</v>
      </c>
      <c r="J12" s="1"/>
      <c r="K12" s="1"/>
    </row>
    <row r="13" spans="1:13" ht="15">
      <c r="A13">
        <f t="shared" si="1"/>
        <v>11</v>
      </c>
      <c r="B13">
        <v>1.39171</v>
      </c>
      <c r="C13">
        <v>1.65191</v>
      </c>
      <c r="H13" s="1">
        <f t="shared" si="2"/>
        <v>0.17404119826549458</v>
      </c>
      <c r="I13" s="1">
        <f t="shared" si="0"/>
        <v>0.26019999999999999</v>
      </c>
      <c r="J13" s="1"/>
      <c r="K13" s="1"/>
    </row>
    <row r="14" spans="1:13" ht="15">
      <c r="A14">
        <f t="shared" si="1"/>
        <v>12</v>
      </c>
      <c r="B14">
        <v>1.08697</v>
      </c>
      <c r="C14">
        <v>1.27</v>
      </c>
      <c r="H14" s="1">
        <f t="shared" si="2"/>
        <v>0.15747501917712547</v>
      </c>
      <c r="I14" s="1">
        <f t="shared" si="0"/>
        <v>0.18303000000000003</v>
      </c>
      <c r="J14" s="1"/>
      <c r="K14" s="1"/>
    </row>
    <row r="15" spans="1:13" ht="15">
      <c r="A15">
        <f t="shared" si="1"/>
        <v>13</v>
      </c>
      <c r="B15">
        <v>0.82000399999999996</v>
      </c>
      <c r="C15">
        <v>0.92812499999999998</v>
      </c>
      <c r="H15" s="1">
        <f t="shared" si="2"/>
        <v>0.124947947608403</v>
      </c>
      <c r="I15" s="1">
        <f t="shared" si="0"/>
        <v>0.10812100000000002</v>
      </c>
      <c r="J15" s="1"/>
      <c r="K15" s="1"/>
    </row>
    <row r="16" spans="1:13" ht="15">
      <c r="A16">
        <f t="shared" si="1"/>
        <v>14</v>
      </c>
      <c r="B16">
        <v>0.60846800000000001</v>
      </c>
      <c r="C16">
        <v>0.67256099999999996</v>
      </c>
      <c r="H16" s="1">
        <f t="shared" si="2"/>
        <v>0.10079355270550217</v>
      </c>
      <c r="I16" s="1">
        <f t="shared" si="0"/>
        <v>6.4092999999999956E-2</v>
      </c>
      <c r="J16" s="1"/>
      <c r="K16" s="1"/>
    </row>
    <row r="17" spans="1:11" ht="15">
      <c r="A17">
        <f t="shared" si="1"/>
        <v>15</v>
      </c>
      <c r="B17">
        <v>0.44498599999999999</v>
      </c>
      <c r="C17">
        <v>0.487369</v>
      </c>
      <c r="H17" s="1">
        <f t="shared" si="2"/>
        <v>9.1404530441268506E-2</v>
      </c>
      <c r="I17" s="1">
        <f t="shared" si="0"/>
        <v>4.2383000000000004E-2</v>
      </c>
      <c r="J17" s="1"/>
      <c r="K17" s="1"/>
    </row>
    <row r="18" spans="1:11" ht="15">
      <c r="A18">
        <f t="shared" si="1"/>
        <v>16</v>
      </c>
      <c r="B18">
        <v>0.32495099999999999</v>
      </c>
      <c r="C18">
        <v>0.35947600000000002</v>
      </c>
      <c r="H18" s="1">
        <f t="shared" si="2"/>
        <v>0.10131944936509374</v>
      </c>
      <c r="I18" s="1">
        <f t="shared" si="0"/>
        <v>3.4525000000000028E-2</v>
      </c>
      <c r="J18" s="1"/>
      <c r="K18" s="1"/>
    </row>
    <row r="19" spans="1:11" ht="15">
      <c r="A19">
        <f t="shared" si="1"/>
        <v>17</v>
      </c>
      <c r="B19">
        <v>0.23650299999999999</v>
      </c>
      <c r="C19">
        <v>0.26585700000000001</v>
      </c>
      <c r="H19" s="1">
        <f t="shared" si="2"/>
        <v>0.11729195657286073</v>
      </c>
      <c r="I19" s="1">
        <f t="shared" si="0"/>
        <v>2.9354000000000019E-2</v>
      </c>
      <c r="J19" s="1"/>
      <c r="K19" s="1"/>
    </row>
    <row r="20" spans="1:11" ht="15">
      <c r="A20">
        <f t="shared" si="1"/>
        <v>18</v>
      </c>
      <c r="B20">
        <v>0.17074700000000001</v>
      </c>
      <c r="C20">
        <v>0.19602600000000001</v>
      </c>
      <c r="H20" s="1">
        <f t="shared" si="2"/>
        <v>0.13831762917946566</v>
      </c>
      <c r="I20" s="1">
        <f t="shared" si="0"/>
        <v>2.5278999999999996E-2</v>
      </c>
      <c r="J20" s="1"/>
      <c r="K20" s="1"/>
    </row>
    <row r="21" spans="1:11" ht="15">
      <c r="A21">
        <f t="shared" si="1"/>
        <v>19</v>
      </c>
      <c r="B21">
        <v>0.122323</v>
      </c>
      <c r="C21">
        <v>0.14402999999999999</v>
      </c>
      <c r="H21" s="1">
        <f t="shared" si="2"/>
        <v>0.16357388352961966</v>
      </c>
      <c r="I21" s="1">
        <f t="shared" si="0"/>
        <v>2.170699999999999E-2</v>
      </c>
      <c r="J21" s="1"/>
      <c r="K21" s="1"/>
    </row>
    <row r="22" spans="1:11" ht="15">
      <c r="A22">
        <f t="shared" si="1"/>
        <v>20</v>
      </c>
      <c r="B22">
        <v>8.7123400000000004E-2</v>
      </c>
      <c r="C22">
        <v>0.10602499999999999</v>
      </c>
      <c r="H22" s="1">
        <f t="shared" si="2"/>
        <v>0.19653860958524483</v>
      </c>
      <c r="I22" s="1">
        <f t="shared" si="0"/>
        <v>1.8901599999999991E-2</v>
      </c>
      <c r="J22" s="1"/>
      <c r="K22" s="1"/>
    </row>
    <row r="23" spans="1:11" ht="15">
      <c r="A23">
        <f t="shared" si="1"/>
        <v>21</v>
      </c>
      <c r="B23">
        <v>6.1721600000000001E-2</v>
      </c>
      <c r="C23">
        <v>7.85077E-2</v>
      </c>
      <c r="H23" s="1">
        <f t="shared" si="2"/>
        <v>0.24073073724348504</v>
      </c>
      <c r="I23" s="1">
        <f t="shared" si="0"/>
        <v>1.6786099999999998E-2</v>
      </c>
      <c r="J23" s="1"/>
      <c r="K23" s="1"/>
    </row>
    <row r="24" spans="1:11" ht="15">
      <c r="A24">
        <f t="shared" si="1"/>
        <v>22</v>
      </c>
      <c r="B24">
        <v>4.3398399999999997E-2</v>
      </c>
      <c r="C24">
        <v>5.8397699999999997E-2</v>
      </c>
      <c r="H24" s="1">
        <f t="shared" si="2"/>
        <v>0.2970040008123247</v>
      </c>
      <c r="I24" s="1">
        <f t="shared" si="0"/>
        <v>1.49993E-2</v>
      </c>
      <c r="J24" s="1"/>
      <c r="K24" s="1"/>
    </row>
    <row r="25" spans="1:11" ht="15">
      <c r="A25">
        <f t="shared" si="1"/>
        <v>23</v>
      </c>
      <c r="B25">
        <v>3.03281E-2</v>
      </c>
      <c r="C25">
        <v>4.3772699999999998E-2</v>
      </c>
      <c r="H25" s="1">
        <f t="shared" si="2"/>
        <v>0.3670701557264664</v>
      </c>
      <c r="I25" s="1">
        <f t="shared" si="0"/>
        <v>1.3444599999999998E-2</v>
      </c>
      <c r="J25" s="1"/>
      <c r="K25" s="1"/>
    </row>
    <row r="26" spans="1:11" ht="15">
      <c r="A26">
        <f t="shared" si="1"/>
        <v>24</v>
      </c>
      <c r="B26">
        <v>2.1123599999999999E-2</v>
      </c>
      <c r="C26">
        <v>3.3032699999999998E-2</v>
      </c>
      <c r="H26" s="1">
        <f t="shared" si="2"/>
        <v>0.44722620432978388</v>
      </c>
      <c r="I26" s="1">
        <f t="shared" si="0"/>
        <v>1.1909099999999999E-2</v>
      </c>
      <c r="J26" s="1"/>
      <c r="K26" s="1"/>
    </row>
    <row r="27" spans="1:11" ht="15">
      <c r="A27">
        <f t="shared" si="1"/>
        <v>25</v>
      </c>
      <c r="B27">
        <v>1.4660599999999999E-2</v>
      </c>
      <c r="C27">
        <v>2.5101800000000001E-2</v>
      </c>
      <c r="H27" s="1">
        <f t="shared" si="2"/>
        <v>0.53788036616106893</v>
      </c>
      <c r="I27" s="1">
        <f t="shared" si="0"/>
        <v>1.0441200000000001E-2</v>
      </c>
      <c r="J27" s="1"/>
      <c r="K27" s="1"/>
    </row>
    <row r="28" spans="1:11" ht="15">
      <c r="A28">
        <f t="shared" si="1"/>
        <v>26</v>
      </c>
      <c r="B28">
        <v>1.01137E-2</v>
      </c>
      <c r="C28">
        <v>1.91027E-2</v>
      </c>
      <c r="H28" s="1">
        <f t="shared" si="2"/>
        <v>0.63602864908884271</v>
      </c>
      <c r="I28" s="1">
        <f t="shared" si="0"/>
        <v>8.9890000000000005E-3</v>
      </c>
      <c r="J28" s="1"/>
      <c r="K28" s="1"/>
    </row>
    <row r="29" spans="1:11" ht="15">
      <c r="A29">
        <f t="shared" si="1"/>
        <v>27</v>
      </c>
      <c r="B29">
        <v>6.9646500000000002E-3</v>
      </c>
      <c r="C29">
        <v>1.4534999999999999E-2</v>
      </c>
      <c r="H29" s="1">
        <f t="shared" si="2"/>
        <v>0.73578789093689245</v>
      </c>
      <c r="I29" s="1">
        <f t="shared" si="0"/>
        <v>7.5703499999999991E-3</v>
      </c>
      <c r="J29" s="1"/>
      <c r="K29" s="1"/>
    </row>
    <row r="30" spans="1:11" ht="15">
      <c r="A30">
        <f t="shared" si="1"/>
        <v>28</v>
      </c>
      <c r="B30">
        <v>4.74793E-3</v>
      </c>
      <c r="C30">
        <v>1.0985999999999999E-2</v>
      </c>
      <c r="H30" s="1">
        <f t="shared" si="2"/>
        <v>0.83897538693926599</v>
      </c>
      <c r="I30" s="1">
        <f t="shared" si="0"/>
        <v>6.2380699999999992E-3</v>
      </c>
      <c r="J30" s="1"/>
      <c r="K30" s="1"/>
    </row>
    <row r="31" spans="1:11" ht="15">
      <c r="A31">
        <f t="shared" si="1"/>
        <v>29</v>
      </c>
      <c r="B31">
        <v>3.2351699999999999E-3</v>
      </c>
      <c r="C31">
        <v>8.2371700000000003E-3</v>
      </c>
      <c r="H31" s="1">
        <f t="shared" si="2"/>
        <v>0.93462538439356635</v>
      </c>
      <c r="I31" s="1">
        <f t="shared" si="0"/>
        <v>5.0020000000000004E-3</v>
      </c>
      <c r="J31" s="1"/>
      <c r="K31" s="1"/>
    </row>
    <row r="32" spans="1:11" ht="15">
      <c r="A32">
        <f t="shared" si="1"/>
        <v>30</v>
      </c>
      <c r="B32">
        <v>2.1812400000000001E-3</v>
      </c>
      <c r="C32">
        <v>6.07874E-3</v>
      </c>
      <c r="H32" s="1">
        <f t="shared" si="2"/>
        <v>1.0249428918383128</v>
      </c>
      <c r="I32" s="1">
        <f t="shared" si="0"/>
        <v>3.8974999999999999E-3</v>
      </c>
      <c r="J32" s="1"/>
      <c r="K32" s="1"/>
    </row>
    <row r="33" spans="1:11" ht="15">
      <c r="A33">
        <f t="shared" si="1"/>
        <v>31</v>
      </c>
      <c r="B33">
        <v>1.4555499999999999E-3</v>
      </c>
      <c r="C33">
        <v>4.40983E-3</v>
      </c>
      <c r="H33" s="1">
        <f t="shared" si="2"/>
        <v>1.1084818475596148</v>
      </c>
      <c r="I33" s="1">
        <f t="shared" si="0"/>
        <v>2.9542800000000001E-3</v>
      </c>
      <c r="J33" s="1"/>
      <c r="K33" s="1"/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EA31E-6ECB-4B5F-81B5-19A136FFE671}">
  <dimension ref="A1:M33"/>
  <sheetViews>
    <sheetView workbookViewId="0">
      <selection activeCell="B2" sqref="B2:B33"/>
    </sheetView>
  </sheetViews>
  <sheetFormatPr baseColWidth="10" defaultRowHeight="12.75"/>
  <cols>
    <col min="1" max="8" width="12.140625" customWidth="1"/>
    <col min="9" max="9" width="11.42578125" customWidth="1"/>
  </cols>
  <sheetData>
    <row r="1" spans="1:13" ht="15">
      <c r="A1" t="s">
        <v>0</v>
      </c>
      <c r="B1" t="s">
        <v>1</v>
      </c>
      <c r="C1" t="s">
        <v>2</v>
      </c>
      <c r="D1" t="s">
        <v>3</v>
      </c>
      <c r="E1" t="s">
        <v>4</v>
      </c>
      <c r="H1" t="str">
        <f>C1</f>
        <v>n%(r+653)</v>
      </c>
      <c r="I1" t="str">
        <f>C1</f>
        <v>n%(r+653)</v>
      </c>
      <c r="J1" t="str">
        <f>D1</f>
        <v>n%(+128)</v>
      </c>
      <c r="K1" t="str">
        <f>D1</f>
        <v>n%(+128)</v>
      </c>
      <c r="L1" t="str">
        <f>E1</f>
        <v>n%(w-d)</v>
      </c>
      <c r="M1" t="str">
        <f>E1</f>
        <v>n%(w-d)</v>
      </c>
    </row>
    <row r="2" spans="1:13" ht="15">
      <c r="A2">
        <v>0</v>
      </c>
      <c r="B2">
        <v>26.725999999999999</v>
      </c>
      <c r="C2">
        <v>26.775300000000001</v>
      </c>
      <c r="D2">
        <v>26.7148</v>
      </c>
      <c r="E2">
        <v>26.682400000000001</v>
      </c>
      <c r="G2" s="1">
        <f>LN(B2/(100-B2))-LN($B2/(100-$B2))</f>
        <v>0</v>
      </c>
      <c r="H2" s="1">
        <f>LN(C2/(100-C2))-LN($B2/(100-$B2))</f>
        <v>2.5159899344349146E-3</v>
      </c>
      <c r="I2" s="1">
        <f t="shared" ref="I2:I33" si="0">C2-$B2</f>
        <v>4.9300000000002342E-2</v>
      </c>
      <c r="J2" s="1">
        <f t="shared" ref="J2:J33" si="1">LN(D2/(100-D2))-LN($B2/(100-$B2))</f>
        <v>-5.7199467052271302E-4</v>
      </c>
      <c r="K2" s="1">
        <f t="shared" ref="K2:K33" si="2">D2-$B2</f>
        <v>-1.1199999999998766E-2</v>
      </c>
      <c r="L2" s="1">
        <f t="shared" ref="L2:L33" si="3">LN(E2/(100-E2))-LN($B2/(100-$B2))</f>
        <v>-2.2275522617527521E-3</v>
      </c>
      <c r="M2" s="1">
        <f t="shared" ref="M2:M33" si="4">E2-$B2</f>
        <v>-4.3599999999997863E-2</v>
      </c>
    </row>
    <row r="3" spans="1:13" ht="15">
      <c r="A3">
        <f t="shared" ref="A3:A33" si="5">1+A2</f>
        <v>1</v>
      </c>
      <c r="B3">
        <v>29.968</v>
      </c>
      <c r="C3">
        <v>30.480899999999998</v>
      </c>
      <c r="D3">
        <v>30.342500000000001</v>
      </c>
      <c r="E3">
        <v>29.977599999999999</v>
      </c>
      <c r="G3" s="1">
        <f>B3-$B3</f>
        <v>0</v>
      </c>
      <c r="H3" s="1">
        <f t="shared" ref="H3:H33" si="6">LN(C3/(100-C3))-LN($B3/(100-$B3))</f>
        <v>2.4320857729884571E-2</v>
      </c>
      <c r="I3" s="1">
        <f t="shared" si="0"/>
        <v>0.51289999999999836</v>
      </c>
      <c r="J3" s="1">
        <f t="shared" si="1"/>
        <v>1.7781129053122569E-2</v>
      </c>
      <c r="K3" s="1">
        <f t="shared" si="2"/>
        <v>0.37450000000000117</v>
      </c>
      <c r="L3" s="1">
        <f t="shared" si="3"/>
        <v>4.5737998762462873E-4</v>
      </c>
      <c r="M3" s="1">
        <f t="shared" si="4"/>
        <v>9.5999999999989427E-3</v>
      </c>
    </row>
    <row r="4" spans="1:13" ht="15">
      <c r="A4">
        <f t="shared" si="5"/>
        <v>2</v>
      </c>
      <c r="B4">
        <v>8.5703099999999992</v>
      </c>
      <c r="C4">
        <v>8.4292200000000008</v>
      </c>
      <c r="D4">
        <v>8.4739699999999996</v>
      </c>
      <c r="E4">
        <v>8.5902999999999992</v>
      </c>
      <c r="H4" s="1">
        <f t="shared" si="6"/>
        <v>-1.814162716680956E-2</v>
      </c>
      <c r="I4" s="1">
        <f t="shared" si="0"/>
        <v>-0.14108999999999838</v>
      </c>
      <c r="J4" s="1">
        <f t="shared" si="1"/>
        <v>-1.2357943793773529E-2</v>
      </c>
      <c r="K4" s="1">
        <f t="shared" si="2"/>
        <v>-9.6339999999999648E-2</v>
      </c>
      <c r="L4" s="1">
        <f t="shared" si="3"/>
        <v>2.548416920881369E-3</v>
      </c>
      <c r="M4" s="1">
        <f t="shared" si="4"/>
        <v>1.9989999999999952E-2</v>
      </c>
    </row>
    <row r="5" spans="1:13" ht="15">
      <c r="A5">
        <f t="shared" si="5"/>
        <v>3</v>
      </c>
      <c r="B5">
        <v>7.6212099999999996</v>
      </c>
      <c r="C5">
        <v>7.5060799999999999</v>
      </c>
      <c r="D5">
        <v>7.5637800000000004</v>
      </c>
      <c r="E5">
        <v>7.64175</v>
      </c>
      <c r="H5" s="1">
        <f t="shared" si="6"/>
        <v>-1.6467296731922598E-2</v>
      </c>
      <c r="I5" s="1">
        <f t="shared" si="0"/>
        <v>-0.11512999999999973</v>
      </c>
      <c r="J5" s="1">
        <f t="shared" si="1"/>
        <v>-8.1855708477545086E-3</v>
      </c>
      <c r="K5" s="1">
        <f t="shared" si="2"/>
        <v>-5.7429999999999204E-2</v>
      </c>
      <c r="L5" s="1">
        <f t="shared" si="3"/>
        <v>2.9138549301905847E-3</v>
      </c>
      <c r="M5" s="1">
        <f t="shared" si="4"/>
        <v>2.0540000000000447E-2</v>
      </c>
    </row>
    <row r="6" spans="1:13" ht="15">
      <c r="A6">
        <f t="shared" si="5"/>
        <v>4</v>
      </c>
      <c r="B6">
        <v>6.1973799999999999</v>
      </c>
      <c r="C6">
        <v>6.1195399999999998</v>
      </c>
      <c r="D6">
        <v>6.1581200000000003</v>
      </c>
      <c r="E6">
        <v>6.2008599999999996</v>
      </c>
      <c r="H6" s="1">
        <f t="shared" si="6"/>
        <v>-1.3469175244067877E-2</v>
      </c>
      <c r="I6" s="1">
        <f t="shared" si="0"/>
        <v>-7.7840000000000131E-2</v>
      </c>
      <c r="J6" s="1">
        <f t="shared" si="1"/>
        <v>-6.7735367880201736E-3</v>
      </c>
      <c r="K6" s="1">
        <f t="shared" si="2"/>
        <v>-3.9259999999999629E-2</v>
      </c>
      <c r="L6" s="1">
        <f t="shared" si="3"/>
        <v>5.9846988081124763E-4</v>
      </c>
      <c r="M6" s="1">
        <f t="shared" si="4"/>
        <v>3.4799999999997056E-3</v>
      </c>
    </row>
    <row r="7" spans="1:13" ht="15">
      <c r="A7">
        <f t="shared" si="5"/>
        <v>5</v>
      </c>
      <c r="B7">
        <v>4.6429099999999996</v>
      </c>
      <c r="C7">
        <v>4.5853000000000002</v>
      </c>
      <c r="D7">
        <v>4.6012300000000002</v>
      </c>
      <c r="E7">
        <v>4.6315900000000001</v>
      </c>
      <c r="H7" s="1">
        <f t="shared" si="6"/>
        <v>-1.3089758232964765E-2</v>
      </c>
      <c r="I7" s="1">
        <f t="shared" si="0"/>
        <v>-5.7609999999999495E-2</v>
      </c>
      <c r="J7" s="1">
        <f t="shared" si="1"/>
        <v>-9.4546641517871954E-3</v>
      </c>
      <c r="K7" s="1">
        <f t="shared" si="2"/>
        <v>-4.1679999999999495E-2</v>
      </c>
      <c r="L7" s="1">
        <f t="shared" si="3"/>
        <v>-2.5598077890198745E-3</v>
      </c>
      <c r="M7" s="1">
        <f t="shared" si="4"/>
        <v>-1.1319999999999553E-2</v>
      </c>
    </row>
    <row r="8" spans="1:13" ht="15">
      <c r="A8">
        <f t="shared" si="5"/>
        <v>6</v>
      </c>
      <c r="B8">
        <v>3.54379</v>
      </c>
      <c r="C8">
        <v>3.5027300000000001</v>
      </c>
      <c r="D8">
        <v>3.50976</v>
      </c>
      <c r="E8">
        <v>3.5323799999999999</v>
      </c>
      <c r="H8" s="1">
        <f t="shared" si="6"/>
        <v>-1.2079706272905888E-2</v>
      </c>
      <c r="I8" s="1">
        <f t="shared" si="0"/>
        <v>-4.1059999999999874E-2</v>
      </c>
      <c r="J8" s="1">
        <f t="shared" si="1"/>
        <v>-1.0001857198973951E-2</v>
      </c>
      <c r="K8" s="1">
        <f t="shared" si="2"/>
        <v>-3.4030000000000005E-2</v>
      </c>
      <c r="L8" s="1">
        <f t="shared" si="3"/>
        <v>-3.3431962094971901E-3</v>
      </c>
      <c r="M8" s="1">
        <f t="shared" si="4"/>
        <v>-1.1410000000000142E-2</v>
      </c>
    </row>
    <row r="9" spans="1:13" ht="15">
      <c r="A9">
        <f t="shared" si="5"/>
        <v>7</v>
      </c>
      <c r="B9">
        <v>2.89255</v>
      </c>
      <c r="C9">
        <v>2.8615699999999999</v>
      </c>
      <c r="D9">
        <v>2.8699699999999999</v>
      </c>
      <c r="E9">
        <v>2.8860100000000002</v>
      </c>
      <c r="H9" s="1">
        <f t="shared" si="6"/>
        <v>-1.1087017925900611E-2</v>
      </c>
      <c r="I9" s="1">
        <f t="shared" si="0"/>
        <v>-3.0980000000000008E-2</v>
      </c>
      <c r="J9" s="1">
        <f t="shared" si="1"/>
        <v>-8.0693881645572674E-3</v>
      </c>
      <c r="K9" s="1">
        <f t="shared" si="2"/>
        <v>-2.2580000000000044E-2</v>
      </c>
      <c r="L9" s="1">
        <f t="shared" si="3"/>
        <v>-2.3308864808679886E-3</v>
      </c>
      <c r="M9" s="1">
        <f t="shared" si="4"/>
        <v>-6.5399999999997682E-3</v>
      </c>
    </row>
    <row r="10" spans="1:13" ht="15">
      <c r="A10">
        <f t="shared" si="5"/>
        <v>8</v>
      </c>
      <c r="B10">
        <v>2.4272900000000002</v>
      </c>
      <c r="C10">
        <v>2.4041299999999999</v>
      </c>
      <c r="D10">
        <v>2.4142199999999998</v>
      </c>
      <c r="E10">
        <v>2.4224199999999998</v>
      </c>
      <c r="H10" s="1">
        <f t="shared" si="6"/>
        <v>-9.8246502223897636E-3</v>
      </c>
      <c r="I10" s="1">
        <f t="shared" si="0"/>
        <v>-2.3160000000000291E-2</v>
      </c>
      <c r="J10" s="1">
        <f t="shared" si="1"/>
        <v>-5.5330975369973778E-3</v>
      </c>
      <c r="K10" s="1">
        <f t="shared" si="2"/>
        <v>-1.3070000000000359E-2</v>
      </c>
      <c r="L10" s="1">
        <f t="shared" si="3"/>
        <v>-2.0582784369369556E-3</v>
      </c>
      <c r="M10" s="1">
        <f t="shared" si="4"/>
        <v>-4.870000000000374E-3</v>
      </c>
    </row>
    <row r="11" spans="1:13" ht="15">
      <c r="A11">
        <f t="shared" si="5"/>
        <v>9</v>
      </c>
      <c r="B11">
        <v>1.9694400000000001</v>
      </c>
      <c r="C11">
        <v>1.94834</v>
      </c>
      <c r="D11">
        <v>1.95496</v>
      </c>
      <c r="E11">
        <v>1.9611499999999999</v>
      </c>
      <c r="H11" s="1">
        <f t="shared" si="6"/>
        <v>-1.0986726244238465E-2</v>
      </c>
      <c r="I11" s="1">
        <f t="shared" si="0"/>
        <v>-2.1100000000000119E-2</v>
      </c>
      <c r="J11" s="1">
        <f t="shared" si="1"/>
        <v>-7.5272036429212541E-3</v>
      </c>
      <c r="K11" s="1">
        <f t="shared" si="2"/>
        <v>-1.4480000000000048E-2</v>
      </c>
      <c r="L11" s="1">
        <f t="shared" si="3"/>
        <v>-4.3027643957045392E-3</v>
      </c>
      <c r="M11" s="1">
        <f t="shared" si="4"/>
        <v>-8.2900000000001306E-3</v>
      </c>
    </row>
    <row r="12" spans="1:13" ht="15">
      <c r="A12">
        <f t="shared" si="5"/>
        <v>10</v>
      </c>
      <c r="B12">
        <v>1.5677099999999999</v>
      </c>
      <c r="C12">
        <v>1.55355</v>
      </c>
      <c r="D12">
        <v>1.55522</v>
      </c>
      <c r="E12">
        <v>1.56168</v>
      </c>
      <c r="H12" s="1">
        <f t="shared" si="6"/>
        <v>-9.2171660092912333E-3</v>
      </c>
      <c r="I12" s="1">
        <f t="shared" si="0"/>
        <v>-1.415999999999995E-2</v>
      </c>
      <c r="J12" s="1">
        <f t="shared" si="1"/>
        <v>-8.1258223255877837E-3</v>
      </c>
      <c r="K12" s="1">
        <f t="shared" si="2"/>
        <v>-1.248999999999989E-2</v>
      </c>
      <c r="L12" s="1">
        <f t="shared" si="3"/>
        <v>-3.9150494795947566E-3</v>
      </c>
      <c r="M12" s="1">
        <f t="shared" si="4"/>
        <v>-6.0299999999999798E-3</v>
      </c>
    </row>
    <row r="13" spans="1:13" ht="15">
      <c r="A13">
        <f t="shared" si="5"/>
        <v>11</v>
      </c>
      <c r="B13">
        <v>1.19499</v>
      </c>
      <c r="C13">
        <v>1.1859</v>
      </c>
      <c r="D13">
        <v>1.1861999999999999</v>
      </c>
      <c r="E13">
        <v>1.19103</v>
      </c>
      <c r="H13" s="1">
        <f t="shared" si="6"/>
        <v>-7.7278323107590197E-3</v>
      </c>
      <c r="I13" s="1">
        <f t="shared" si="0"/>
        <v>-9.0900000000000425E-3</v>
      </c>
      <c r="J13" s="1">
        <f t="shared" si="1"/>
        <v>-7.4718558683022351E-3</v>
      </c>
      <c r="K13" s="1">
        <f t="shared" si="2"/>
        <v>-8.7900000000000755E-3</v>
      </c>
      <c r="L13" s="1">
        <f t="shared" si="3"/>
        <v>-3.3594163109968989E-3</v>
      </c>
      <c r="M13" s="1">
        <f t="shared" si="4"/>
        <v>-3.9599999999999635E-3</v>
      </c>
    </row>
    <row r="14" spans="1:13" ht="15">
      <c r="A14">
        <f t="shared" si="5"/>
        <v>12</v>
      </c>
      <c r="B14">
        <v>0.88829899999999995</v>
      </c>
      <c r="C14">
        <v>0.878305</v>
      </c>
      <c r="D14">
        <v>0.87628899999999998</v>
      </c>
      <c r="E14">
        <v>0.88602199999999998</v>
      </c>
      <c r="H14" s="1">
        <f t="shared" si="6"/>
        <v>-1.1415314945817379E-2</v>
      </c>
      <c r="I14" s="1">
        <f t="shared" si="0"/>
        <v>-9.9939999999999474E-3</v>
      </c>
      <c r="J14" s="1">
        <f t="shared" si="1"/>
        <v>-1.3733621892485282E-2</v>
      </c>
      <c r="K14" s="1">
        <f t="shared" si="2"/>
        <v>-1.2009999999999965E-2</v>
      </c>
      <c r="L14" s="1">
        <f t="shared" si="3"/>
        <v>-2.5895908472461926E-3</v>
      </c>
      <c r="M14" s="1">
        <f t="shared" si="4"/>
        <v>-2.2769999999999735E-3</v>
      </c>
    </row>
    <row r="15" spans="1:13" ht="15">
      <c r="A15">
        <f t="shared" si="5"/>
        <v>13</v>
      </c>
      <c r="B15">
        <v>0.62555499999999997</v>
      </c>
      <c r="C15">
        <v>0.61710600000000004</v>
      </c>
      <c r="D15">
        <v>0.61616899999999997</v>
      </c>
      <c r="E15">
        <v>0.623996</v>
      </c>
      <c r="H15" s="1">
        <f t="shared" si="6"/>
        <v>-1.3683465764811054E-2</v>
      </c>
      <c r="I15" s="1">
        <f t="shared" si="0"/>
        <v>-8.4489999999999288E-3</v>
      </c>
      <c r="J15" s="1">
        <f t="shared" si="1"/>
        <v>-1.5212425523806417E-2</v>
      </c>
      <c r="K15" s="1">
        <f t="shared" si="2"/>
        <v>-9.3860000000000054E-3</v>
      </c>
      <c r="L15" s="1">
        <f t="shared" si="3"/>
        <v>-2.5109856200566938E-3</v>
      </c>
      <c r="M15" s="1">
        <f t="shared" si="4"/>
        <v>-1.5589999999999771E-3</v>
      </c>
    </row>
    <row r="16" spans="1:13" ht="15">
      <c r="A16">
        <f t="shared" si="5"/>
        <v>14</v>
      </c>
      <c r="B16">
        <v>0.42674099999999998</v>
      </c>
      <c r="C16">
        <v>0.41983799999999999</v>
      </c>
      <c r="D16">
        <v>0.41916199999999998</v>
      </c>
      <c r="E16">
        <v>0.42779800000000001</v>
      </c>
      <c r="H16" s="1">
        <f t="shared" si="6"/>
        <v>-1.6377672675283783E-2</v>
      </c>
      <c r="I16" s="1">
        <f t="shared" si="0"/>
        <v>-6.9029999999999925E-3</v>
      </c>
      <c r="J16" s="1">
        <f t="shared" si="1"/>
        <v>-1.7995903694743909E-2</v>
      </c>
      <c r="K16" s="1">
        <f t="shared" si="2"/>
        <v>-7.5790000000000024E-3</v>
      </c>
      <c r="L16" s="1">
        <f t="shared" si="3"/>
        <v>2.4844650905135879E-3</v>
      </c>
      <c r="M16" s="1">
        <f t="shared" si="4"/>
        <v>1.0570000000000301E-3</v>
      </c>
    </row>
    <row r="17" spans="1:13" ht="15">
      <c r="A17">
        <f t="shared" si="5"/>
        <v>15</v>
      </c>
      <c r="B17">
        <v>0.27855799999999997</v>
      </c>
      <c r="C17">
        <v>0.27518100000000001</v>
      </c>
      <c r="D17">
        <v>0.275092</v>
      </c>
      <c r="E17">
        <v>0.28195500000000001</v>
      </c>
      <c r="H17" s="1">
        <f t="shared" si="6"/>
        <v>-1.2231096992695534E-2</v>
      </c>
      <c r="I17" s="1">
        <f t="shared" si="0"/>
        <v>-3.3769999999999634E-3</v>
      </c>
      <c r="J17" s="1">
        <f t="shared" si="1"/>
        <v>-1.2555465252997777E-2</v>
      </c>
      <c r="K17" s="1">
        <f t="shared" si="2"/>
        <v>-3.4659999999999691E-3</v>
      </c>
      <c r="L17" s="1">
        <f t="shared" si="3"/>
        <v>1.21552529949982E-2</v>
      </c>
      <c r="M17" s="1">
        <f t="shared" si="4"/>
        <v>3.3970000000000389E-3</v>
      </c>
    </row>
    <row r="18" spans="1:13" ht="15">
      <c r="A18">
        <f t="shared" si="5"/>
        <v>16</v>
      </c>
      <c r="B18">
        <v>0.178152</v>
      </c>
      <c r="C18">
        <v>0.17466200000000001</v>
      </c>
      <c r="D18">
        <v>0.17621500000000001</v>
      </c>
      <c r="E18">
        <v>0.18324699999999999</v>
      </c>
      <c r="H18" s="1">
        <f t="shared" si="6"/>
        <v>-1.9819402419440912E-2</v>
      </c>
      <c r="I18" s="1">
        <f t="shared" si="0"/>
        <v>-3.4899999999999931E-3</v>
      </c>
      <c r="J18" s="1">
        <f t="shared" si="1"/>
        <v>-1.0951682452552625E-2</v>
      </c>
      <c r="K18" s="1">
        <f t="shared" si="2"/>
        <v>-1.9369999999999943E-3</v>
      </c>
      <c r="L18" s="1">
        <f t="shared" si="3"/>
        <v>2.8248893304705369E-2</v>
      </c>
      <c r="M18" s="1">
        <f t="shared" si="4"/>
        <v>5.0949999999999884E-3</v>
      </c>
    </row>
    <row r="19" spans="1:13" ht="15">
      <c r="A19">
        <f t="shared" si="5"/>
        <v>17</v>
      </c>
      <c r="B19">
        <v>0.109497</v>
      </c>
      <c r="C19">
        <v>0.108067</v>
      </c>
      <c r="D19">
        <v>0.110026</v>
      </c>
      <c r="E19">
        <v>0.115437</v>
      </c>
      <c r="H19" s="1">
        <f t="shared" si="6"/>
        <v>-1.3160062049296428E-2</v>
      </c>
      <c r="I19" s="1">
        <f t="shared" si="0"/>
        <v>-1.4300000000000007E-3</v>
      </c>
      <c r="J19" s="1">
        <f t="shared" si="1"/>
        <v>4.8248456910906512E-3</v>
      </c>
      <c r="K19" s="1">
        <f t="shared" si="2"/>
        <v>5.2900000000000169E-4</v>
      </c>
      <c r="L19" s="1">
        <f t="shared" si="3"/>
        <v>5.2887241861610867E-2</v>
      </c>
      <c r="M19" s="1">
        <f t="shared" si="4"/>
        <v>5.9400000000000008E-3</v>
      </c>
    </row>
    <row r="20" spans="1:13" ht="15">
      <c r="A20">
        <f t="shared" si="5"/>
        <v>18</v>
      </c>
      <c r="B20">
        <v>6.7097199999999996E-2</v>
      </c>
      <c r="C20">
        <v>6.6228499999999996E-2</v>
      </c>
      <c r="D20">
        <v>6.8571800000000002E-2</v>
      </c>
      <c r="E20">
        <v>7.2927000000000006E-2</v>
      </c>
      <c r="H20" s="1">
        <f t="shared" si="6"/>
        <v>-1.3040123245052548E-2</v>
      </c>
      <c r="I20" s="1">
        <f t="shared" si="0"/>
        <v>-8.6870000000000003E-4</v>
      </c>
      <c r="J20" s="1">
        <f t="shared" si="1"/>
        <v>2.1753813164358426E-2</v>
      </c>
      <c r="K20" s="1">
        <f t="shared" si="2"/>
        <v>1.4746000000000065E-3</v>
      </c>
      <c r="L20" s="1">
        <f t="shared" si="3"/>
        <v>8.3374965315146987E-2</v>
      </c>
      <c r="M20" s="1">
        <f t="shared" si="4"/>
        <v>5.82980000000001E-3</v>
      </c>
    </row>
    <row r="21" spans="1:13" ht="15">
      <c r="A21">
        <f t="shared" si="5"/>
        <v>19</v>
      </c>
      <c r="B21">
        <v>4.0912299999999999E-2</v>
      </c>
      <c r="C21">
        <v>4.0226600000000001E-2</v>
      </c>
      <c r="D21">
        <v>4.2352800000000003E-2</v>
      </c>
      <c r="E21">
        <v>4.6018900000000001E-2</v>
      </c>
      <c r="H21" s="1">
        <f t="shared" si="6"/>
        <v>-1.6909142770873409E-2</v>
      </c>
      <c r="I21" s="1">
        <f t="shared" si="0"/>
        <v>-6.8569999999999742E-4</v>
      </c>
      <c r="J21" s="1">
        <f t="shared" si="1"/>
        <v>3.4618194280827908E-2</v>
      </c>
      <c r="K21" s="1">
        <f t="shared" si="2"/>
        <v>1.4405000000000043E-3</v>
      </c>
      <c r="L21" s="1">
        <f t="shared" si="3"/>
        <v>0.11767251854249672</v>
      </c>
      <c r="M21" s="1">
        <f t="shared" si="4"/>
        <v>5.1066000000000028E-3</v>
      </c>
    </row>
    <row r="22" spans="1:13" ht="15">
      <c r="A22">
        <f t="shared" si="5"/>
        <v>20</v>
      </c>
      <c r="B22">
        <v>2.4570499999999999E-2</v>
      </c>
      <c r="C22">
        <v>2.4655699999999999E-2</v>
      </c>
      <c r="D22">
        <v>2.60787E-2</v>
      </c>
      <c r="E22">
        <v>2.9014399999999999E-2</v>
      </c>
      <c r="H22" s="1">
        <f t="shared" si="6"/>
        <v>3.4624269433614074E-3</v>
      </c>
      <c r="I22" s="1">
        <f t="shared" si="0"/>
        <v>8.5200000000000553E-5</v>
      </c>
      <c r="J22" s="1">
        <f t="shared" si="1"/>
        <v>5.9587438664346237E-2</v>
      </c>
      <c r="K22" s="1">
        <f t="shared" si="2"/>
        <v>1.5082000000000012E-3</v>
      </c>
      <c r="L22" s="1">
        <f t="shared" si="3"/>
        <v>0.16629017303271532</v>
      </c>
      <c r="M22" s="1">
        <f t="shared" si="4"/>
        <v>4.4439000000000006E-3</v>
      </c>
    </row>
    <row r="23" spans="1:13" ht="15">
      <c r="A23">
        <f t="shared" si="5"/>
        <v>21</v>
      </c>
      <c r="B23">
        <v>1.49056E-2</v>
      </c>
      <c r="C23">
        <v>1.5048300000000001E-2</v>
      </c>
      <c r="D23">
        <v>1.6281199999999999E-2</v>
      </c>
      <c r="E23">
        <v>1.8783899999999999E-2</v>
      </c>
      <c r="H23" s="1">
        <f t="shared" si="6"/>
        <v>9.5294739500761949E-3</v>
      </c>
      <c r="I23" s="1">
        <f t="shared" si="0"/>
        <v>1.4270000000000081E-4</v>
      </c>
      <c r="J23" s="1">
        <f t="shared" si="1"/>
        <v>8.8287844809183724E-2</v>
      </c>
      <c r="K23" s="1">
        <f t="shared" si="2"/>
        <v>1.3755999999999994E-3</v>
      </c>
      <c r="L23" s="1">
        <f t="shared" si="3"/>
        <v>0.23130192821796314</v>
      </c>
      <c r="M23" s="1">
        <f t="shared" si="4"/>
        <v>3.8782999999999995E-3</v>
      </c>
    </row>
    <row r="24" spans="1:13" ht="15">
      <c r="A24">
        <f t="shared" si="5"/>
        <v>22</v>
      </c>
      <c r="B24">
        <v>8.9049200000000002E-3</v>
      </c>
      <c r="C24">
        <v>9.4076300000000002E-3</v>
      </c>
      <c r="D24">
        <v>1.0248800000000001E-2</v>
      </c>
      <c r="E24">
        <v>1.2093E-2</v>
      </c>
      <c r="H24" s="1">
        <f t="shared" si="6"/>
        <v>5.4922156727680971E-2</v>
      </c>
      <c r="I24" s="1">
        <f t="shared" si="0"/>
        <v>5.0270999999999996E-4</v>
      </c>
      <c r="J24" s="1">
        <f t="shared" si="1"/>
        <v>0.14057013266296714</v>
      </c>
      <c r="K24" s="1">
        <f t="shared" si="2"/>
        <v>1.3438800000000004E-3</v>
      </c>
      <c r="L24" s="1">
        <f t="shared" si="3"/>
        <v>0.30605472396638689</v>
      </c>
      <c r="M24" s="1">
        <f t="shared" si="4"/>
        <v>3.1880799999999994E-3</v>
      </c>
    </row>
    <row r="25" spans="1:13" ht="15">
      <c r="A25">
        <f t="shared" si="5"/>
        <v>23</v>
      </c>
      <c r="B25">
        <v>5.5040200000000001E-3</v>
      </c>
      <c r="C25">
        <v>6.0426000000000004E-3</v>
      </c>
      <c r="D25">
        <v>6.4785399999999996E-3</v>
      </c>
      <c r="E25">
        <v>7.8470999999999992E-3</v>
      </c>
      <c r="H25" s="1">
        <f t="shared" si="6"/>
        <v>9.3361034665603526E-2</v>
      </c>
      <c r="I25" s="1">
        <f t="shared" si="0"/>
        <v>5.3858000000000031E-4</v>
      </c>
      <c r="J25" s="1">
        <f t="shared" si="1"/>
        <v>0.16302618777493016</v>
      </c>
      <c r="K25" s="1">
        <f t="shared" si="2"/>
        <v>9.7451999999999955E-4</v>
      </c>
      <c r="L25" s="1">
        <f t="shared" si="3"/>
        <v>0.35468873480672336</v>
      </c>
      <c r="M25" s="1">
        <f t="shared" si="4"/>
        <v>2.3430799999999991E-3</v>
      </c>
    </row>
    <row r="26" spans="1:13" ht="15">
      <c r="A26">
        <f t="shared" si="5"/>
        <v>24</v>
      </c>
      <c r="B26">
        <v>3.4191400000000002E-3</v>
      </c>
      <c r="C26">
        <v>4.0501199999999999E-3</v>
      </c>
      <c r="D26">
        <v>4.1590899999999998E-3</v>
      </c>
      <c r="E26">
        <v>5.2100699999999998E-3</v>
      </c>
      <c r="H26" s="1">
        <f t="shared" si="6"/>
        <v>0.16936376288044208</v>
      </c>
      <c r="I26" s="1">
        <f t="shared" si="0"/>
        <v>6.3097999999999974E-4</v>
      </c>
      <c r="J26" s="1">
        <f t="shared" si="1"/>
        <v>0.19591464265994496</v>
      </c>
      <c r="K26" s="1">
        <f t="shared" si="2"/>
        <v>7.3994999999999964E-4</v>
      </c>
      <c r="L26" s="1">
        <f t="shared" si="3"/>
        <v>0.42122214398400004</v>
      </c>
      <c r="M26" s="1">
        <f t="shared" si="4"/>
        <v>1.7909299999999996E-3</v>
      </c>
    </row>
    <row r="27" spans="1:13" ht="15">
      <c r="A27">
        <f t="shared" si="5"/>
        <v>25</v>
      </c>
      <c r="B27">
        <v>2.14146E-3</v>
      </c>
      <c r="C27">
        <v>2.7317000000000001E-3</v>
      </c>
      <c r="D27">
        <v>2.6821700000000002E-3</v>
      </c>
      <c r="E27">
        <v>3.3933399999999999E-3</v>
      </c>
      <c r="H27" s="1">
        <f t="shared" si="6"/>
        <v>0.24344218915712901</v>
      </c>
      <c r="I27" s="1">
        <f t="shared" si="0"/>
        <v>5.9024000000000012E-4</v>
      </c>
      <c r="J27" s="1">
        <f t="shared" si="1"/>
        <v>0.22514373621184447</v>
      </c>
      <c r="K27" s="1">
        <f t="shared" si="2"/>
        <v>5.4071000000000024E-4</v>
      </c>
      <c r="L27" s="1">
        <f t="shared" si="3"/>
        <v>0.4603393668328728</v>
      </c>
      <c r="M27" s="1">
        <f t="shared" si="4"/>
        <v>1.2518799999999999E-3</v>
      </c>
    </row>
    <row r="28" spans="1:13" ht="15">
      <c r="A28">
        <f t="shared" si="5"/>
        <v>26</v>
      </c>
      <c r="B28">
        <v>1.42172E-3</v>
      </c>
      <c r="C28">
        <v>1.8636099999999999E-3</v>
      </c>
      <c r="D28">
        <v>1.7414900000000001E-3</v>
      </c>
      <c r="E28">
        <v>2.2876099999999998E-3</v>
      </c>
      <c r="H28" s="1">
        <f t="shared" si="6"/>
        <v>0.27065247965101946</v>
      </c>
      <c r="I28" s="1">
        <f t="shared" si="0"/>
        <v>4.418899999999999E-4</v>
      </c>
      <c r="J28" s="1">
        <f t="shared" si="1"/>
        <v>0.20287686015568696</v>
      </c>
      <c r="K28" s="1">
        <f t="shared" si="2"/>
        <v>3.1977000000000004E-4</v>
      </c>
      <c r="L28" s="1">
        <f t="shared" si="3"/>
        <v>0.47564885727762984</v>
      </c>
      <c r="M28" s="1">
        <f t="shared" si="4"/>
        <v>8.658899999999998E-4</v>
      </c>
    </row>
    <row r="29" spans="1:13" ht="15">
      <c r="A29">
        <f t="shared" si="5"/>
        <v>27</v>
      </c>
      <c r="B29">
        <v>9.3814799999999998E-4</v>
      </c>
      <c r="C29">
        <v>1.2906300000000001E-3</v>
      </c>
      <c r="D29">
        <v>1.23938E-3</v>
      </c>
      <c r="E29">
        <v>1.55933E-3</v>
      </c>
      <c r="H29" s="1">
        <f t="shared" si="6"/>
        <v>0.31898155601731837</v>
      </c>
      <c r="I29" s="1">
        <f t="shared" si="0"/>
        <v>3.524820000000001E-4</v>
      </c>
      <c r="J29" s="1">
        <f t="shared" si="1"/>
        <v>0.27846182683433263</v>
      </c>
      <c r="K29" s="1">
        <f t="shared" si="2"/>
        <v>3.0123200000000002E-4</v>
      </c>
      <c r="L29" s="1">
        <f t="shared" si="3"/>
        <v>0.50811001362976604</v>
      </c>
      <c r="M29" s="1">
        <f t="shared" si="4"/>
        <v>6.2118200000000007E-4</v>
      </c>
    </row>
    <row r="30" spans="1:13" ht="15">
      <c r="A30">
        <f t="shared" si="5"/>
        <v>28</v>
      </c>
      <c r="B30">
        <v>6.2527600000000002E-4</v>
      </c>
      <c r="C30">
        <v>8.7671099999999996E-4</v>
      </c>
      <c r="D30">
        <v>8.3399799999999997E-4</v>
      </c>
      <c r="E30">
        <v>1.0543499999999999E-3</v>
      </c>
      <c r="H30" s="1">
        <f t="shared" si="6"/>
        <v>0.33798676767633395</v>
      </c>
      <c r="I30" s="1">
        <f t="shared" si="0"/>
        <v>2.5143499999999994E-4</v>
      </c>
      <c r="J30" s="1">
        <f t="shared" si="1"/>
        <v>0.28803993924974769</v>
      </c>
      <c r="K30" s="1">
        <f t="shared" si="2"/>
        <v>2.0872199999999994E-4</v>
      </c>
      <c r="L30" s="1">
        <f t="shared" si="3"/>
        <v>0.52249088080623984</v>
      </c>
      <c r="M30" s="1">
        <f t="shared" si="4"/>
        <v>4.2907399999999988E-4</v>
      </c>
    </row>
    <row r="31" spans="1:13" ht="15">
      <c r="A31">
        <f t="shared" si="5"/>
        <v>29</v>
      </c>
      <c r="B31">
        <v>4.03132E-4</v>
      </c>
      <c r="C31">
        <v>6.2040499999999998E-4</v>
      </c>
      <c r="D31">
        <v>5.5663100000000003E-4</v>
      </c>
      <c r="E31">
        <v>7.1660099999999998E-4</v>
      </c>
      <c r="H31" s="1">
        <f t="shared" si="6"/>
        <v>0.43111061158723274</v>
      </c>
      <c r="I31" s="1">
        <f t="shared" si="0"/>
        <v>2.1727299999999998E-4</v>
      </c>
      <c r="J31" s="1">
        <f t="shared" si="1"/>
        <v>0.32264002609071696</v>
      </c>
      <c r="K31" s="1">
        <f t="shared" si="2"/>
        <v>1.5349900000000003E-4</v>
      </c>
      <c r="L31" s="1">
        <f t="shared" si="3"/>
        <v>0.5752582833157156</v>
      </c>
      <c r="M31" s="1">
        <f t="shared" si="4"/>
        <v>3.1346899999999998E-4</v>
      </c>
    </row>
    <row r="32" spans="1:13" ht="15">
      <c r="A32">
        <f t="shared" si="5"/>
        <v>30</v>
      </c>
      <c r="B32">
        <v>2.6750800000000001E-4</v>
      </c>
      <c r="C32">
        <v>4.1344299999999999E-4</v>
      </c>
      <c r="D32">
        <v>3.8072799999999999E-4</v>
      </c>
      <c r="E32">
        <v>4.7695499999999999E-4</v>
      </c>
      <c r="H32" s="1">
        <f t="shared" si="6"/>
        <v>0.43537164424384933</v>
      </c>
      <c r="I32" s="1">
        <f t="shared" si="0"/>
        <v>1.4593499999999998E-4</v>
      </c>
      <c r="J32" s="1">
        <f t="shared" si="1"/>
        <v>0.35293686918265088</v>
      </c>
      <c r="K32" s="1">
        <f t="shared" si="2"/>
        <v>1.1321999999999998E-4</v>
      </c>
      <c r="L32" s="1">
        <f t="shared" si="3"/>
        <v>0.57827476886230755</v>
      </c>
      <c r="M32" s="1">
        <f t="shared" si="4"/>
        <v>2.0944699999999998E-4</v>
      </c>
    </row>
    <row r="33" spans="1:13" ht="15">
      <c r="A33">
        <f t="shared" si="5"/>
        <v>31</v>
      </c>
      <c r="B33">
        <v>1.9876E-4</v>
      </c>
      <c r="C33">
        <v>2.8600899999999999E-4</v>
      </c>
      <c r="D33">
        <v>2.6978100000000002E-4</v>
      </c>
      <c r="E33">
        <v>3.2046199999999998E-4</v>
      </c>
      <c r="H33" s="1">
        <f t="shared" si="6"/>
        <v>0.36392608461419229</v>
      </c>
      <c r="I33" s="1">
        <f t="shared" si="0"/>
        <v>8.7248999999999991E-5</v>
      </c>
      <c r="J33" s="1">
        <f t="shared" si="1"/>
        <v>0.30551316223620617</v>
      </c>
      <c r="K33" s="1">
        <f t="shared" si="2"/>
        <v>7.1021000000000024E-5</v>
      </c>
      <c r="L33" s="1">
        <f t="shared" si="3"/>
        <v>0.47766685487782112</v>
      </c>
      <c r="M33" s="1">
        <f t="shared" si="4"/>
        <v>1.2170199999999998E-4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E91F2-09C6-4854-BEBF-1180387495EB}">
  <dimension ref="A1:E202"/>
  <sheetViews>
    <sheetView workbookViewId="0"/>
  </sheetViews>
  <sheetFormatPr baseColWidth="10" defaultRowHeight="12.75"/>
  <cols>
    <col min="1" max="5" width="12.140625" customWidth="1"/>
    <col min="6" max="6" width="11.42578125" customWidth="1"/>
  </cols>
  <sheetData>
    <row r="1" spans="1:5" ht="15">
      <c r="A1" t="s">
        <v>5</v>
      </c>
      <c r="B1" t="s">
        <v>6</v>
      </c>
      <c r="C1" t="s">
        <v>7</v>
      </c>
      <c r="D1" t="s">
        <v>8</v>
      </c>
      <c r="E1" t="s">
        <v>9</v>
      </c>
    </row>
    <row r="2" spans="1:5" ht="15">
      <c r="A2">
        <v>-100</v>
      </c>
      <c r="B2">
        <v>1098</v>
      </c>
      <c r="C2">
        <v>5.0091099999999997</v>
      </c>
      <c r="D2">
        <f t="shared" ref="D2:D65" si="0">100*B2/SUM(B$2:B$202)</f>
        <v>9.2645154326829928E-4</v>
      </c>
      <c r="E2">
        <f>D2</f>
        <v>9.2645154326829928E-4</v>
      </c>
    </row>
    <row r="3" spans="1:5" ht="15">
      <c r="A3">
        <f t="shared" ref="A3:A34" si="1">1+A2</f>
        <v>-99</v>
      </c>
      <c r="B3">
        <v>69</v>
      </c>
      <c r="C3">
        <v>7.2463800000000003</v>
      </c>
      <c r="D3">
        <f t="shared" si="0"/>
        <v>5.8219632500466898E-5</v>
      </c>
      <c r="E3">
        <f t="shared" ref="E3:E34" si="2">D3+E2</f>
        <v>9.8467117576876619E-4</v>
      </c>
    </row>
    <row r="4" spans="1:5" ht="15">
      <c r="A4">
        <f t="shared" si="1"/>
        <v>-98</v>
      </c>
      <c r="B4">
        <v>32</v>
      </c>
      <c r="C4">
        <v>6.25</v>
      </c>
      <c r="D4">
        <f t="shared" si="0"/>
        <v>2.700040927557885E-5</v>
      </c>
      <c r="E4">
        <f t="shared" si="2"/>
        <v>1.011671585044345E-3</v>
      </c>
    </row>
    <row r="5" spans="1:5" ht="15">
      <c r="A5">
        <f t="shared" si="1"/>
        <v>-97</v>
      </c>
      <c r="B5">
        <v>34</v>
      </c>
      <c r="C5">
        <v>11.764699999999999</v>
      </c>
      <c r="D5">
        <f t="shared" si="0"/>
        <v>2.868793485530253E-5</v>
      </c>
      <c r="E5">
        <f t="shared" si="2"/>
        <v>1.0403595198996475E-3</v>
      </c>
    </row>
    <row r="6" spans="1:5" ht="15">
      <c r="A6">
        <f t="shared" si="1"/>
        <v>-96</v>
      </c>
      <c r="B6">
        <v>82</v>
      </c>
      <c r="C6">
        <v>2.4390200000000002</v>
      </c>
      <c r="D6">
        <f t="shared" si="0"/>
        <v>6.9188548768670807E-5</v>
      </c>
      <c r="E6">
        <f t="shared" si="2"/>
        <v>1.1095480686683183E-3</v>
      </c>
    </row>
    <row r="7" spans="1:5" ht="15">
      <c r="A7">
        <f t="shared" si="1"/>
        <v>-95</v>
      </c>
      <c r="B7">
        <v>43</v>
      </c>
      <c r="C7">
        <v>11.6279</v>
      </c>
      <c r="D7">
        <f t="shared" si="0"/>
        <v>3.628179996405908E-5</v>
      </c>
      <c r="E7">
        <f t="shared" si="2"/>
        <v>1.1458298686323775E-3</v>
      </c>
    </row>
    <row r="8" spans="1:5" ht="15">
      <c r="A8">
        <f t="shared" si="1"/>
        <v>-94</v>
      </c>
      <c r="B8">
        <v>73</v>
      </c>
      <c r="C8">
        <v>4.1095899999999999</v>
      </c>
      <c r="D8">
        <f t="shared" si="0"/>
        <v>6.159468365991425E-5</v>
      </c>
      <c r="E8">
        <f t="shared" si="2"/>
        <v>1.2074245522922917E-3</v>
      </c>
    </row>
    <row r="9" spans="1:5" ht="15">
      <c r="A9">
        <f t="shared" si="1"/>
        <v>-93</v>
      </c>
      <c r="B9">
        <v>49</v>
      </c>
      <c r="C9">
        <v>4.0816299999999996</v>
      </c>
      <c r="D9">
        <f t="shared" si="0"/>
        <v>4.1344376703230115E-5</v>
      </c>
      <c r="E9">
        <f t="shared" si="2"/>
        <v>1.2487689289955217E-3</v>
      </c>
    </row>
    <row r="10" spans="1:5" ht="15">
      <c r="A10">
        <f t="shared" si="1"/>
        <v>-92</v>
      </c>
      <c r="B10">
        <v>72</v>
      </c>
      <c r="C10">
        <v>2.7777799999999999</v>
      </c>
      <c r="D10">
        <f t="shared" si="0"/>
        <v>6.0750920870052412E-5</v>
      </c>
      <c r="E10">
        <f t="shared" si="2"/>
        <v>1.3095198498655741E-3</v>
      </c>
    </row>
    <row r="11" spans="1:5" ht="15">
      <c r="A11">
        <f t="shared" si="1"/>
        <v>-91</v>
      </c>
      <c r="B11">
        <v>75</v>
      </c>
      <c r="C11">
        <v>8</v>
      </c>
      <c r="D11">
        <f t="shared" si="0"/>
        <v>6.3282209239637926E-5</v>
      </c>
      <c r="E11">
        <f t="shared" si="2"/>
        <v>1.3728020591052121E-3</v>
      </c>
    </row>
    <row r="12" spans="1:5" ht="15">
      <c r="A12">
        <f t="shared" si="1"/>
        <v>-90</v>
      </c>
      <c r="B12">
        <v>65</v>
      </c>
      <c r="C12">
        <v>3.0769199999999999</v>
      </c>
      <c r="D12">
        <f t="shared" si="0"/>
        <v>5.4844581341019539E-5</v>
      </c>
      <c r="E12">
        <f t="shared" si="2"/>
        <v>1.4276466404462315E-3</v>
      </c>
    </row>
    <row r="13" spans="1:5" ht="15">
      <c r="A13">
        <f t="shared" si="1"/>
        <v>-89</v>
      </c>
      <c r="B13">
        <v>63</v>
      </c>
      <c r="C13">
        <v>6.3492100000000002</v>
      </c>
      <c r="D13">
        <f t="shared" si="0"/>
        <v>5.3157055761295862E-5</v>
      </c>
      <c r="E13">
        <f t="shared" si="2"/>
        <v>1.4808036962075273E-3</v>
      </c>
    </row>
    <row r="14" spans="1:5" ht="15">
      <c r="A14">
        <f t="shared" si="1"/>
        <v>-88</v>
      </c>
      <c r="B14">
        <v>74</v>
      </c>
      <c r="C14">
        <v>8.1081099999999999</v>
      </c>
      <c r="D14">
        <f t="shared" si="0"/>
        <v>6.2438446449776088E-5</v>
      </c>
      <c r="E14">
        <f t="shared" si="2"/>
        <v>1.5432421426573035E-3</v>
      </c>
    </row>
    <row r="15" spans="1:5" ht="15">
      <c r="A15">
        <f t="shared" si="1"/>
        <v>-87</v>
      </c>
      <c r="B15">
        <v>132</v>
      </c>
      <c r="C15">
        <v>2.2727300000000001</v>
      </c>
      <c r="D15">
        <f t="shared" si="0"/>
        <v>1.1137668826176275E-4</v>
      </c>
      <c r="E15">
        <f t="shared" si="2"/>
        <v>1.6546188309190663E-3</v>
      </c>
    </row>
    <row r="16" spans="1:5" ht="15">
      <c r="A16">
        <f t="shared" si="1"/>
        <v>-86</v>
      </c>
      <c r="B16">
        <v>95</v>
      </c>
      <c r="C16">
        <v>9.4736799999999999</v>
      </c>
      <c r="D16">
        <f t="shared" si="0"/>
        <v>8.0157465036874716E-5</v>
      </c>
      <c r="E16">
        <f t="shared" si="2"/>
        <v>1.7347762959559409E-3</v>
      </c>
    </row>
    <row r="17" spans="1:5" ht="15">
      <c r="A17">
        <f t="shared" si="1"/>
        <v>-85</v>
      </c>
      <c r="B17">
        <v>115</v>
      </c>
      <c r="C17">
        <v>3.4782600000000001</v>
      </c>
      <c r="D17">
        <f t="shared" si="0"/>
        <v>9.7032720834111492E-5</v>
      </c>
      <c r="E17">
        <f t="shared" si="2"/>
        <v>1.8318090167900524E-3</v>
      </c>
    </row>
    <row r="18" spans="1:5" ht="15">
      <c r="A18">
        <f t="shared" si="1"/>
        <v>-84</v>
      </c>
      <c r="B18">
        <v>98</v>
      </c>
      <c r="C18">
        <v>7.1428599999999998</v>
      </c>
      <c r="D18">
        <f t="shared" si="0"/>
        <v>8.268875340646023E-5</v>
      </c>
      <c r="E18">
        <f t="shared" si="2"/>
        <v>1.9144977701965127E-3</v>
      </c>
    </row>
    <row r="19" spans="1:5" ht="15">
      <c r="A19">
        <f t="shared" si="1"/>
        <v>-83</v>
      </c>
      <c r="B19">
        <v>108</v>
      </c>
      <c r="C19">
        <v>8.3333300000000001</v>
      </c>
      <c r="D19">
        <f t="shared" si="0"/>
        <v>9.1126381305078625E-5</v>
      </c>
      <c r="E19">
        <f t="shared" si="2"/>
        <v>2.0056241515015913E-3</v>
      </c>
    </row>
    <row r="20" spans="1:5" ht="15">
      <c r="A20">
        <f t="shared" si="1"/>
        <v>-82</v>
      </c>
      <c r="B20">
        <v>79</v>
      </c>
      <c r="C20">
        <v>5.0632900000000003</v>
      </c>
      <c r="D20">
        <f t="shared" si="0"/>
        <v>6.6657260399085292E-5</v>
      </c>
      <c r="E20">
        <f t="shared" si="2"/>
        <v>2.0722814119006768E-3</v>
      </c>
    </row>
    <row r="21" spans="1:5" ht="15">
      <c r="A21">
        <f t="shared" si="1"/>
        <v>-81</v>
      </c>
      <c r="B21">
        <v>94</v>
      </c>
      <c r="C21">
        <v>6.3829799999999999</v>
      </c>
      <c r="D21">
        <f t="shared" si="0"/>
        <v>7.9313702247012878E-5</v>
      </c>
      <c r="E21">
        <f t="shared" si="2"/>
        <v>2.1515951141476896E-3</v>
      </c>
    </row>
    <row r="22" spans="1:5" ht="15">
      <c r="A22">
        <f t="shared" si="1"/>
        <v>-80</v>
      </c>
      <c r="B22">
        <v>111</v>
      </c>
      <c r="C22">
        <v>5.4054099999999998</v>
      </c>
      <c r="D22">
        <f t="shared" si="0"/>
        <v>9.3657669674664139E-5</v>
      </c>
      <c r="E22">
        <f t="shared" si="2"/>
        <v>2.2452527838223539E-3</v>
      </c>
    </row>
    <row r="23" spans="1:5" ht="15">
      <c r="A23">
        <f t="shared" si="1"/>
        <v>-79</v>
      </c>
      <c r="B23">
        <v>129</v>
      </c>
      <c r="C23">
        <v>4.65116</v>
      </c>
      <c r="D23">
        <f t="shared" si="0"/>
        <v>1.0884539989217724E-4</v>
      </c>
      <c r="E23">
        <f t="shared" si="2"/>
        <v>2.3540981837145312E-3</v>
      </c>
    </row>
    <row r="24" spans="1:5" ht="15">
      <c r="A24">
        <f t="shared" si="1"/>
        <v>-78</v>
      </c>
      <c r="B24">
        <v>142</v>
      </c>
      <c r="C24">
        <v>7.0422500000000001</v>
      </c>
      <c r="D24">
        <f t="shared" si="0"/>
        <v>1.1981431616038115E-4</v>
      </c>
      <c r="E24">
        <f t="shared" si="2"/>
        <v>2.4739124998749123E-3</v>
      </c>
    </row>
    <row r="25" spans="1:5" ht="15">
      <c r="A25">
        <f t="shared" si="1"/>
        <v>-77</v>
      </c>
      <c r="B25">
        <v>168</v>
      </c>
      <c r="C25">
        <v>3.5714299999999999</v>
      </c>
      <c r="D25">
        <f t="shared" si="0"/>
        <v>1.4175214869678897E-4</v>
      </c>
      <c r="E25">
        <f t="shared" si="2"/>
        <v>2.6156646485717013E-3</v>
      </c>
    </row>
    <row r="26" spans="1:5" ht="15">
      <c r="A26">
        <f t="shared" si="1"/>
        <v>-76</v>
      </c>
      <c r="B26">
        <v>132</v>
      </c>
      <c r="C26">
        <v>7.5757599999999998</v>
      </c>
      <c r="D26">
        <f t="shared" si="0"/>
        <v>1.1137668826176275E-4</v>
      </c>
      <c r="E26">
        <f t="shared" si="2"/>
        <v>2.7270413368334643E-3</v>
      </c>
    </row>
    <row r="27" spans="1:5" ht="15">
      <c r="A27">
        <f t="shared" si="1"/>
        <v>-75</v>
      </c>
      <c r="B27">
        <v>207</v>
      </c>
      <c r="C27">
        <v>7.2463800000000003</v>
      </c>
      <c r="D27">
        <f t="shared" si="0"/>
        <v>1.7465889750140068E-4</v>
      </c>
      <c r="E27">
        <f t="shared" si="2"/>
        <v>2.901700234334865E-3</v>
      </c>
    </row>
    <row r="28" spans="1:5" ht="15">
      <c r="A28">
        <f t="shared" si="1"/>
        <v>-74</v>
      </c>
      <c r="B28">
        <v>152</v>
      </c>
      <c r="C28">
        <v>5.2631600000000001</v>
      </c>
      <c r="D28">
        <f t="shared" si="0"/>
        <v>1.2825194405899953E-4</v>
      </c>
      <c r="E28">
        <f t="shared" si="2"/>
        <v>3.0299521783938646E-3</v>
      </c>
    </row>
    <row r="29" spans="1:5" ht="15">
      <c r="A29">
        <f t="shared" si="1"/>
        <v>-73</v>
      </c>
      <c r="B29">
        <v>114</v>
      </c>
      <c r="C29">
        <v>7.8947399999999996</v>
      </c>
      <c r="D29">
        <f t="shared" si="0"/>
        <v>9.6188958044249654E-5</v>
      </c>
      <c r="E29">
        <f t="shared" si="2"/>
        <v>3.1261411364381141E-3</v>
      </c>
    </row>
    <row r="30" spans="1:5" ht="15">
      <c r="A30">
        <f t="shared" si="1"/>
        <v>-72</v>
      </c>
      <c r="B30">
        <v>140</v>
      </c>
      <c r="C30">
        <v>7.1428599999999998</v>
      </c>
      <c r="D30">
        <f t="shared" si="0"/>
        <v>1.1812679058065747E-4</v>
      </c>
      <c r="E30">
        <f t="shared" si="2"/>
        <v>3.2442679270187715E-3</v>
      </c>
    </row>
    <row r="31" spans="1:5" ht="15">
      <c r="A31">
        <f t="shared" si="1"/>
        <v>-71</v>
      </c>
      <c r="B31">
        <v>172</v>
      </c>
      <c r="C31">
        <v>8.1395300000000006</v>
      </c>
      <c r="D31">
        <f t="shared" si="0"/>
        <v>1.4512719985623632E-4</v>
      </c>
      <c r="E31">
        <f t="shared" si="2"/>
        <v>3.3893951268750078E-3</v>
      </c>
    </row>
    <row r="32" spans="1:5" ht="15">
      <c r="A32">
        <f t="shared" si="1"/>
        <v>-70</v>
      </c>
      <c r="B32">
        <v>186</v>
      </c>
      <c r="C32">
        <v>6.9892500000000002</v>
      </c>
      <c r="D32">
        <f t="shared" si="0"/>
        <v>1.5693987891430208E-4</v>
      </c>
      <c r="E32">
        <f t="shared" si="2"/>
        <v>3.5463350057893099E-3</v>
      </c>
    </row>
    <row r="33" spans="1:5" ht="15">
      <c r="A33">
        <f t="shared" si="1"/>
        <v>-69</v>
      </c>
      <c r="B33">
        <v>213</v>
      </c>
      <c r="C33">
        <v>11.2676</v>
      </c>
      <c r="D33">
        <f t="shared" si="0"/>
        <v>1.7972147424057174E-4</v>
      </c>
      <c r="E33">
        <f t="shared" si="2"/>
        <v>3.7260564800298815E-3</v>
      </c>
    </row>
    <row r="34" spans="1:5" ht="15">
      <c r="A34">
        <f t="shared" si="1"/>
        <v>-68</v>
      </c>
      <c r="B34">
        <v>197</v>
      </c>
      <c r="C34">
        <v>11.1675</v>
      </c>
      <c r="D34">
        <f t="shared" si="0"/>
        <v>1.662212696027823E-4</v>
      </c>
      <c r="E34">
        <f t="shared" si="2"/>
        <v>3.8922777496326636E-3</v>
      </c>
    </row>
    <row r="35" spans="1:5" ht="15">
      <c r="A35">
        <f t="shared" ref="A35:A66" si="3">1+A34</f>
        <v>-67</v>
      </c>
      <c r="B35">
        <v>241</v>
      </c>
      <c r="C35">
        <v>8.2987599999999997</v>
      </c>
      <c r="D35">
        <f t="shared" si="0"/>
        <v>2.0334683235670323E-4</v>
      </c>
      <c r="E35">
        <f t="shared" ref="E35:E66" si="4">D35+E34</f>
        <v>4.0956245819893673E-3</v>
      </c>
    </row>
    <row r="36" spans="1:5" ht="15">
      <c r="A36">
        <f t="shared" si="3"/>
        <v>-66</v>
      </c>
      <c r="B36">
        <v>384</v>
      </c>
      <c r="C36">
        <v>5.46875</v>
      </c>
      <c r="D36">
        <f t="shared" si="0"/>
        <v>3.2400491130694622E-4</v>
      </c>
      <c r="E36">
        <f t="shared" si="4"/>
        <v>4.4196294932963131E-3</v>
      </c>
    </row>
    <row r="37" spans="1:5" ht="15">
      <c r="A37">
        <f t="shared" si="3"/>
        <v>-65</v>
      </c>
      <c r="B37">
        <v>263</v>
      </c>
      <c r="C37">
        <v>7.6045600000000002</v>
      </c>
      <c r="D37">
        <f t="shared" si="0"/>
        <v>2.2190961373366367E-4</v>
      </c>
      <c r="E37">
        <f t="shared" si="4"/>
        <v>4.641539107029977E-3</v>
      </c>
    </row>
    <row r="38" spans="1:5" ht="15">
      <c r="A38">
        <f t="shared" si="3"/>
        <v>-64</v>
      </c>
      <c r="B38">
        <v>362</v>
      </c>
      <c r="C38">
        <v>4.4198899999999997</v>
      </c>
      <c r="D38">
        <f t="shared" si="0"/>
        <v>3.0544212992998572E-4</v>
      </c>
      <c r="E38">
        <f t="shared" si="4"/>
        <v>4.9469812369599625E-3</v>
      </c>
    </row>
    <row r="39" spans="1:5" ht="15">
      <c r="A39">
        <f t="shared" si="3"/>
        <v>-63</v>
      </c>
      <c r="B39">
        <v>351</v>
      </c>
      <c r="C39">
        <v>3.7037</v>
      </c>
      <c r="D39">
        <f t="shared" si="0"/>
        <v>2.9616073924150553E-4</v>
      </c>
      <c r="E39">
        <f t="shared" si="4"/>
        <v>5.2431419762014684E-3</v>
      </c>
    </row>
    <row r="40" spans="1:5" ht="15">
      <c r="A40">
        <f t="shared" si="3"/>
        <v>-62</v>
      </c>
      <c r="B40">
        <v>373</v>
      </c>
      <c r="C40">
        <v>5.0938299999999996</v>
      </c>
      <c r="D40">
        <f t="shared" si="0"/>
        <v>3.1472352061846597E-4</v>
      </c>
      <c r="E40">
        <f t="shared" si="4"/>
        <v>5.5578654968199345E-3</v>
      </c>
    </row>
    <row r="41" spans="1:5" ht="15">
      <c r="A41">
        <f t="shared" si="3"/>
        <v>-61</v>
      </c>
      <c r="B41">
        <v>408</v>
      </c>
      <c r="C41">
        <v>4.9019599999999999</v>
      </c>
      <c r="D41">
        <f t="shared" si="0"/>
        <v>3.4425521826363033E-4</v>
      </c>
      <c r="E41">
        <f t="shared" si="4"/>
        <v>5.9021207150835647E-3</v>
      </c>
    </row>
    <row r="42" spans="1:5">
      <c r="A42">
        <f t="shared" si="3"/>
        <v>-60</v>
      </c>
      <c r="B42">
        <v>400</v>
      </c>
      <c r="C42">
        <v>6</v>
      </c>
      <c r="D42">
        <f t="shared" si="0"/>
        <v>3.3750511594473563E-4</v>
      </c>
      <c r="E42">
        <f t="shared" si="4"/>
        <v>6.2396258310283004E-3</v>
      </c>
    </row>
    <row r="43" spans="1:5">
      <c r="A43">
        <f t="shared" si="3"/>
        <v>-59</v>
      </c>
      <c r="B43">
        <v>413</v>
      </c>
      <c r="C43">
        <v>7.5060500000000001</v>
      </c>
      <c r="D43">
        <f t="shared" si="0"/>
        <v>3.4847403221293955E-4</v>
      </c>
      <c r="E43">
        <f t="shared" si="4"/>
        <v>6.5880998632412398E-3</v>
      </c>
    </row>
    <row r="44" spans="1:5">
      <c r="A44">
        <f t="shared" si="3"/>
        <v>-58</v>
      </c>
      <c r="B44">
        <v>351</v>
      </c>
      <c r="C44">
        <v>4.8433000000000002</v>
      </c>
      <c r="D44">
        <f t="shared" si="0"/>
        <v>2.9616073924150553E-4</v>
      </c>
      <c r="E44">
        <f t="shared" si="4"/>
        <v>6.8842606024827457E-3</v>
      </c>
    </row>
    <row r="45" spans="1:5">
      <c r="A45">
        <f t="shared" si="3"/>
        <v>-57</v>
      </c>
      <c r="B45">
        <v>337</v>
      </c>
      <c r="C45">
        <v>5.0445099999999998</v>
      </c>
      <c r="D45">
        <f t="shared" si="0"/>
        <v>2.8434806018343974E-4</v>
      </c>
      <c r="E45">
        <f t="shared" si="4"/>
        <v>7.1686086626661857E-3</v>
      </c>
    </row>
    <row r="46" spans="1:5">
      <c r="A46">
        <f t="shared" si="3"/>
        <v>-56</v>
      </c>
      <c r="B46">
        <v>387</v>
      </c>
      <c r="C46">
        <v>3.6175700000000002</v>
      </c>
      <c r="D46">
        <f t="shared" si="0"/>
        <v>3.265361996765317E-4</v>
      </c>
      <c r="E46">
        <f t="shared" si="4"/>
        <v>7.4951448623427177E-3</v>
      </c>
    </row>
    <row r="47" spans="1:5">
      <c r="A47">
        <f t="shared" si="3"/>
        <v>-55</v>
      </c>
      <c r="B47">
        <v>434</v>
      </c>
      <c r="C47">
        <v>4.1474700000000002</v>
      </c>
      <c r="D47">
        <f t="shared" si="0"/>
        <v>3.6619305080003818E-4</v>
      </c>
      <c r="E47">
        <f t="shared" si="4"/>
        <v>7.8613379131427553E-3</v>
      </c>
    </row>
    <row r="48" spans="1:5">
      <c r="A48">
        <f t="shared" si="3"/>
        <v>-54</v>
      </c>
      <c r="B48">
        <v>487</v>
      </c>
      <c r="C48">
        <v>5.5441500000000001</v>
      </c>
      <c r="D48">
        <f t="shared" si="0"/>
        <v>4.1091247866271562E-4</v>
      </c>
      <c r="E48">
        <f t="shared" si="4"/>
        <v>8.2722503918054718E-3</v>
      </c>
    </row>
    <row r="49" spans="1:5">
      <c r="A49">
        <f t="shared" si="3"/>
        <v>-53</v>
      </c>
      <c r="B49">
        <v>395</v>
      </c>
      <c r="C49">
        <v>4.81013</v>
      </c>
      <c r="D49">
        <f t="shared" si="0"/>
        <v>3.3328630199542641E-4</v>
      </c>
      <c r="E49">
        <f t="shared" si="4"/>
        <v>8.6055366938008991E-3</v>
      </c>
    </row>
    <row r="50" spans="1:5">
      <c r="A50">
        <f t="shared" si="3"/>
        <v>-52</v>
      </c>
      <c r="B50">
        <v>480</v>
      </c>
      <c r="C50">
        <v>4.375</v>
      </c>
      <c r="D50">
        <f t="shared" si="0"/>
        <v>4.0500613913368273E-4</v>
      </c>
      <c r="E50">
        <f t="shared" si="4"/>
        <v>9.0105428329345823E-3</v>
      </c>
    </row>
    <row r="51" spans="1:5">
      <c r="A51">
        <f t="shared" si="3"/>
        <v>-51</v>
      </c>
      <c r="B51">
        <v>412</v>
      </c>
      <c r="C51">
        <v>6.0679600000000002</v>
      </c>
      <c r="D51">
        <f t="shared" si="0"/>
        <v>3.4763026942307768E-4</v>
      </c>
      <c r="E51">
        <f t="shared" si="4"/>
        <v>9.3581731023576597E-3</v>
      </c>
    </row>
    <row r="52" spans="1:5">
      <c r="A52">
        <f t="shared" si="3"/>
        <v>-50</v>
      </c>
      <c r="B52">
        <v>562</v>
      </c>
      <c r="C52">
        <v>4.4484000000000004</v>
      </c>
      <c r="D52">
        <f t="shared" si="0"/>
        <v>4.7419468790235356E-4</v>
      </c>
      <c r="E52">
        <f t="shared" si="4"/>
        <v>9.8323677902600135E-3</v>
      </c>
    </row>
    <row r="53" spans="1:5">
      <c r="A53">
        <f t="shared" si="3"/>
        <v>-49</v>
      </c>
      <c r="B53">
        <v>512</v>
      </c>
      <c r="C53">
        <v>4.6875</v>
      </c>
      <c r="D53">
        <f t="shared" si="0"/>
        <v>4.320065484092616E-4</v>
      </c>
      <c r="E53">
        <f t="shared" si="4"/>
        <v>1.0264374338669275E-2</v>
      </c>
    </row>
    <row r="54" spans="1:5">
      <c r="A54">
        <f t="shared" si="3"/>
        <v>-48</v>
      </c>
      <c r="B54">
        <v>524</v>
      </c>
      <c r="C54">
        <v>4.5801499999999997</v>
      </c>
      <c r="D54">
        <f t="shared" si="0"/>
        <v>4.4213170188760366E-4</v>
      </c>
      <c r="E54">
        <f t="shared" si="4"/>
        <v>1.0706506040556878E-2</v>
      </c>
    </row>
    <row r="55" spans="1:5">
      <c r="A55">
        <f t="shared" si="3"/>
        <v>-47</v>
      </c>
      <c r="B55">
        <v>520</v>
      </c>
      <c r="C55">
        <v>3.6538499999999998</v>
      </c>
      <c r="D55">
        <f t="shared" si="0"/>
        <v>4.3875665072815631E-4</v>
      </c>
      <c r="E55">
        <f t="shared" si="4"/>
        <v>1.1145262691285034E-2</v>
      </c>
    </row>
    <row r="56" spans="1:5">
      <c r="A56">
        <f t="shared" si="3"/>
        <v>-46</v>
      </c>
      <c r="B56">
        <v>663</v>
      </c>
      <c r="C56">
        <v>4.22323</v>
      </c>
      <c r="D56">
        <f t="shared" si="0"/>
        <v>5.5941472967839935E-4</v>
      </c>
      <c r="E56">
        <f t="shared" si="4"/>
        <v>1.1704677420963433E-2</v>
      </c>
    </row>
    <row r="57" spans="1:5">
      <c r="A57">
        <f t="shared" si="3"/>
        <v>-45</v>
      </c>
      <c r="B57">
        <v>795</v>
      </c>
      <c r="C57">
        <v>3.2704399999999998</v>
      </c>
      <c r="D57">
        <f t="shared" si="0"/>
        <v>6.7079141794016209E-4</v>
      </c>
      <c r="E57">
        <f t="shared" si="4"/>
        <v>1.2375468838903595E-2</v>
      </c>
    </row>
    <row r="58" spans="1:5">
      <c r="A58">
        <f t="shared" si="3"/>
        <v>-44</v>
      </c>
      <c r="B58">
        <v>815</v>
      </c>
      <c r="C58">
        <v>3.5582799999999999</v>
      </c>
      <c r="D58">
        <f t="shared" si="0"/>
        <v>6.8766667373739885E-4</v>
      </c>
      <c r="E58">
        <f t="shared" si="4"/>
        <v>1.3063135512640994E-2</v>
      </c>
    </row>
    <row r="59" spans="1:5">
      <c r="A59">
        <f t="shared" si="3"/>
        <v>-43</v>
      </c>
      <c r="B59">
        <v>876</v>
      </c>
      <c r="C59">
        <v>4.5662099999999999</v>
      </c>
      <c r="D59">
        <f t="shared" si="0"/>
        <v>7.3913620391897106E-4</v>
      </c>
      <c r="E59">
        <f t="shared" si="4"/>
        <v>1.3802271716559966E-2</v>
      </c>
    </row>
    <row r="60" spans="1:5">
      <c r="A60">
        <f t="shared" si="3"/>
        <v>-42</v>
      </c>
      <c r="B60">
        <v>1193</v>
      </c>
      <c r="C60">
        <v>2.59849</v>
      </c>
      <c r="D60">
        <f t="shared" si="0"/>
        <v>1.0066090083051739E-3</v>
      </c>
      <c r="E60">
        <f t="shared" si="4"/>
        <v>1.480888072486514E-2</v>
      </c>
    </row>
    <row r="61" spans="1:5">
      <c r="A61">
        <f t="shared" si="3"/>
        <v>-41</v>
      </c>
      <c r="B61">
        <v>1229</v>
      </c>
      <c r="C61">
        <v>4.0683499999999997</v>
      </c>
      <c r="D61">
        <f t="shared" si="0"/>
        <v>1.0369844687402002E-3</v>
      </c>
      <c r="E61">
        <f t="shared" si="4"/>
        <v>1.5845865193605341E-2</v>
      </c>
    </row>
    <row r="62" spans="1:5">
      <c r="A62">
        <f t="shared" si="3"/>
        <v>-40</v>
      </c>
      <c r="B62">
        <v>1323</v>
      </c>
      <c r="C62">
        <v>2.9478499999999999</v>
      </c>
      <c r="D62">
        <f t="shared" si="0"/>
        <v>1.116298170987213E-3</v>
      </c>
      <c r="E62">
        <f t="shared" si="4"/>
        <v>1.6962163364592553E-2</v>
      </c>
    </row>
    <row r="63" spans="1:5">
      <c r="A63">
        <f t="shared" si="3"/>
        <v>-39</v>
      </c>
      <c r="B63">
        <v>1535</v>
      </c>
      <c r="C63">
        <v>4.2345300000000003</v>
      </c>
      <c r="D63">
        <f t="shared" si="0"/>
        <v>1.2951758824379231E-3</v>
      </c>
      <c r="E63">
        <f t="shared" si="4"/>
        <v>1.8257339247030477E-2</v>
      </c>
    </row>
    <row r="64" spans="1:5">
      <c r="A64">
        <f t="shared" si="3"/>
        <v>-38</v>
      </c>
      <c r="B64">
        <v>1634</v>
      </c>
      <c r="C64">
        <v>4.0391700000000004</v>
      </c>
      <c r="D64">
        <f t="shared" si="0"/>
        <v>1.3787083986342449E-3</v>
      </c>
      <c r="E64">
        <f t="shared" si="4"/>
        <v>1.9636047645664723E-2</v>
      </c>
    </row>
    <row r="65" spans="1:5">
      <c r="A65">
        <f t="shared" si="3"/>
        <v>-37</v>
      </c>
      <c r="B65">
        <v>1942</v>
      </c>
      <c r="C65">
        <v>3.8105000000000002</v>
      </c>
      <c r="D65">
        <f t="shared" si="0"/>
        <v>1.6385873379116914E-3</v>
      </c>
      <c r="E65">
        <f t="shared" si="4"/>
        <v>2.1274634983576415E-2</v>
      </c>
    </row>
    <row r="66" spans="1:5">
      <c r="A66">
        <f t="shared" si="3"/>
        <v>-36</v>
      </c>
      <c r="B66">
        <v>2334</v>
      </c>
      <c r="C66">
        <v>2.8277600000000001</v>
      </c>
      <c r="D66">
        <f t="shared" ref="D66:D129" si="5">100*B66/SUM(B$2:B$202)</f>
        <v>1.9693423515375324E-3</v>
      </c>
      <c r="E66">
        <f t="shared" si="4"/>
        <v>2.3243977335113949E-2</v>
      </c>
    </row>
    <row r="67" spans="1:5">
      <c r="A67">
        <f t="shared" ref="A67:A98" si="6">1+A66</f>
        <v>-35</v>
      </c>
      <c r="B67">
        <v>2883</v>
      </c>
      <c r="C67">
        <v>3.8848400000000001</v>
      </c>
      <c r="D67">
        <f t="shared" si="5"/>
        <v>2.432568123171682E-3</v>
      </c>
      <c r="E67">
        <f t="shared" ref="E67:E98" si="7">D67+E66</f>
        <v>2.567654545828563E-2</v>
      </c>
    </row>
    <row r="68" spans="1:5">
      <c r="A68">
        <f t="shared" si="6"/>
        <v>-34</v>
      </c>
      <c r="B68">
        <v>2658</v>
      </c>
      <c r="C68">
        <v>3.6493600000000002</v>
      </c>
      <c r="D68">
        <f t="shared" si="5"/>
        <v>2.2427214954527683E-3</v>
      </c>
      <c r="E68">
        <f t="shared" si="7"/>
        <v>2.7919266953738399E-2</v>
      </c>
    </row>
    <row r="69" spans="1:5">
      <c r="A69">
        <f t="shared" si="6"/>
        <v>-33</v>
      </c>
      <c r="B69">
        <v>3118</v>
      </c>
      <c r="C69">
        <v>3.5278999999999998</v>
      </c>
      <c r="D69">
        <f t="shared" si="5"/>
        <v>2.6308523787892143E-3</v>
      </c>
      <c r="E69">
        <f t="shared" si="7"/>
        <v>3.0550119332527614E-2</v>
      </c>
    </row>
    <row r="70" spans="1:5">
      <c r="A70">
        <f t="shared" si="6"/>
        <v>-32</v>
      </c>
      <c r="B70">
        <v>3691</v>
      </c>
      <c r="C70">
        <v>3.7930100000000002</v>
      </c>
      <c r="D70">
        <f t="shared" si="5"/>
        <v>3.1143284573800479E-3</v>
      </c>
      <c r="E70">
        <f t="shared" si="7"/>
        <v>3.366444778990766E-2</v>
      </c>
    </row>
    <row r="71" spans="1:5">
      <c r="A71">
        <f t="shared" si="6"/>
        <v>-31</v>
      </c>
      <c r="B71">
        <v>4039</v>
      </c>
      <c r="C71">
        <v>4.2089600000000003</v>
      </c>
      <c r="D71">
        <f t="shared" si="5"/>
        <v>3.4079579082519681E-3</v>
      </c>
      <c r="E71">
        <f t="shared" si="7"/>
        <v>3.707240569815963E-2</v>
      </c>
    </row>
    <row r="72" spans="1:5">
      <c r="A72">
        <f t="shared" si="6"/>
        <v>-30</v>
      </c>
      <c r="B72">
        <v>4682</v>
      </c>
      <c r="C72">
        <v>3.78044</v>
      </c>
      <c r="D72">
        <f t="shared" si="5"/>
        <v>3.9504973821331306E-3</v>
      </c>
      <c r="E72">
        <f t="shared" si="7"/>
        <v>4.1022903080292758E-2</v>
      </c>
    </row>
    <row r="73" spans="1:5">
      <c r="A73">
        <f t="shared" si="6"/>
        <v>-29</v>
      </c>
      <c r="B73">
        <v>4682</v>
      </c>
      <c r="C73">
        <v>4.5920500000000004</v>
      </c>
      <c r="D73">
        <f t="shared" si="5"/>
        <v>3.9504973821331306E-3</v>
      </c>
      <c r="E73">
        <f t="shared" si="7"/>
        <v>4.4973400462425886E-2</v>
      </c>
    </row>
    <row r="74" spans="1:5">
      <c r="A74">
        <f t="shared" si="6"/>
        <v>-28</v>
      </c>
      <c r="B74">
        <v>5670</v>
      </c>
      <c r="C74">
        <v>3.8800699999999999</v>
      </c>
      <c r="D74">
        <f t="shared" si="5"/>
        <v>4.7841350185166276E-3</v>
      </c>
      <c r="E74">
        <f t="shared" si="7"/>
        <v>4.9757535480942514E-2</v>
      </c>
    </row>
    <row r="75" spans="1:5">
      <c r="A75">
        <f t="shared" si="6"/>
        <v>-27</v>
      </c>
      <c r="B75">
        <v>6722</v>
      </c>
      <c r="C75">
        <v>3.4513500000000001</v>
      </c>
      <c r="D75">
        <f t="shared" si="5"/>
        <v>5.6717734734512823E-3</v>
      </c>
      <c r="E75">
        <f t="shared" si="7"/>
        <v>5.5429308954393797E-2</v>
      </c>
    </row>
    <row r="76" spans="1:5">
      <c r="A76">
        <f t="shared" si="6"/>
        <v>-26</v>
      </c>
      <c r="B76">
        <v>7525</v>
      </c>
      <c r="C76">
        <v>3.5614599999999998</v>
      </c>
      <c r="D76">
        <f t="shared" si="5"/>
        <v>6.3493149937103388E-3</v>
      </c>
      <c r="E76">
        <f t="shared" si="7"/>
        <v>6.1778623948104135E-2</v>
      </c>
    </row>
    <row r="77" spans="1:5">
      <c r="A77">
        <f t="shared" si="6"/>
        <v>-25</v>
      </c>
      <c r="B77">
        <v>7911</v>
      </c>
      <c r="C77">
        <v>3.9312299999999998</v>
      </c>
      <c r="D77">
        <f t="shared" si="5"/>
        <v>6.6750074305970087E-3</v>
      </c>
      <c r="E77">
        <f t="shared" si="7"/>
        <v>6.8453631378701141E-2</v>
      </c>
    </row>
    <row r="78" spans="1:5">
      <c r="A78">
        <f t="shared" si="6"/>
        <v>-24</v>
      </c>
      <c r="B78">
        <v>9248</v>
      </c>
      <c r="C78">
        <v>3.6981000000000002</v>
      </c>
      <c r="D78">
        <f t="shared" si="5"/>
        <v>7.8031182806422876E-3</v>
      </c>
      <c r="E78">
        <f t="shared" si="7"/>
        <v>7.6256749659343426E-2</v>
      </c>
    </row>
    <row r="79" spans="1:5">
      <c r="A79">
        <f t="shared" si="6"/>
        <v>-23</v>
      </c>
      <c r="B79">
        <v>10190</v>
      </c>
      <c r="C79">
        <v>3.7389600000000001</v>
      </c>
      <c r="D79">
        <f t="shared" si="5"/>
        <v>8.59794282869214E-3</v>
      </c>
      <c r="E79">
        <f t="shared" si="7"/>
        <v>8.4854692488035566E-2</v>
      </c>
    </row>
    <row r="80" spans="1:5">
      <c r="A80">
        <f t="shared" si="6"/>
        <v>-22</v>
      </c>
      <c r="B80">
        <v>12759</v>
      </c>
      <c r="C80">
        <v>3.4955699999999998</v>
      </c>
      <c r="D80">
        <f t="shared" si="5"/>
        <v>1.0765569435847205E-2</v>
      </c>
      <c r="E80">
        <f t="shared" si="7"/>
        <v>9.5620261923882774E-2</v>
      </c>
    </row>
    <row r="81" spans="1:5">
      <c r="A81">
        <f t="shared" si="6"/>
        <v>-21</v>
      </c>
      <c r="B81">
        <v>13978</v>
      </c>
      <c r="C81">
        <v>3.82029</v>
      </c>
      <c r="D81">
        <f t="shared" si="5"/>
        <v>1.1794116276688787E-2</v>
      </c>
      <c r="E81">
        <f t="shared" si="7"/>
        <v>0.10741437820057156</v>
      </c>
    </row>
    <row r="82" spans="1:5">
      <c r="A82">
        <f t="shared" si="6"/>
        <v>-20</v>
      </c>
      <c r="B82">
        <v>15169</v>
      </c>
      <c r="C82">
        <v>3.4544100000000002</v>
      </c>
      <c r="D82">
        <f t="shared" si="5"/>
        <v>1.2799037759414237E-2</v>
      </c>
      <c r="E82">
        <f t="shared" si="7"/>
        <v>0.1202134159599858</v>
      </c>
    </row>
    <row r="83" spans="1:5">
      <c r="A83">
        <f t="shared" si="6"/>
        <v>-19</v>
      </c>
      <c r="B83">
        <v>17277</v>
      </c>
      <c r="C83">
        <v>3.8721999999999999</v>
      </c>
      <c r="D83">
        <f t="shared" si="5"/>
        <v>1.4577689720442993E-2</v>
      </c>
      <c r="E83">
        <f t="shared" si="7"/>
        <v>0.13479110568042879</v>
      </c>
    </row>
    <row r="84" spans="1:5">
      <c r="A84">
        <f t="shared" si="6"/>
        <v>-18</v>
      </c>
      <c r="B84">
        <v>19796</v>
      </c>
      <c r="C84">
        <v>3.7179199999999999</v>
      </c>
      <c r="D84">
        <f t="shared" si="5"/>
        <v>1.6703128188104967E-2</v>
      </c>
      <c r="E84">
        <f t="shared" si="7"/>
        <v>0.15149423386853375</v>
      </c>
    </row>
    <row r="85" spans="1:5">
      <c r="A85">
        <f t="shared" si="6"/>
        <v>-17</v>
      </c>
      <c r="B85">
        <v>24953</v>
      </c>
      <c r="C85">
        <v>3.5707100000000001</v>
      </c>
      <c r="D85">
        <f t="shared" si="5"/>
        <v>2.105441289542247E-2</v>
      </c>
      <c r="E85">
        <f t="shared" si="7"/>
        <v>0.17254864676395623</v>
      </c>
    </row>
    <row r="86" spans="1:5">
      <c r="A86">
        <f t="shared" si="6"/>
        <v>-16</v>
      </c>
      <c r="B86">
        <v>28552</v>
      </c>
      <c r="C86">
        <v>3.5724300000000002</v>
      </c>
      <c r="D86">
        <f t="shared" si="5"/>
        <v>2.4091115176135228E-2</v>
      </c>
      <c r="E86">
        <f t="shared" si="7"/>
        <v>0.19663976194009147</v>
      </c>
    </row>
    <row r="87" spans="1:5">
      <c r="A87">
        <f t="shared" si="6"/>
        <v>-15</v>
      </c>
      <c r="B87">
        <v>32882</v>
      </c>
      <c r="C87">
        <v>3.8774999999999999</v>
      </c>
      <c r="D87">
        <f t="shared" si="5"/>
        <v>2.7744608056236991E-2</v>
      </c>
      <c r="E87">
        <f t="shared" si="7"/>
        <v>0.22438436999632846</v>
      </c>
    </row>
    <row r="88" spans="1:5">
      <c r="A88">
        <f t="shared" si="6"/>
        <v>-14</v>
      </c>
      <c r="B88">
        <v>39030</v>
      </c>
      <c r="C88">
        <v>3.81758</v>
      </c>
      <c r="D88">
        <f t="shared" si="5"/>
        <v>3.2932061688307576E-2</v>
      </c>
      <c r="E88">
        <f t="shared" si="7"/>
        <v>0.25731643168463603</v>
      </c>
    </row>
    <row r="89" spans="1:5">
      <c r="A89">
        <f t="shared" si="6"/>
        <v>-13</v>
      </c>
      <c r="B89">
        <v>46176</v>
      </c>
      <c r="C89">
        <v>3.98692</v>
      </c>
      <c r="D89">
        <f t="shared" si="5"/>
        <v>3.8961590584660283E-2</v>
      </c>
      <c r="E89">
        <f t="shared" si="7"/>
        <v>0.29627802226929634</v>
      </c>
    </row>
    <row r="90" spans="1:5">
      <c r="A90">
        <f t="shared" si="6"/>
        <v>-12</v>
      </c>
      <c r="B90">
        <v>61702</v>
      </c>
      <c r="C90">
        <v>3.9933900000000002</v>
      </c>
      <c r="D90">
        <f t="shared" si="5"/>
        <v>5.2061851660055197E-2</v>
      </c>
      <c r="E90">
        <f t="shared" si="7"/>
        <v>0.34833987392935151</v>
      </c>
    </row>
    <row r="91" spans="1:5">
      <c r="A91">
        <f t="shared" si="6"/>
        <v>-11</v>
      </c>
      <c r="B91">
        <v>72851</v>
      </c>
      <c r="C91">
        <v>4.3691899999999997</v>
      </c>
      <c r="D91">
        <f t="shared" si="5"/>
        <v>6.1468963004224837E-2</v>
      </c>
      <c r="E91">
        <f t="shared" si="7"/>
        <v>0.40980883693357634</v>
      </c>
    </row>
    <row r="92" spans="1:5">
      <c r="A92">
        <f t="shared" si="6"/>
        <v>-10</v>
      </c>
      <c r="B92">
        <v>92711</v>
      </c>
      <c r="C92">
        <v>4.4989299999999997</v>
      </c>
      <c r="D92">
        <f t="shared" si="5"/>
        <v>7.822609201088096E-2</v>
      </c>
      <c r="E92">
        <f t="shared" si="7"/>
        <v>0.48803492894445732</v>
      </c>
    </row>
    <row r="93" spans="1:5">
      <c r="A93">
        <f t="shared" si="6"/>
        <v>-9</v>
      </c>
      <c r="B93">
        <v>112023</v>
      </c>
      <c r="C93">
        <v>4.6677900000000001</v>
      </c>
      <c r="D93">
        <f t="shared" si="5"/>
        <v>9.4520839008692792E-2</v>
      </c>
      <c r="E93">
        <f t="shared" si="7"/>
        <v>0.58255576795315012</v>
      </c>
    </row>
    <row r="94" spans="1:5">
      <c r="A94">
        <f t="shared" si="6"/>
        <v>-8</v>
      </c>
      <c r="B94">
        <v>141427</v>
      </c>
      <c r="C94">
        <v>4.835</v>
      </c>
      <c r="D94">
        <f t="shared" si="5"/>
        <v>0.11933084008179032</v>
      </c>
      <c r="E94">
        <f t="shared" si="7"/>
        <v>0.70188660803494041</v>
      </c>
    </row>
    <row r="95" spans="1:5">
      <c r="A95">
        <f t="shared" si="6"/>
        <v>-7</v>
      </c>
      <c r="B95">
        <v>206430</v>
      </c>
      <c r="C95">
        <v>4.9983000000000004</v>
      </c>
      <c r="D95">
        <f t="shared" si="5"/>
        <v>0.17417795271117945</v>
      </c>
      <c r="E95">
        <f t="shared" si="7"/>
        <v>0.87606456074611982</v>
      </c>
    </row>
    <row r="96" spans="1:5">
      <c r="A96">
        <f t="shared" si="6"/>
        <v>-6</v>
      </c>
      <c r="B96">
        <v>284485</v>
      </c>
      <c r="C96">
        <v>5.2533500000000002</v>
      </c>
      <c r="D96">
        <f t="shared" si="5"/>
        <v>0.2400378572738453</v>
      </c>
      <c r="E96">
        <f t="shared" si="7"/>
        <v>1.116102418019965</v>
      </c>
    </row>
    <row r="97" spans="1:5">
      <c r="A97">
        <f t="shared" si="6"/>
        <v>-5</v>
      </c>
      <c r="B97">
        <v>377340</v>
      </c>
      <c r="C97">
        <v>5.4139499999999998</v>
      </c>
      <c r="D97">
        <f t="shared" si="5"/>
        <v>0.31838545112646638</v>
      </c>
      <c r="E97">
        <f t="shared" si="7"/>
        <v>1.4344878691464313</v>
      </c>
    </row>
    <row r="98" spans="1:5">
      <c r="A98">
        <f t="shared" si="6"/>
        <v>-4</v>
      </c>
      <c r="B98">
        <v>556954</v>
      </c>
      <c r="C98">
        <v>5.35717</v>
      </c>
      <c r="D98">
        <f t="shared" si="5"/>
        <v>0.46993706086471071</v>
      </c>
      <c r="E98">
        <f t="shared" si="7"/>
        <v>1.904424930011142</v>
      </c>
    </row>
    <row r="99" spans="1:5">
      <c r="A99">
        <f t="shared" ref="A99:A130" si="8">1+A98</f>
        <v>-3</v>
      </c>
      <c r="B99">
        <v>927062</v>
      </c>
      <c r="C99">
        <v>5.3282299999999996</v>
      </c>
      <c r="D99">
        <f t="shared" si="5"/>
        <v>0.78222041949489629</v>
      </c>
      <c r="E99">
        <f t="shared" ref="E99:E130" si="9">D99+E98</f>
        <v>2.6866453495060383</v>
      </c>
    </row>
    <row r="100" spans="1:5">
      <c r="A100">
        <f t="shared" si="8"/>
        <v>-2</v>
      </c>
      <c r="B100">
        <v>1630685</v>
      </c>
      <c r="C100">
        <v>5.2015000000000002</v>
      </c>
      <c r="D100">
        <f t="shared" si="5"/>
        <v>1.375911324985853</v>
      </c>
      <c r="E100">
        <f t="shared" si="9"/>
        <v>4.0625566744918915</v>
      </c>
    </row>
    <row r="101" spans="1:5">
      <c r="A101">
        <f t="shared" si="8"/>
        <v>-1</v>
      </c>
      <c r="B101">
        <v>2779626</v>
      </c>
      <c r="C101">
        <v>5.0483799999999999</v>
      </c>
      <c r="D101">
        <f t="shared" si="5"/>
        <v>2.3453449885325042</v>
      </c>
      <c r="E101">
        <f t="shared" si="9"/>
        <v>6.4079016630243952</v>
      </c>
    </row>
    <row r="102" spans="1:5">
      <c r="A102">
        <f t="shared" si="8"/>
        <v>0</v>
      </c>
      <c r="B102">
        <v>104499864</v>
      </c>
      <c r="C102">
        <v>22.288</v>
      </c>
      <c r="D102">
        <f t="shared" si="5"/>
        <v>88.173096788822761</v>
      </c>
      <c r="E102">
        <f t="shared" si="9"/>
        <v>94.580998451847151</v>
      </c>
    </row>
    <row r="103" spans="1:5">
      <c r="A103">
        <f t="shared" si="8"/>
        <v>1</v>
      </c>
      <c r="B103">
        <v>1059262</v>
      </c>
      <c r="C103">
        <v>46.360100000000003</v>
      </c>
      <c r="D103">
        <f t="shared" si="5"/>
        <v>0.89376586031463134</v>
      </c>
      <c r="E103">
        <f t="shared" si="9"/>
        <v>95.474764312161781</v>
      </c>
    </row>
    <row r="104" spans="1:5">
      <c r="A104">
        <f t="shared" si="8"/>
        <v>2</v>
      </c>
      <c r="B104">
        <v>761291</v>
      </c>
      <c r="C104">
        <v>48.189300000000003</v>
      </c>
      <c r="D104">
        <f t="shared" si="5"/>
        <v>0.6423490180567093</v>
      </c>
      <c r="E104">
        <f t="shared" si="9"/>
        <v>96.117113330218487</v>
      </c>
    </row>
    <row r="105" spans="1:5">
      <c r="A105">
        <f t="shared" si="8"/>
        <v>3</v>
      </c>
      <c r="B105">
        <v>566769</v>
      </c>
      <c r="C105">
        <v>50.658700000000003</v>
      </c>
      <c r="D105">
        <f t="shared" si="5"/>
        <v>0.47821859264720468</v>
      </c>
      <c r="E105">
        <f t="shared" si="9"/>
        <v>96.595331922865697</v>
      </c>
    </row>
    <row r="106" spans="1:5">
      <c r="A106">
        <f t="shared" si="8"/>
        <v>4</v>
      </c>
      <c r="B106">
        <v>451554</v>
      </c>
      <c r="C106">
        <v>52.067100000000003</v>
      </c>
      <c r="D106">
        <f t="shared" si="5"/>
        <v>0.38100446281327288</v>
      </c>
      <c r="E106">
        <f t="shared" si="9"/>
        <v>96.976336385678962</v>
      </c>
    </row>
    <row r="107" spans="1:5">
      <c r="A107">
        <f t="shared" si="8"/>
        <v>5</v>
      </c>
      <c r="B107">
        <v>367734</v>
      </c>
      <c r="C107">
        <v>53.329300000000003</v>
      </c>
      <c r="D107">
        <f t="shared" si="5"/>
        <v>0.31028026576705353</v>
      </c>
      <c r="E107">
        <f t="shared" si="9"/>
        <v>97.28661665144601</v>
      </c>
    </row>
    <row r="108" spans="1:5">
      <c r="A108">
        <f t="shared" si="8"/>
        <v>6</v>
      </c>
      <c r="B108">
        <v>309021</v>
      </c>
      <c r="C108">
        <v>54.143900000000002</v>
      </c>
      <c r="D108">
        <f t="shared" si="5"/>
        <v>0.26074042108589535</v>
      </c>
      <c r="E108">
        <f t="shared" si="9"/>
        <v>97.547357072531909</v>
      </c>
    </row>
    <row r="109" spans="1:5">
      <c r="A109">
        <f t="shared" si="8"/>
        <v>7</v>
      </c>
      <c r="B109">
        <v>263395</v>
      </c>
      <c r="C109">
        <v>55.9893</v>
      </c>
      <c r="D109">
        <f t="shared" si="5"/>
        <v>0.22224290003565911</v>
      </c>
      <c r="E109">
        <f t="shared" si="9"/>
        <v>97.769599972567562</v>
      </c>
    </row>
    <row r="110" spans="1:5">
      <c r="A110">
        <f t="shared" si="8"/>
        <v>8</v>
      </c>
      <c r="B110">
        <v>229171</v>
      </c>
      <c r="C110">
        <v>57.148600000000002</v>
      </c>
      <c r="D110">
        <f t="shared" si="5"/>
        <v>0.19336596231542752</v>
      </c>
      <c r="E110">
        <f t="shared" si="9"/>
        <v>97.962965934882988</v>
      </c>
    </row>
    <row r="111" spans="1:5">
      <c r="A111">
        <f t="shared" si="8"/>
        <v>9</v>
      </c>
      <c r="B111">
        <v>203054</v>
      </c>
      <c r="C111">
        <v>57.5182</v>
      </c>
      <c r="D111">
        <f t="shared" si="5"/>
        <v>0.17132940953260586</v>
      </c>
      <c r="E111">
        <f t="shared" si="9"/>
        <v>98.134295344415591</v>
      </c>
    </row>
    <row r="112" spans="1:5">
      <c r="A112">
        <f t="shared" si="8"/>
        <v>10</v>
      </c>
      <c r="B112">
        <v>176926</v>
      </c>
      <c r="C112">
        <v>58.923499999999997</v>
      </c>
      <c r="D112">
        <f t="shared" si="5"/>
        <v>0.14928357535909573</v>
      </c>
      <c r="E112">
        <f t="shared" si="9"/>
        <v>98.283578919774683</v>
      </c>
    </row>
    <row r="113" spans="1:5">
      <c r="A113">
        <f t="shared" si="8"/>
        <v>11</v>
      </c>
      <c r="B113">
        <v>158623</v>
      </c>
      <c r="C113">
        <v>59.192599999999999</v>
      </c>
      <c r="D113">
        <f t="shared" si="5"/>
        <v>0.1338401850162545</v>
      </c>
      <c r="E113">
        <f t="shared" si="9"/>
        <v>98.417419104790937</v>
      </c>
    </row>
    <row r="114" spans="1:5">
      <c r="A114">
        <f t="shared" si="8"/>
        <v>12</v>
      </c>
      <c r="B114">
        <v>142593</v>
      </c>
      <c r="C114">
        <v>60.284199999999998</v>
      </c>
      <c r="D114">
        <f t="shared" si="5"/>
        <v>0.12031466749476923</v>
      </c>
      <c r="E114">
        <f t="shared" si="9"/>
        <v>98.537733772285705</v>
      </c>
    </row>
    <row r="115" spans="1:5">
      <c r="A115">
        <f t="shared" si="8"/>
        <v>13</v>
      </c>
      <c r="B115">
        <v>128601</v>
      </c>
      <c r="C115">
        <v>61.163600000000002</v>
      </c>
      <c r="D115">
        <f t="shared" si="5"/>
        <v>0.10850873853902236</v>
      </c>
      <c r="E115">
        <f t="shared" si="9"/>
        <v>98.64624251082472</v>
      </c>
    </row>
    <row r="116" spans="1:5">
      <c r="A116">
        <f t="shared" si="8"/>
        <v>14</v>
      </c>
      <c r="B116">
        <v>117536</v>
      </c>
      <c r="C116">
        <v>61.093600000000002</v>
      </c>
      <c r="D116">
        <f t="shared" si="5"/>
        <v>9.9172503269201115E-2</v>
      </c>
      <c r="E116">
        <f t="shared" si="9"/>
        <v>98.745415014093922</v>
      </c>
    </row>
    <row r="117" spans="1:5">
      <c r="A117">
        <f t="shared" si="8"/>
        <v>15</v>
      </c>
      <c r="B117">
        <v>106821</v>
      </c>
      <c r="C117">
        <v>61.659199999999998</v>
      </c>
      <c r="D117">
        <f t="shared" si="5"/>
        <v>9.0131584975831514E-2</v>
      </c>
      <c r="E117">
        <f t="shared" si="9"/>
        <v>98.835546599069758</v>
      </c>
    </row>
    <row r="118" spans="1:5">
      <c r="A118">
        <f t="shared" si="8"/>
        <v>16</v>
      </c>
      <c r="B118">
        <v>96400</v>
      </c>
      <c r="C118">
        <v>62.705399999999997</v>
      </c>
      <c r="D118">
        <f t="shared" si="5"/>
        <v>8.1338732942681291E-2</v>
      </c>
      <c r="E118">
        <f t="shared" si="9"/>
        <v>98.916885332012441</v>
      </c>
    </row>
    <row r="119" spans="1:5">
      <c r="A119">
        <f t="shared" si="8"/>
        <v>17</v>
      </c>
      <c r="B119">
        <v>89837</v>
      </c>
      <c r="C119">
        <v>62.829300000000003</v>
      </c>
      <c r="D119">
        <f t="shared" si="5"/>
        <v>7.5801117752818031E-2</v>
      </c>
      <c r="E119">
        <f t="shared" si="9"/>
        <v>98.992686449765259</v>
      </c>
    </row>
    <row r="120" spans="1:5">
      <c r="A120">
        <f t="shared" si="8"/>
        <v>18</v>
      </c>
      <c r="B120">
        <v>83019</v>
      </c>
      <c r="C120">
        <v>63.202399999999997</v>
      </c>
      <c r="D120">
        <f t="shared" si="5"/>
        <v>7.0048343051540021E-2</v>
      </c>
      <c r="E120">
        <f t="shared" si="9"/>
        <v>99.062734792816798</v>
      </c>
    </row>
    <row r="121" spans="1:5">
      <c r="A121">
        <f t="shared" si="8"/>
        <v>19</v>
      </c>
      <c r="B121">
        <v>76190</v>
      </c>
      <c r="C121">
        <v>64.033299999999997</v>
      </c>
      <c r="D121">
        <f t="shared" si="5"/>
        <v>6.4286286959573516E-2</v>
      </c>
      <c r="E121">
        <f t="shared" si="9"/>
        <v>99.12702107977637</v>
      </c>
    </row>
    <row r="122" spans="1:5">
      <c r="A122">
        <f t="shared" si="8"/>
        <v>20</v>
      </c>
      <c r="B122">
        <v>70768</v>
      </c>
      <c r="C122">
        <v>64.926199999999994</v>
      </c>
      <c r="D122">
        <f t="shared" si="5"/>
        <v>5.971140511294263E-2</v>
      </c>
      <c r="E122">
        <f t="shared" si="9"/>
        <v>99.186732484889319</v>
      </c>
    </row>
    <row r="123" spans="1:5">
      <c r="A123">
        <f t="shared" si="8"/>
        <v>21</v>
      </c>
      <c r="B123">
        <v>64455</v>
      </c>
      <c r="C123">
        <v>65.673699999999997</v>
      </c>
      <c r="D123">
        <f t="shared" si="5"/>
        <v>5.4384730620544837E-2</v>
      </c>
      <c r="E123">
        <f t="shared" si="9"/>
        <v>99.24111721550986</v>
      </c>
    </row>
    <row r="124" spans="1:5">
      <c r="A124">
        <f t="shared" si="8"/>
        <v>22</v>
      </c>
      <c r="B124">
        <v>59312</v>
      </c>
      <c r="C124">
        <v>66.600399999999993</v>
      </c>
      <c r="D124">
        <f t="shared" si="5"/>
        <v>5.0045258592285397E-2</v>
      </c>
      <c r="E124">
        <f t="shared" si="9"/>
        <v>99.291162474102151</v>
      </c>
    </row>
    <row r="125" spans="1:5">
      <c r="A125">
        <f t="shared" si="8"/>
        <v>23</v>
      </c>
      <c r="B125">
        <v>55393</v>
      </c>
      <c r="C125">
        <v>67.452600000000004</v>
      </c>
      <c r="D125">
        <f t="shared" si="5"/>
        <v>4.6738552218816849E-2</v>
      </c>
      <c r="E125">
        <f t="shared" si="9"/>
        <v>99.337901026320964</v>
      </c>
    </row>
    <row r="126" spans="1:5">
      <c r="A126">
        <f t="shared" si="8"/>
        <v>24</v>
      </c>
      <c r="B126">
        <v>51382</v>
      </c>
      <c r="C126">
        <v>67.293999999999997</v>
      </c>
      <c r="D126">
        <f t="shared" si="5"/>
        <v>4.3354219668681013E-2</v>
      </c>
      <c r="E126">
        <f t="shared" si="9"/>
        <v>99.381255245989649</v>
      </c>
    </row>
    <row r="127" spans="1:5">
      <c r="A127">
        <f t="shared" si="8"/>
        <v>25</v>
      </c>
      <c r="B127">
        <v>47719</v>
      </c>
      <c r="C127">
        <v>67.811599999999999</v>
      </c>
      <c r="D127">
        <f t="shared" si="5"/>
        <v>4.0263516569417096E-2</v>
      </c>
      <c r="E127">
        <f t="shared" si="9"/>
        <v>99.42151876255906</v>
      </c>
    </row>
    <row r="128" spans="1:5">
      <c r="A128">
        <f t="shared" si="8"/>
        <v>26</v>
      </c>
      <c r="B128">
        <v>44359</v>
      </c>
      <c r="C128">
        <v>68.3108</v>
      </c>
      <c r="D128">
        <f t="shared" si="5"/>
        <v>3.7428473595481321E-2</v>
      </c>
      <c r="E128">
        <f t="shared" si="9"/>
        <v>99.458947236154543</v>
      </c>
    </row>
    <row r="129" spans="1:5">
      <c r="A129">
        <f t="shared" si="8"/>
        <v>27</v>
      </c>
      <c r="B129">
        <v>41109</v>
      </c>
      <c r="C129">
        <v>69.34</v>
      </c>
      <c r="D129">
        <f t="shared" si="5"/>
        <v>3.4686244528430339E-2</v>
      </c>
      <c r="E129">
        <f t="shared" si="9"/>
        <v>99.493633480682973</v>
      </c>
    </row>
    <row r="130" spans="1:5">
      <c r="A130">
        <f t="shared" si="8"/>
        <v>28</v>
      </c>
      <c r="B130">
        <v>38505</v>
      </c>
      <c r="C130">
        <v>69.733800000000002</v>
      </c>
      <c r="D130">
        <f t="shared" ref="D130:D193" si="10">100*B130/SUM(B$2:B$202)</f>
        <v>3.2489086223630115E-2</v>
      </c>
      <c r="E130">
        <f t="shared" si="9"/>
        <v>99.526122566906608</v>
      </c>
    </row>
    <row r="131" spans="1:5">
      <c r="A131">
        <f t="shared" ref="A131:A162" si="11">1+A130</f>
        <v>29</v>
      </c>
      <c r="B131">
        <v>36101</v>
      </c>
      <c r="C131">
        <v>69.804199999999994</v>
      </c>
      <c r="D131">
        <f t="shared" si="10"/>
        <v>3.0460680476802251E-2</v>
      </c>
      <c r="E131">
        <f t="shared" ref="E131:E162" si="12">D131+E130</f>
        <v>99.556583247383415</v>
      </c>
    </row>
    <row r="132" spans="1:5">
      <c r="A132">
        <f t="shared" si="11"/>
        <v>30</v>
      </c>
      <c r="B132">
        <v>33507</v>
      </c>
      <c r="C132">
        <v>70.459900000000005</v>
      </c>
      <c r="D132">
        <f t="shared" si="10"/>
        <v>2.8271959799900642E-2</v>
      </c>
      <c r="E132">
        <f t="shared" si="12"/>
        <v>99.58485520718331</v>
      </c>
    </row>
    <row r="133" spans="1:5">
      <c r="A133">
        <f t="shared" si="11"/>
        <v>31</v>
      </c>
      <c r="B133">
        <v>30731</v>
      </c>
      <c r="C133">
        <v>71.016199999999998</v>
      </c>
      <c r="D133">
        <f t="shared" si="10"/>
        <v>2.5929674295244176E-2</v>
      </c>
      <c r="E133">
        <f t="shared" si="12"/>
        <v>99.610784881478551</v>
      </c>
    </row>
    <row r="134" spans="1:5">
      <c r="A134">
        <f t="shared" si="11"/>
        <v>32</v>
      </c>
      <c r="B134">
        <v>29268</v>
      </c>
      <c r="C134">
        <v>70.5959</v>
      </c>
      <c r="D134">
        <f t="shared" si="10"/>
        <v>2.4695249333676304E-2</v>
      </c>
      <c r="E134">
        <f t="shared" si="12"/>
        <v>99.635480130812226</v>
      </c>
    </row>
    <row r="135" spans="1:5">
      <c r="A135">
        <f t="shared" si="11"/>
        <v>33</v>
      </c>
      <c r="B135">
        <v>26741</v>
      </c>
      <c r="C135">
        <v>71.807299999999998</v>
      </c>
      <c r="D135">
        <f t="shared" si="10"/>
        <v>2.256306076369544E-2</v>
      </c>
      <c r="E135">
        <f t="shared" si="12"/>
        <v>99.658043191575928</v>
      </c>
    </row>
    <row r="136" spans="1:5">
      <c r="A136">
        <f t="shared" si="11"/>
        <v>34</v>
      </c>
      <c r="B136">
        <v>25138</v>
      </c>
      <c r="C136">
        <v>71.8673</v>
      </c>
      <c r="D136">
        <f t="shared" si="10"/>
        <v>2.1210509011546912E-2</v>
      </c>
      <c r="E136">
        <f t="shared" si="12"/>
        <v>99.679253700587481</v>
      </c>
    </row>
    <row r="137" spans="1:5">
      <c r="A137">
        <f t="shared" si="11"/>
        <v>35</v>
      </c>
      <c r="B137">
        <v>23239</v>
      </c>
      <c r="C137">
        <v>72.627899999999997</v>
      </c>
      <c r="D137">
        <f t="shared" si="10"/>
        <v>1.9608203473599279E-2</v>
      </c>
      <c r="E137">
        <f t="shared" si="12"/>
        <v>99.698861904061076</v>
      </c>
    </row>
    <row r="138" spans="1:5">
      <c r="A138">
        <f t="shared" si="11"/>
        <v>36</v>
      </c>
      <c r="B138">
        <v>22260</v>
      </c>
      <c r="C138">
        <v>72.749300000000005</v>
      </c>
      <c r="D138">
        <f t="shared" si="10"/>
        <v>1.8782159702324538E-2</v>
      </c>
      <c r="E138">
        <f t="shared" si="12"/>
        <v>99.717644063763402</v>
      </c>
    </row>
    <row r="139" spans="1:5">
      <c r="A139">
        <f t="shared" si="11"/>
        <v>37</v>
      </c>
      <c r="B139">
        <v>20387</v>
      </c>
      <c r="C139">
        <v>72.904300000000006</v>
      </c>
      <c r="D139">
        <f t="shared" si="10"/>
        <v>1.7201791996913313E-2</v>
      </c>
      <c r="E139">
        <f t="shared" si="12"/>
        <v>99.734845855760312</v>
      </c>
    </row>
    <row r="140" spans="1:5">
      <c r="A140">
        <f t="shared" si="11"/>
        <v>38</v>
      </c>
      <c r="B140">
        <v>19020</v>
      </c>
      <c r="C140">
        <v>73.843299999999999</v>
      </c>
      <c r="D140">
        <f t="shared" si="10"/>
        <v>1.6048368263172179E-2</v>
      </c>
      <c r="E140">
        <f t="shared" si="12"/>
        <v>99.750894224023483</v>
      </c>
    </row>
    <row r="141" spans="1:5">
      <c r="A141">
        <f t="shared" si="11"/>
        <v>39</v>
      </c>
      <c r="B141">
        <v>18152</v>
      </c>
      <c r="C141">
        <v>73.204099999999997</v>
      </c>
      <c r="D141">
        <f t="shared" si="10"/>
        <v>1.5315982161572103E-2</v>
      </c>
      <c r="E141">
        <f t="shared" si="12"/>
        <v>99.76621020618505</v>
      </c>
    </row>
    <row r="142" spans="1:5">
      <c r="A142">
        <f t="shared" si="11"/>
        <v>40</v>
      </c>
      <c r="B142">
        <v>16569</v>
      </c>
      <c r="C142">
        <v>72.7624</v>
      </c>
      <c r="D142">
        <f t="shared" si="10"/>
        <v>1.3980305665220811E-2</v>
      </c>
      <c r="E142">
        <f t="shared" si="12"/>
        <v>99.780190511850265</v>
      </c>
    </row>
    <row r="143" spans="1:5">
      <c r="A143">
        <f t="shared" si="11"/>
        <v>41</v>
      </c>
      <c r="B143">
        <v>15840</v>
      </c>
      <c r="C143">
        <v>73.5732</v>
      </c>
      <c r="D143">
        <f t="shared" si="10"/>
        <v>1.336520259141153E-2</v>
      </c>
      <c r="E143">
        <f t="shared" si="12"/>
        <v>99.79355571444168</v>
      </c>
    </row>
    <row r="144" spans="1:5">
      <c r="A144">
        <f t="shared" si="11"/>
        <v>42</v>
      </c>
      <c r="B144">
        <v>14608</v>
      </c>
      <c r="C144">
        <v>73.966300000000004</v>
      </c>
      <c r="D144">
        <f t="shared" si="10"/>
        <v>1.2325686834301745E-2</v>
      </c>
      <c r="E144">
        <f t="shared" si="12"/>
        <v>99.805881401275983</v>
      </c>
    </row>
    <row r="145" spans="1:5">
      <c r="A145">
        <f t="shared" si="11"/>
        <v>43</v>
      </c>
      <c r="B145">
        <v>13476</v>
      </c>
      <c r="C145">
        <v>75.764300000000006</v>
      </c>
      <c r="D145">
        <f t="shared" si="10"/>
        <v>1.1370547356178144E-2</v>
      </c>
      <c r="E145">
        <f t="shared" si="12"/>
        <v>99.817251948632162</v>
      </c>
    </row>
    <row r="146" spans="1:5">
      <c r="A146">
        <f t="shared" si="11"/>
        <v>44</v>
      </c>
      <c r="B146">
        <v>12809</v>
      </c>
      <c r="C146">
        <v>75.329800000000006</v>
      </c>
      <c r="D146">
        <f t="shared" si="10"/>
        <v>1.0807757575340297E-2</v>
      </c>
      <c r="E146">
        <f t="shared" si="12"/>
        <v>99.828059706207497</v>
      </c>
    </row>
    <row r="147" spans="1:5">
      <c r="A147">
        <f t="shared" si="11"/>
        <v>45</v>
      </c>
      <c r="B147">
        <v>12304</v>
      </c>
      <c r="C147">
        <v>74.292900000000003</v>
      </c>
      <c r="D147">
        <f t="shared" si="10"/>
        <v>1.0381657366460068E-2</v>
      </c>
      <c r="E147">
        <f t="shared" si="12"/>
        <v>99.838441363573963</v>
      </c>
    </row>
    <row r="148" spans="1:5">
      <c r="A148">
        <f t="shared" si="11"/>
        <v>46</v>
      </c>
      <c r="B148">
        <v>11121</v>
      </c>
      <c r="C148">
        <v>75.883499999999998</v>
      </c>
      <c r="D148">
        <f t="shared" si="10"/>
        <v>9.3834859860535118E-3</v>
      </c>
      <c r="E148">
        <f t="shared" si="12"/>
        <v>99.847824849560013</v>
      </c>
    </row>
    <row r="149" spans="1:5">
      <c r="A149">
        <f t="shared" si="11"/>
        <v>47</v>
      </c>
      <c r="B149">
        <v>10388</v>
      </c>
      <c r="C149">
        <v>75.308000000000007</v>
      </c>
      <c r="D149">
        <f t="shared" si="10"/>
        <v>8.7650078610847851E-3</v>
      </c>
      <c r="E149">
        <f t="shared" si="12"/>
        <v>99.856589857421099</v>
      </c>
    </row>
    <row r="150" spans="1:5">
      <c r="A150">
        <f t="shared" si="11"/>
        <v>48</v>
      </c>
      <c r="B150">
        <v>9903</v>
      </c>
      <c r="C150">
        <v>75.179199999999994</v>
      </c>
      <c r="D150">
        <f t="shared" si="10"/>
        <v>8.3557829080017926E-3</v>
      </c>
      <c r="E150">
        <f t="shared" si="12"/>
        <v>99.864945640329097</v>
      </c>
    </row>
    <row r="151" spans="1:5">
      <c r="A151">
        <f t="shared" si="11"/>
        <v>49</v>
      </c>
      <c r="B151">
        <v>9170</v>
      </c>
      <c r="C151">
        <v>76.314099999999996</v>
      </c>
      <c r="D151">
        <f t="shared" si="10"/>
        <v>7.7373047830330641E-3</v>
      </c>
      <c r="E151">
        <f t="shared" si="12"/>
        <v>99.872682945112132</v>
      </c>
    </row>
    <row r="152" spans="1:5">
      <c r="A152">
        <f t="shared" si="11"/>
        <v>50</v>
      </c>
      <c r="B152">
        <v>8633</v>
      </c>
      <c r="C152">
        <v>77.389099999999999</v>
      </c>
      <c r="D152">
        <f t="shared" si="10"/>
        <v>7.2842041648772567E-3</v>
      </c>
      <c r="E152">
        <f t="shared" si="12"/>
        <v>99.879967149277007</v>
      </c>
    </row>
    <row r="153" spans="1:5">
      <c r="A153">
        <f t="shared" si="11"/>
        <v>51</v>
      </c>
      <c r="B153">
        <v>7775</v>
      </c>
      <c r="C153">
        <v>77.556299999999993</v>
      </c>
      <c r="D153">
        <f t="shared" si="10"/>
        <v>6.560255691175799E-3</v>
      </c>
      <c r="E153">
        <f t="shared" si="12"/>
        <v>99.886527404968177</v>
      </c>
    </row>
    <row r="154" spans="1:5">
      <c r="A154">
        <f t="shared" si="11"/>
        <v>52</v>
      </c>
      <c r="B154">
        <v>7323</v>
      </c>
      <c r="C154">
        <v>78.369500000000002</v>
      </c>
      <c r="D154">
        <f t="shared" si="10"/>
        <v>6.1788749101582474E-3</v>
      </c>
      <c r="E154">
        <f t="shared" si="12"/>
        <v>99.89270627987834</v>
      </c>
    </row>
    <row r="155" spans="1:5">
      <c r="A155">
        <f t="shared" si="11"/>
        <v>53</v>
      </c>
      <c r="B155">
        <v>6995</v>
      </c>
      <c r="C155">
        <v>77.698400000000007</v>
      </c>
      <c r="D155">
        <f t="shared" si="10"/>
        <v>5.9021207150835647E-3</v>
      </c>
      <c r="E155">
        <f t="shared" si="12"/>
        <v>99.898608400593417</v>
      </c>
    </row>
    <row r="156" spans="1:5">
      <c r="A156">
        <f t="shared" si="11"/>
        <v>54</v>
      </c>
      <c r="B156">
        <v>6786</v>
      </c>
      <c r="C156">
        <v>79.133499999999998</v>
      </c>
      <c r="D156">
        <f t="shared" si="10"/>
        <v>5.7257742920024399E-3</v>
      </c>
      <c r="E156">
        <f t="shared" si="12"/>
        <v>99.90433417488542</v>
      </c>
    </row>
    <row r="157" spans="1:5">
      <c r="A157">
        <f t="shared" si="11"/>
        <v>55</v>
      </c>
      <c r="B157">
        <v>6388</v>
      </c>
      <c r="C157">
        <v>77.958699999999993</v>
      </c>
      <c r="D157">
        <f t="shared" si="10"/>
        <v>5.3899567016374283E-3</v>
      </c>
      <c r="E157">
        <f t="shared" si="12"/>
        <v>99.909724131587055</v>
      </c>
    </row>
    <row r="158" spans="1:5">
      <c r="A158">
        <f t="shared" si="11"/>
        <v>56</v>
      </c>
      <c r="B158">
        <v>5912</v>
      </c>
      <c r="C158">
        <v>78.805800000000005</v>
      </c>
      <c r="D158">
        <f t="shared" si="10"/>
        <v>4.9883256136631924E-3</v>
      </c>
      <c r="E158">
        <f t="shared" si="12"/>
        <v>99.914712457200721</v>
      </c>
    </row>
    <row r="159" spans="1:5">
      <c r="A159">
        <f t="shared" si="11"/>
        <v>57</v>
      </c>
      <c r="B159">
        <v>5622</v>
      </c>
      <c r="C159">
        <v>80.007099999999994</v>
      </c>
      <c r="D159">
        <f t="shared" si="10"/>
        <v>4.7436344046032589E-3</v>
      </c>
      <c r="E159">
        <f t="shared" si="12"/>
        <v>99.919456091605326</v>
      </c>
    </row>
    <row r="160" spans="1:5">
      <c r="A160">
        <f t="shared" si="11"/>
        <v>58</v>
      </c>
      <c r="B160">
        <v>5386</v>
      </c>
      <c r="C160">
        <v>79.001099999999994</v>
      </c>
      <c r="D160">
        <f t="shared" si="10"/>
        <v>4.5445063861958655E-3</v>
      </c>
      <c r="E160">
        <f t="shared" si="12"/>
        <v>99.924000597991522</v>
      </c>
    </row>
    <row r="161" spans="1:5">
      <c r="A161">
        <f t="shared" si="11"/>
        <v>59</v>
      </c>
      <c r="B161">
        <v>5046</v>
      </c>
      <c r="C161">
        <v>79.786000000000001</v>
      </c>
      <c r="D161">
        <f t="shared" si="10"/>
        <v>4.2576270376428402E-3</v>
      </c>
      <c r="E161">
        <f t="shared" si="12"/>
        <v>99.928258225029168</v>
      </c>
    </row>
    <row r="162" spans="1:5">
      <c r="A162">
        <f t="shared" si="11"/>
        <v>60</v>
      </c>
      <c r="B162">
        <v>5037</v>
      </c>
      <c r="C162">
        <v>79.015299999999996</v>
      </c>
      <c r="D162">
        <f t="shared" si="10"/>
        <v>4.2500331725340837E-3</v>
      </c>
      <c r="E162">
        <f t="shared" si="12"/>
        <v>99.932508258201707</v>
      </c>
    </row>
    <row r="163" spans="1:5">
      <c r="A163">
        <f t="shared" ref="A163:A194" si="13">1+A162</f>
        <v>61</v>
      </c>
      <c r="B163">
        <v>4947</v>
      </c>
      <c r="C163">
        <v>78.168599999999998</v>
      </c>
      <c r="D163">
        <f t="shared" si="10"/>
        <v>4.1740945214465176E-3</v>
      </c>
      <c r="E163">
        <f t="shared" ref="E163:E194" si="14">D163+E162</f>
        <v>99.936682352723153</v>
      </c>
    </row>
    <row r="164" spans="1:5">
      <c r="A164">
        <f t="shared" si="13"/>
        <v>62</v>
      </c>
      <c r="B164">
        <v>4296</v>
      </c>
      <c r="C164">
        <v>80.516800000000003</v>
      </c>
      <c r="D164">
        <f t="shared" si="10"/>
        <v>3.6248049452464607E-3</v>
      </c>
      <c r="E164">
        <f t="shared" si="14"/>
        <v>99.9403071576684</v>
      </c>
    </row>
    <row r="165" spans="1:5">
      <c r="A165">
        <f t="shared" si="13"/>
        <v>63</v>
      </c>
      <c r="B165">
        <v>4259</v>
      </c>
      <c r="C165">
        <v>81.638900000000007</v>
      </c>
      <c r="D165">
        <f t="shared" si="10"/>
        <v>3.5935857220215726E-3</v>
      </c>
      <c r="E165">
        <f t="shared" si="14"/>
        <v>99.943900743390415</v>
      </c>
    </row>
    <row r="166" spans="1:5">
      <c r="A166">
        <f t="shared" si="13"/>
        <v>64</v>
      </c>
      <c r="B166">
        <v>3962</v>
      </c>
      <c r="C166">
        <v>82.306899999999999</v>
      </c>
      <c r="D166">
        <f t="shared" si="10"/>
        <v>3.3429881734326062E-3</v>
      </c>
      <c r="E166">
        <f t="shared" si="14"/>
        <v>99.947243731563844</v>
      </c>
    </row>
    <row r="167" spans="1:5">
      <c r="A167">
        <f t="shared" si="13"/>
        <v>65</v>
      </c>
      <c r="B167">
        <v>3901</v>
      </c>
      <c r="C167">
        <v>80.774199999999993</v>
      </c>
      <c r="D167">
        <f t="shared" si="10"/>
        <v>3.2915186432510343E-3</v>
      </c>
      <c r="E167">
        <f t="shared" si="14"/>
        <v>99.950535250207096</v>
      </c>
    </row>
    <row r="168" spans="1:5">
      <c r="A168">
        <f t="shared" si="13"/>
        <v>66</v>
      </c>
      <c r="B168">
        <v>3618</v>
      </c>
      <c r="C168">
        <v>81.923699999999997</v>
      </c>
      <c r="D168">
        <f t="shared" si="10"/>
        <v>3.0527337737201337E-3</v>
      </c>
      <c r="E168">
        <f t="shared" si="14"/>
        <v>99.95358798398081</v>
      </c>
    </row>
    <row r="169" spans="1:5">
      <c r="A169">
        <f t="shared" si="13"/>
        <v>67</v>
      </c>
      <c r="B169">
        <v>3389</v>
      </c>
      <c r="C169">
        <v>82.472700000000003</v>
      </c>
      <c r="D169">
        <f t="shared" si="10"/>
        <v>2.8595120948417727E-3</v>
      </c>
      <c r="E169">
        <f t="shared" si="14"/>
        <v>99.956447496075654</v>
      </c>
    </row>
    <row r="170" spans="1:5">
      <c r="A170">
        <f t="shared" si="13"/>
        <v>68</v>
      </c>
      <c r="B170">
        <v>3240</v>
      </c>
      <c r="C170">
        <v>82.962999999999994</v>
      </c>
      <c r="D170">
        <f t="shared" si="10"/>
        <v>2.7337914391523587E-3</v>
      </c>
      <c r="E170">
        <f t="shared" si="14"/>
        <v>99.959181287514809</v>
      </c>
    </row>
    <row r="171" spans="1:5">
      <c r="A171">
        <f t="shared" si="13"/>
        <v>69</v>
      </c>
      <c r="B171">
        <v>3046</v>
      </c>
      <c r="C171">
        <v>82.567300000000003</v>
      </c>
      <c r="D171">
        <f t="shared" si="10"/>
        <v>2.5701014579191618E-3</v>
      </c>
      <c r="E171">
        <f t="shared" si="14"/>
        <v>99.961751388972729</v>
      </c>
    </row>
    <row r="172" spans="1:5">
      <c r="A172">
        <f t="shared" si="13"/>
        <v>70</v>
      </c>
      <c r="B172">
        <v>2851</v>
      </c>
      <c r="C172">
        <v>81.2697</v>
      </c>
      <c r="D172">
        <f t="shared" si="10"/>
        <v>2.4055677138961032E-3</v>
      </c>
      <c r="E172">
        <f t="shared" si="14"/>
        <v>99.964156956686622</v>
      </c>
    </row>
    <row r="173" spans="1:5">
      <c r="A173">
        <f t="shared" si="13"/>
        <v>71</v>
      </c>
      <c r="B173">
        <v>2724</v>
      </c>
      <c r="C173">
        <v>79.809100000000001</v>
      </c>
      <c r="D173">
        <f t="shared" si="10"/>
        <v>2.2984098395836495E-3</v>
      </c>
      <c r="E173">
        <f t="shared" si="14"/>
        <v>99.966455366526205</v>
      </c>
    </row>
    <row r="174" spans="1:5">
      <c r="A174">
        <f t="shared" si="13"/>
        <v>72</v>
      </c>
      <c r="B174">
        <v>2467</v>
      </c>
      <c r="C174">
        <v>82.691500000000005</v>
      </c>
      <c r="D174">
        <f t="shared" si="10"/>
        <v>2.0815628025891569E-3</v>
      </c>
      <c r="E174">
        <f t="shared" si="14"/>
        <v>99.968536929328792</v>
      </c>
    </row>
    <row r="175" spans="1:5">
      <c r="A175">
        <f t="shared" si="13"/>
        <v>73</v>
      </c>
      <c r="B175">
        <v>2308</v>
      </c>
      <c r="C175">
        <v>82.972300000000004</v>
      </c>
      <c r="D175">
        <f t="shared" si="10"/>
        <v>1.9474045190011246E-3</v>
      </c>
      <c r="E175">
        <f t="shared" si="14"/>
        <v>99.970484333847793</v>
      </c>
    </row>
    <row r="176" spans="1:5">
      <c r="A176">
        <f t="shared" si="13"/>
        <v>74</v>
      </c>
      <c r="B176">
        <v>2128</v>
      </c>
      <c r="C176">
        <v>83.552599999999998</v>
      </c>
      <c r="D176">
        <f t="shared" si="10"/>
        <v>1.7955272168259935E-3</v>
      </c>
      <c r="E176">
        <f t="shared" si="14"/>
        <v>99.972279861064621</v>
      </c>
    </row>
    <row r="177" spans="1:5">
      <c r="A177">
        <f t="shared" si="13"/>
        <v>75</v>
      </c>
      <c r="B177">
        <v>2169</v>
      </c>
      <c r="C177">
        <v>81.788799999999995</v>
      </c>
      <c r="D177">
        <f t="shared" si="10"/>
        <v>1.830121491210329E-3</v>
      </c>
      <c r="E177">
        <f t="shared" si="14"/>
        <v>99.974109982555831</v>
      </c>
    </row>
    <row r="178" spans="1:5">
      <c r="A178">
        <f t="shared" si="13"/>
        <v>76</v>
      </c>
      <c r="B178">
        <v>2001</v>
      </c>
      <c r="C178">
        <v>82.508700000000005</v>
      </c>
      <c r="D178">
        <f t="shared" si="10"/>
        <v>1.68836934251354E-3</v>
      </c>
      <c r="E178">
        <f t="shared" si="14"/>
        <v>99.975798351898348</v>
      </c>
    </row>
    <row r="179" spans="1:5">
      <c r="A179">
        <f t="shared" si="13"/>
        <v>77</v>
      </c>
      <c r="B179">
        <v>1859</v>
      </c>
      <c r="C179">
        <v>84.238799999999998</v>
      </c>
      <c r="D179">
        <f t="shared" si="10"/>
        <v>1.5685550263531589E-3</v>
      </c>
      <c r="E179">
        <f t="shared" si="14"/>
        <v>99.977366906924701</v>
      </c>
    </row>
    <row r="180" spans="1:5">
      <c r="A180">
        <f t="shared" si="13"/>
        <v>78</v>
      </c>
      <c r="B180">
        <v>1693</v>
      </c>
      <c r="C180">
        <v>83.697599999999994</v>
      </c>
      <c r="D180">
        <f t="shared" si="10"/>
        <v>1.4284904032360935E-3</v>
      </c>
      <c r="E180">
        <f t="shared" si="14"/>
        <v>99.978795397327943</v>
      </c>
    </row>
    <row r="181" spans="1:5">
      <c r="A181">
        <f t="shared" si="13"/>
        <v>79</v>
      </c>
      <c r="B181">
        <v>1453</v>
      </c>
      <c r="C181">
        <v>84.445999999999998</v>
      </c>
      <c r="D181">
        <f t="shared" si="10"/>
        <v>1.2259873336692522E-3</v>
      </c>
      <c r="E181">
        <f t="shared" si="14"/>
        <v>99.980021384661612</v>
      </c>
    </row>
    <row r="182" spans="1:5">
      <c r="A182">
        <f t="shared" si="13"/>
        <v>80</v>
      </c>
      <c r="B182">
        <v>1519</v>
      </c>
      <c r="C182">
        <v>84.0685</v>
      </c>
      <c r="D182">
        <f t="shared" si="10"/>
        <v>1.2816756778001336E-3</v>
      </c>
      <c r="E182">
        <f t="shared" si="14"/>
        <v>99.981303060339414</v>
      </c>
    </row>
    <row r="183" spans="1:5">
      <c r="A183">
        <f t="shared" si="13"/>
        <v>81</v>
      </c>
      <c r="B183">
        <v>1442</v>
      </c>
      <c r="C183">
        <v>83.009699999999995</v>
      </c>
      <c r="D183">
        <f t="shared" si="10"/>
        <v>1.216705942980772E-3</v>
      </c>
      <c r="E183">
        <f t="shared" si="14"/>
        <v>99.982519766282394</v>
      </c>
    </row>
    <row r="184" spans="1:5">
      <c r="A184">
        <f t="shared" si="13"/>
        <v>82</v>
      </c>
      <c r="B184">
        <v>1347</v>
      </c>
      <c r="C184">
        <v>83.1477</v>
      </c>
      <c r="D184">
        <f t="shared" si="10"/>
        <v>1.1365484779438972E-3</v>
      </c>
      <c r="E184">
        <f t="shared" si="14"/>
        <v>99.983656314760339</v>
      </c>
    </row>
    <row r="185" spans="1:5">
      <c r="A185">
        <f t="shared" si="13"/>
        <v>83</v>
      </c>
      <c r="B185">
        <v>1150</v>
      </c>
      <c r="C185">
        <v>85.043499999999995</v>
      </c>
      <c r="D185">
        <f t="shared" si="10"/>
        <v>9.7032720834111497E-4</v>
      </c>
      <c r="E185">
        <f t="shared" si="14"/>
        <v>99.984626641968674</v>
      </c>
    </row>
    <row r="186" spans="1:5">
      <c r="A186">
        <f t="shared" si="13"/>
        <v>84</v>
      </c>
      <c r="B186">
        <v>1216</v>
      </c>
      <c r="C186">
        <v>82.647999999999996</v>
      </c>
      <c r="D186">
        <f t="shared" si="10"/>
        <v>1.0260155524719962E-3</v>
      </c>
      <c r="E186">
        <f t="shared" si="14"/>
        <v>99.985652657521143</v>
      </c>
    </row>
    <row r="187" spans="1:5">
      <c r="A187">
        <f t="shared" si="13"/>
        <v>85</v>
      </c>
      <c r="B187">
        <v>1090</v>
      </c>
      <c r="C187">
        <v>84.954099999999997</v>
      </c>
      <c r="D187">
        <f t="shared" si="10"/>
        <v>9.1970144094940458E-4</v>
      </c>
      <c r="E187">
        <f t="shared" si="14"/>
        <v>99.986572358962093</v>
      </c>
    </row>
    <row r="188" spans="1:5">
      <c r="A188">
        <f t="shared" si="13"/>
        <v>86</v>
      </c>
      <c r="B188">
        <v>1061</v>
      </c>
      <c r="C188">
        <v>84.354399999999998</v>
      </c>
      <c r="D188">
        <f t="shared" si="10"/>
        <v>8.952323200434113E-4</v>
      </c>
      <c r="E188">
        <f t="shared" si="14"/>
        <v>99.98746759128214</v>
      </c>
    </row>
    <row r="189" spans="1:5">
      <c r="A189">
        <f t="shared" si="13"/>
        <v>87</v>
      </c>
      <c r="B189">
        <v>1031</v>
      </c>
      <c r="C189">
        <v>80.504400000000004</v>
      </c>
      <c r="D189">
        <f t="shared" si="10"/>
        <v>8.699194363475561E-4</v>
      </c>
      <c r="E189">
        <f t="shared" si="14"/>
        <v>99.988337510718495</v>
      </c>
    </row>
    <row r="190" spans="1:5">
      <c r="A190">
        <f t="shared" si="13"/>
        <v>88</v>
      </c>
      <c r="B190">
        <v>869</v>
      </c>
      <c r="C190">
        <v>83.889499999999998</v>
      </c>
      <c r="D190">
        <f t="shared" si="10"/>
        <v>7.3322986438993816E-4</v>
      </c>
      <c r="E190">
        <f t="shared" si="14"/>
        <v>99.989070740582889</v>
      </c>
    </row>
    <row r="191" spans="1:5">
      <c r="A191">
        <f t="shared" si="13"/>
        <v>89</v>
      </c>
      <c r="B191">
        <v>859</v>
      </c>
      <c r="C191">
        <v>86.961600000000004</v>
      </c>
      <c r="D191">
        <f t="shared" si="10"/>
        <v>7.2479223649131973E-4</v>
      </c>
      <c r="E191">
        <f t="shared" si="14"/>
        <v>99.989795532819386</v>
      </c>
    </row>
    <row r="192" spans="1:5">
      <c r="A192">
        <f t="shared" si="13"/>
        <v>90</v>
      </c>
      <c r="B192">
        <v>796</v>
      </c>
      <c r="C192">
        <v>88.4422</v>
      </c>
      <c r="D192">
        <f t="shared" si="10"/>
        <v>6.716351807300239E-4</v>
      </c>
      <c r="E192">
        <f t="shared" si="14"/>
        <v>99.990467168000123</v>
      </c>
    </row>
    <row r="193" spans="1:5">
      <c r="A193">
        <f t="shared" si="13"/>
        <v>91</v>
      </c>
      <c r="B193">
        <v>698</v>
      </c>
      <c r="C193">
        <v>80.945599999999999</v>
      </c>
      <c r="D193">
        <f t="shared" si="10"/>
        <v>5.8894642732356371E-4</v>
      </c>
      <c r="E193">
        <f t="shared" si="14"/>
        <v>99.991056114427451</v>
      </c>
    </row>
    <row r="194" spans="1:5">
      <c r="A194">
        <f t="shared" si="13"/>
        <v>92</v>
      </c>
      <c r="B194">
        <v>579</v>
      </c>
      <c r="C194">
        <v>87.737499999999997</v>
      </c>
      <c r="D194">
        <f t="shared" ref="D194:D202" si="15">100*B194/SUM(B$2:B$202)</f>
        <v>4.8853865533000484E-4</v>
      </c>
      <c r="E194">
        <f t="shared" si="14"/>
        <v>99.991544653082784</v>
      </c>
    </row>
    <row r="195" spans="1:5">
      <c r="A195">
        <f t="shared" ref="A195:A202" si="16">1+A194</f>
        <v>93</v>
      </c>
      <c r="B195">
        <v>591</v>
      </c>
      <c r="C195">
        <v>80.879900000000006</v>
      </c>
      <c r="D195">
        <f t="shared" si="15"/>
        <v>4.986638088083469E-4</v>
      </c>
      <c r="E195">
        <f t="shared" ref="E195:E226" si="17">D195+E194</f>
        <v>99.992043316891596</v>
      </c>
    </row>
    <row r="196" spans="1:5">
      <c r="A196">
        <f t="shared" si="16"/>
        <v>94</v>
      </c>
      <c r="B196">
        <v>491</v>
      </c>
      <c r="C196">
        <v>87.168999999999997</v>
      </c>
      <c r="D196">
        <f t="shared" si="15"/>
        <v>4.1428752982216298E-4</v>
      </c>
      <c r="E196">
        <f t="shared" si="17"/>
        <v>99.992457604421418</v>
      </c>
    </row>
    <row r="197" spans="1:5">
      <c r="A197">
        <f t="shared" si="16"/>
        <v>95</v>
      </c>
      <c r="B197">
        <v>491</v>
      </c>
      <c r="C197">
        <v>81.873699999999999</v>
      </c>
      <c r="D197">
        <f t="shared" si="15"/>
        <v>4.1428752982216298E-4</v>
      </c>
      <c r="E197">
        <f t="shared" si="17"/>
        <v>99.992871891951239</v>
      </c>
    </row>
    <row r="198" spans="1:5">
      <c r="A198">
        <f t="shared" si="16"/>
        <v>96</v>
      </c>
      <c r="B198">
        <v>472</v>
      </c>
      <c r="C198">
        <v>82.627099999999999</v>
      </c>
      <c r="D198">
        <f t="shared" si="15"/>
        <v>3.9825603681478802E-4</v>
      </c>
      <c r="E198">
        <f t="shared" si="17"/>
        <v>99.993270147988056</v>
      </c>
    </row>
    <row r="199" spans="1:5">
      <c r="A199">
        <f t="shared" si="16"/>
        <v>97</v>
      </c>
      <c r="B199">
        <v>415</v>
      </c>
      <c r="C199">
        <v>82.650599999999997</v>
      </c>
      <c r="D199">
        <f t="shared" si="15"/>
        <v>3.5016155779266322E-4</v>
      </c>
      <c r="E199">
        <f t="shared" si="17"/>
        <v>99.993620309545847</v>
      </c>
    </row>
    <row r="200" spans="1:5">
      <c r="A200">
        <f t="shared" si="16"/>
        <v>98</v>
      </c>
      <c r="B200">
        <v>485</v>
      </c>
      <c r="C200">
        <v>73.402100000000004</v>
      </c>
      <c r="D200">
        <f t="shared" si="15"/>
        <v>4.0922495308299195E-4</v>
      </c>
      <c r="E200">
        <f t="shared" si="17"/>
        <v>99.994029534498935</v>
      </c>
    </row>
    <row r="201" spans="1:5">
      <c r="A201">
        <f t="shared" si="16"/>
        <v>99</v>
      </c>
      <c r="B201">
        <v>346</v>
      </c>
      <c r="C201">
        <v>88.150300000000001</v>
      </c>
      <c r="D201">
        <f t="shared" si="15"/>
        <v>2.9194192529219631E-4</v>
      </c>
      <c r="E201">
        <f t="shared" si="17"/>
        <v>99.994321476424233</v>
      </c>
    </row>
    <row r="202" spans="1:5">
      <c r="A202">
        <f t="shared" si="16"/>
        <v>100</v>
      </c>
      <c r="B202">
        <v>6730</v>
      </c>
      <c r="C202">
        <v>80.728099999999998</v>
      </c>
      <c r="D202">
        <f t="shared" si="15"/>
        <v>5.6785235757701768E-3</v>
      </c>
      <c r="E202">
        <f t="shared" si="17"/>
        <v>100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02101-85F9-44A4-A036-E9B6066BABFF}">
  <dimension ref="A1:M52"/>
  <sheetViews>
    <sheetView workbookViewId="0"/>
  </sheetViews>
  <sheetFormatPr baseColWidth="10" defaultRowHeight="12.75"/>
  <cols>
    <col min="1" max="13" width="12.140625" customWidth="1"/>
    <col min="14" max="14" width="11.42578125" customWidth="1"/>
  </cols>
  <sheetData>
    <row r="1" spans="1:13" ht="15">
      <c r="A1" t="s">
        <v>10</v>
      </c>
      <c r="B1">
        <v>537780</v>
      </c>
      <c r="C1">
        <v>5.2852499999999996</v>
      </c>
      <c r="D1" s="1">
        <f t="shared" ref="D1:D26" si="0">B1/B$1</f>
        <v>1</v>
      </c>
      <c r="F1" t="s">
        <v>10</v>
      </c>
      <c r="G1">
        <v>5.2852499999999996</v>
      </c>
      <c r="H1">
        <v>5.40855</v>
      </c>
      <c r="I1">
        <v>0.12330000000000001</v>
      </c>
      <c r="J1">
        <v>0.22140000000000101</v>
      </c>
      <c r="K1" s="1">
        <v>0.252175079223808</v>
      </c>
      <c r="L1" s="1">
        <v>0.25402175440101499</v>
      </c>
      <c r="M1" t="s">
        <v>11</v>
      </c>
    </row>
    <row r="2" spans="1:13" ht="15">
      <c r="A2" t="s">
        <v>12</v>
      </c>
      <c r="B2">
        <v>226973</v>
      </c>
      <c r="C2">
        <v>5.8200799999999999</v>
      </c>
      <c r="D2" s="1">
        <f t="shared" si="0"/>
        <v>0.4220554873740191</v>
      </c>
      <c r="F2" t="s">
        <v>12</v>
      </c>
      <c r="G2">
        <v>5.8200799999999999</v>
      </c>
      <c r="H2">
        <v>5.6165000000000003</v>
      </c>
      <c r="I2">
        <v>-0.20358000000000001</v>
      </c>
      <c r="J2">
        <v>-0.10547999999999901</v>
      </c>
      <c r="K2" s="1">
        <v>0.106431875965386</v>
      </c>
      <c r="L2" s="1">
        <v>0.105605443381251</v>
      </c>
      <c r="M2" t="s">
        <v>11</v>
      </c>
    </row>
    <row r="3" spans="1:13" ht="15">
      <c r="A3" t="s">
        <v>13</v>
      </c>
      <c r="B3">
        <v>485829</v>
      </c>
      <c r="C3">
        <v>5.8911699999999998</v>
      </c>
      <c r="D3" s="1">
        <f t="shared" si="0"/>
        <v>0.90339730001115703</v>
      </c>
      <c r="F3" t="s">
        <v>13</v>
      </c>
      <c r="G3">
        <v>5.8911699999999998</v>
      </c>
      <c r="H3">
        <v>5.9336700000000002</v>
      </c>
      <c r="I3">
        <v>4.2500000000000399E-2</v>
      </c>
      <c r="J3">
        <v>0.140600000000001</v>
      </c>
      <c r="K3" s="1">
        <v>0.22781428570088799</v>
      </c>
      <c r="L3" s="1">
        <v>0.23215424197942</v>
      </c>
    </row>
    <row r="4" spans="1:13" ht="15">
      <c r="A4" t="s">
        <v>14</v>
      </c>
      <c r="B4">
        <v>175601</v>
      </c>
      <c r="C4">
        <v>6.2499599999999997</v>
      </c>
      <c r="D4" s="1">
        <f t="shared" si="0"/>
        <v>0.32652943582877758</v>
      </c>
      <c r="F4" t="s">
        <v>14</v>
      </c>
      <c r="G4">
        <v>6.2499599999999997</v>
      </c>
      <c r="H4">
        <v>6.1191300000000002</v>
      </c>
      <c r="I4">
        <v>-0.13083</v>
      </c>
      <c r="J4">
        <v>-3.2729999999999003E-2</v>
      </c>
      <c r="K4" s="1">
        <v>8.23425863490274E-2</v>
      </c>
      <c r="L4" s="1">
        <v>6.4023439157648104E-2</v>
      </c>
    </row>
    <row r="5" spans="1:13" ht="15">
      <c r="A5" t="s">
        <v>15</v>
      </c>
      <c r="B5">
        <v>1129948</v>
      </c>
      <c r="C5">
        <v>6.8371300000000002</v>
      </c>
      <c r="D5" s="1">
        <f t="shared" si="0"/>
        <v>2.1011342928335006</v>
      </c>
      <c r="F5" t="s">
        <v>15</v>
      </c>
      <c r="G5">
        <v>6.8371300000000002</v>
      </c>
      <c r="H5">
        <v>6.7955500000000004</v>
      </c>
      <c r="I5">
        <v>-4.1579999999999701E-2</v>
      </c>
      <c r="J5">
        <v>5.6520000000000799E-2</v>
      </c>
      <c r="K5" s="1">
        <v>0.52985370675514898</v>
      </c>
      <c r="L5" s="1">
        <v>0.52746896065320104</v>
      </c>
    </row>
    <row r="6" spans="1:13" ht="15">
      <c r="A6" t="s">
        <v>16</v>
      </c>
      <c r="B6">
        <v>575648</v>
      </c>
      <c r="C6">
        <v>6.8957100000000002</v>
      </c>
      <c r="D6" s="1">
        <f t="shared" si="0"/>
        <v>1.0704154115065641</v>
      </c>
      <c r="F6" t="s">
        <v>16</v>
      </c>
      <c r="G6">
        <v>6.8957100000000002</v>
      </c>
      <c r="H6">
        <v>7.1244100000000001</v>
      </c>
      <c r="I6">
        <v>0.22869999999999999</v>
      </c>
      <c r="J6">
        <v>0.32679999999999998</v>
      </c>
      <c r="K6" s="1">
        <v>0.26993209119905298</v>
      </c>
      <c r="L6" s="1">
        <v>0.24862865727938299</v>
      </c>
    </row>
    <row r="7" spans="1:13" ht="15">
      <c r="A7" t="s">
        <v>17</v>
      </c>
      <c r="B7">
        <v>698033</v>
      </c>
      <c r="C7">
        <v>8.1340000000000003</v>
      </c>
      <c r="D7" s="1">
        <f t="shared" si="0"/>
        <v>1.2979898843393209</v>
      </c>
      <c r="F7" t="s">
        <v>17</v>
      </c>
      <c r="G7">
        <v>8.1340000000000003</v>
      </c>
      <c r="H7">
        <v>8.1097300000000008</v>
      </c>
      <c r="I7">
        <v>-2.4269999999999601E-2</v>
      </c>
      <c r="J7">
        <v>7.3830000000001006E-2</v>
      </c>
      <c r="K7" s="1">
        <v>0.32732070191496998</v>
      </c>
      <c r="L7" s="1">
        <v>0.29421914521339798</v>
      </c>
    </row>
    <row r="8" spans="1:13" ht="15">
      <c r="A8" t="s">
        <v>18</v>
      </c>
      <c r="B8">
        <v>854161</v>
      </c>
      <c r="C8">
        <v>9.2671100000000006</v>
      </c>
      <c r="D8" s="1">
        <f t="shared" si="0"/>
        <v>1.5883093458291495</v>
      </c>
      <c r="F8" t="s">
        <v>18</v>
      </c>
      <c r="G8">
        <v>9.2671100000000006</v>
      </c>
      <c r="H8">
        <v>9.2845800000000001</v>
      </c>
      <c r="I8">
        <v>1.7469999999999399E-2</v>
      </c>
      <c r="J8">
        <v>0.11557000000000001</v>
      </c>
      <c r="K8" s="1">
        <v>0.40053203511638102</v>
      </c>
      <c r="L8" s="1">
        <v>0.39725745144841201</v>
      </c>
    </row>
    <row r="9" spans="1:13" ht="15">
      <c r="A9" t="s">
        <v>19</v>
      </c>
      <c r="B9">
        <v>182593</v>
      </c>
      <c r="C9">
        <v>10.4221</v>
      </c>
      <c r="D9" s="1">
        <f t="shared" si="0"/>
        <v>0.33953103499572318</v>
      </c>
      <c r="F9" t="s">
        <v>19</v>
      </c>
      <c r="G9">
        <v>10.4221</v>
      </c>
      <c r="H9">
        <v>10.3803</v>
      </c>
      <c r="I9">
        <v>-4.1800000000000302E-2</v>
      </c>
      <c r="J9">
        <v>5.6300000000000197E-2</v>
      </c>
      <c r="K9" s="1">
        <v>8.5621265648988101E-2</v>
      </c>
      <c r="L9" s="1">
        <v>8.6330519439926701E-2</v>
      </c>
    </row>
    <row r="10" spans="1:13" ht="15">
      <c r="A10" t="s">
        <v>20</v>
      </c>
      <c r="B10">
        <v>1854053</v>
      </c>
      <c r="C10">
        <v>10.8</v>
      </c>
      <c r="D10" s="1">
        <f t="shared" si="0"/>
        <v>3.44760496857451</v>
      </c>
      <c r="F10" t="s">
        <v>20</v>
      </c>
      <c r="G10">
        <v>10.8</v>
      </c>
      <c r="H10">
        <v>10.8352</v>
      </c>
      <c r="I10">
        <v>3.5199999999999697E-2</v>
      </c>
      <c r="J10">
        <v>0.1333</v>
      </c>
      <c r="K10" s="1">
        <v>0.86940005608267201</v>
      </c>
      <c r="L10" s="1">
        <v>0.85137120583097203</v>
      </c>
    </row>
    <row r="11" spans="1:13" ht="15">
      <c r="A11" t="s">
        <v>21</v>
      </c>
      <c r="B11">
        <v>1897382</v>
      </c>
      <c r="C11">
        <v>11.1999</v>
      </c>
      <c r="D11" s="1">
        <f t="shared" si="0"/>
        <v>3.5281750901855777</v>
      </c>
      <c r="F11" t="s">
        <v>21</v>
      </c>
      <c r="G11">
        <v>11.1999</v>
      </c>
      <c r="H11">
        <v>11.0928</v>
      </c>
      <c r="I11">
        <v>-0.107099999999999</v>
      </c>
      <c r="J11">
        <v>-8.9999999999985699E-3</v>
      </c>
      <c r="K11" s="1">
        <v>0.88971783288301498</v>
      </c>
      <c r="L11" s="1">
        <v>0.89396751162560695</v>
      </c>
    </row>
    <row r="12" spans="1:13" ht="15">
      <c r="A12" t="s">
        <v>22</v>
      </c>
      <c r="B12">
        <v>2114851</v>
      </c>
      <c r="C12">
        <v>11.236700000000001</v>
      </c>
      <c r="D12" s="1">
        <f t="shared" si="0"/>
        <v>3.9325579233143664</v>
      </c>
      <c r="F12" t="s">
        <v>22</v>
      </c>
      <c r="G12">
        <v>11.236700000000001</v>
      </c>
      <c r="H12">
        <v>11.1381</v>
      </c>
      <c r="I12">
        <v>-9.8600000000001103E-2</v>
      </c>
      <c r="J12">
        <v>-5.0000000000061096E-4</v>
      </c>
      <c r="K12" s="1">
        <v>0.99169310586401604</v>
      </c>
      <c r="L12" s="1">
        <v>0.99362707721797905</v>
      </c>
    </row>
    <row r="13" spans="1:13" ht="15">
      <c r="A13" t="s">
        <v>23</v>
      </c>
      <c r="B13">
        <v>2132566</v>
      </c>
      <c r="C13">
        <v>11.2399</v>
      </c>
      <c r="D13" s="1">
        <f t="shared" si="0"/>
        <v>3.9654989028970955</v>
      </c>
      <c r="F13" t="s">
        <v>23</v>
      </c>
      <c r="G13">
        <v>11.2399</v>
      </c>
      <c r="H13">
        <v>11.1418</v>
      </c>
      <c r="I13">
        <v>-9.8100000000000506E-2</v>
      </c>
      <c r="J13">
        <v>0</v>
      </c>
      <c r="K13" s="1">
        <v>1</v>
      </c>
      <c r="L13" s="1">
        <v>1</v>
      </c>
    </row>
    <row r="14" spans="1:13" ht="15">
      <c r="A14" t="s">
        <v>24</v>
      </c>
      <c r="B14">
        <v>2132566</v>
      </c>
      <c r="C14">
        <v>11.2399</v>
      </c>
      <c r="D14" s="1">
        <f t="shared" si="0"/>
        <v>3.9654989028970955</v>
      </c>
      <c r="F14" t="s">
        <v>24</v>
      </c>
      <c r="G14">
        <v>11.2399</v>
      </c>
      <c r="H14">
        <v>11.1418</v>
      </c>
      <c r="I14">
        <v>-9.8100000000000506E-2</v>
      </c>
      <c r="J14">
        <v>0</v>
      </c>
      <c r="K14" s="1">
        <v>1</v>
      </c>
      <c r="L14" s="1">
        <v>1</v>
      </c>
    </row>
    <row r="15" spans="1:13" ht="15">
      <c r="A15" t="s">
        <v>25</v>
      </c>
      <c r="B15">
        <v>1949973</v>
      </c>
      <c r="C15">
        <v>11.3165</v>
      </c>
      <c r="D15" s="1">
        <f t="shared" si="0"/>
        <v>3.6259678679013723</v>
      </c>
      <c r="F15" t="s">
        <v>25</v>
      </c>
      <c r="G15">
        <v>11.3165</v>
      </c>
      <c r="H15">
        <v>11.213800000000001</v>
      </c>
      <c r="I15">
        <v>-0.102699999999999</v>
      </c>
      <c r="J15">
        <v>-4.5999999999981602E-3</v>
      </c>
      <c r="K15" s="1">
        <v>0.91437873435101202</v>
      </c>
      <c r="L15" s="1">
        <v>0.91366948056007302</v>
      </c>
    </row>
    <row r="16" spans="1:13" ht="15">
      <c r="A16" t="s">
        <v>26</v>
      </c>
      <c r="B16">
        <v>1956965</v>
      </c>
      <c r="C16">
        <v>11.6876</v>
      </c>
      <c r="D16" s="1">
        <f t="shared" si="0"/>
        <v>3.6389694670683177</v>
      </c>
      <c r="F16" t="s">
        <v>26</v>
      </c>
      <c r="G16">
        <v>11.6876</v>
      </c>
      <c r="H16">
        <v>11.4854</v>
      </c>
      <c r="I16">
        <v>-0.20219999999999999</v>
      </c>
      <c r="J16">
        <v>-0.104099999999999</v>
      </c>
      <c r="K16" s="1">
        <v>0.91765741365097298</v>
      </c>
      <c r="L16" s="1">
        <v>0.93597656084235203</v>
      </c>
    </row>
    <row r="17" spans="1:13" ht="15">
      <c r="A17" t="s">
        <v>27</v>
      </c>
      <c r="B17">
        <v>235184</v>
      </c>
      <c r="C17">
        <v>11.5624</v>
      </c>
      <c r="D17" s="1">
        <f t="shared" si="0"/>
        <v>0.43732381271151771</v>
      </c>
      <c r="F17" t="s">
        <v>27</v>
      </c>
      <c r="G17">
        <v>11.5624</v>
      </c>
      <c r="H17">
        <v>11.5549</v>
      </c>
      <c r="I17">
        <v>-7.5000000000002799E-3</v>
      </c>
      <c r="J17">
        <v>9.0600000000000194E-2</v>
      </c>
      <c r="K17" s="1">
        <v>0.11028216711698501</v>
      </c>
      <c r="L17" s="1">
        <v>0.106032488374393</v>
      </c>
    </row>
    <row r="18" spans="1:13" ht="15">
      <c r="A18" t="s">
        <v>28</v>
      </c>
      <c r="B18">
        <v>17715</v>
      </c>
      <c r="C18">
        <v>11.6173</v>
      </c>
      <c r="D18" s="1">
        <f t="shared" si="0"/>
        <v>3.2940979582728999E-2</v>
      </c>
      <c r="F18" t="s">
        <v>28</v>
      </c>
      <c r="G18">
        <v>11.6173</v>
      </c>
      <c r="H18">
        <v>11.716100000000001</v>
      </c>
      <c r="I18">
        <v>9.8800000000000707E-2</v>
      </c>
      <c r="J18">
        <v>0.19690000000000099</v>
      </c>
      <c r="K18" s="1">
        <v>8.30689413598454E-3</v>
      </c>
      <c r="L18" s="1">
        <v>6.3729227820214403E-3</v>
      </c>
    </row>
    <row r="19" spans="1:13" ht="15">
      <c r="A19" t="s">
        <v>29</v>
      </c>
      <c r="B19">
        <v>1905593</v>
      </c>
      <c r="C19">
        <v>11.885400000000001</v>
      </c>
      <c r="D19" s="1">
        <f t="shared" si="0"/>
        <v>3.5434434155230763</v>
      </c>
      <c r="F19" t="s">
        <v>29</v>
      </c>
      <c r="G19">
        <v>11.885400000000001</v>
      </c>
      <c r="H19">
        <v>11.7942</v>
      </c>
      <c r="I19">
        <v>-9.12000000000006E-2</v>
      </c>
      <c r="J19">
        <v>6.8999999999999097E-3</v>
      </c>
      <c r="K19" s="1">
        <v>0.89356812403461405</v>
      </c>
      <c r="L19" s="1">
        <v>0.894394556618749</v>
      </c>
    </row>
    <row r="20" spans="1:13" ht="15">
      <c r="A20" t="s">
        <v>30</v>
      </c>
      <c r="B20">
        <v>1278405</v>
      </c>
      <c r="C20">
        <v>12.558</v>
      </c>
      <c r="D20" s="1">
        <f t="shared" si="0"/>
        <v>2.377189557067946</v>
      </c>
      <c r="F20" t="s">
        <v>30</v>
      </c>
      <c r="G20">
        <v>12.558</v>
      </c>
      <c r="H20">
        <v>12.3659</v>
      </c>
      <c r="I20">
        <v>-0.19209999999999999</v>
      </c>
      <c r="J20">
        <v>-9.3999999999999403E-2</v>
      </c>
      <c r="K20" s="1">
        <v>0.59946796488361898</v>
      </c>
      <c r="L20" s="1">
        <v>0.60274254855158804</v>
      </c>
    </row>
    <row r="21" spans="1:13" ht="15">
      <c r="A21" t="s">
        <v>31</v>
      </c>
      <c r="B21">
        <v>1434533</v>
      </c>
      <c r="C21">
        <v>12.751200000000001</v>
      </c>
      <c r="D21" s="1">
        <f t="shared" si="0"/>
        <v>2.6675090185577743</v>
      </c>
      <c r="F21" t="s">
        <v>31</v>
      </c>
      <c r="G21">
        <v>12.751200000000001</v>
      </c>
      <c r="H21">
        <v>12.405799999999999</v>
      </c>
      <c r="I21">
        <v>-0.34540000000000198</v>
      </c>
      <c r="J21">
        <v>-0.24730000000000099</v>
      </c>
      <c r="K21" s="1">
        <v>0.67267929808503002</v>
      </c>
      <c r="L21" s="1">
        <v>0.70578085478660302</v>
      </c>
      <c r="M21" t="s">
        <v>11</v>
      </c>
    </row>
    <row r="22" spans="1:13" ht="15">
      <c r="A22" t="s">
        <v>32</v>
      </c>
      <c r="B22">
        <v>1556918</v>
      </c>
      <c r="C22">
        <v>12.8461</v>
      </c>
      <c r="D22" s="1">
        <f t="shared" si="0"/>
        <v>2.8950834913905314</v>
      </c>
      <c r="F22" t="s">
        <v>32</v>
      </c>
      <c r="G22">
        <v>12.8461</v>
      </c>
      <c r="H22">
        <v>12.4712</v>
      </c>
      <c r="I22">
        <v>-0.37490000000000001</v>
      </c>
      <c r="J22">
        <v>-0.27679999999999999</v>
      </c>
      <c r="K22" s="1">
        <v>0.73006790880094696</v>
      </c>
      <c r="L22" s="1">
        <v>0.75137134272061701</v>
      </c>
      <c r="M22" t="s">
        <v>11</v>
      </c>
    </row>
    <row r="23" spans="1:13" ht="15">
      <c r="A23" t="s">
        <v>33</v>
      </c>
      <c r="B23">
        <v>1646737</v>
      </c>
      <c r="C23">
        <v>12.8179</v>
      </c>
      <c r="D23" s="1">
        <f t="shared" si="0"/>
        <v>3.0621016028859387</v>
      </c>
      <c r="F23" t="s">
        <v>33</v>
      </c>
      <c r="G23">
        <v>12.8179</v>
      </c>
      <c r="H23">
        <v>12.7165</v>
      </c>
      <c r="I23">
        <v>-0.1014</v>
      </c>
      <c r="J23">
        <v>-3.2999999999994102E-3</v>
      </c>
      <c r="K23" s="1">
        <v>0.77218571429911198</v>
      </c>
      <c r="L23" s="1">
        <v>0.76784575802057997</v>
      </c>
    </row>
    <row r="24" spans="1:13" ht="15">
      <c r="A24" t="s">
        <v>34</v>
      </c>
      <c r="B24">
        <v>278513</v>
      </c>
      <c r="C24">
        <v>14.1685</v>
      </c>
      <c r="D24" s="1">
        <f t="shared" si="0"/>
        <v>0.51789393432258546</v>
      </c>
      <c r="F24" t="s">
        <v>34</v>
      </c>
      <c r="G24">
        <v>14.1685</v>
      </c>
      <c r="H24">
        <v>12.898199999999999</v>
      </c>
      <c r="I24">
        <v>-1.2703</v>
      </c>
      <c r="J24">
        <v>-1.1721999999999999</v>
      </c>
      <c r="K24" s="1">
        <v>0.13059994391732799</v>
      </c>
      <c r="L24" s="1">
        <v>0.14862879416902799</v>
      </c>
      <c r="M24" t="s">
        <v>11</v>
      </c>
    </row>
    <row r="25" spans="1:13" ht="15">
      <c r="A25" t="s">
        <v>35</v>
      </c>
      <c r="B25">
        <v>1594786</v>
      </c>
      <c r="C25">
        <v>13.2479</v>
      </c>
      <c r="D25" s="1">
        <f t="shared" si="0"/>
        <v>2.9654989028970955</v>
      </c>
      <c r="F25" t="s">
        <v>35</v>
      </c>
      <c r="G25">
        <v>13.2479</v>
      </c>
      <c r="H25">
        <v>13.094099999999999</v>
      </c>
      <c r="I25">
        <v>-0.15379999999999999</v>
      </c>
      <c r="J25">
        <v>-5.5699999999999902E-2</v>
      </c>
      <c r="K25" s="1">
        <v>0.747824920776192</v>
      </c>
      <c r="L25" s="1">
        <v>0.74597824559898496</v>
      </c>
    </row>
    <row r="26" spans="1:13" ht="15">
      <c r="A26" t="s">
        <v>36</v>
      </c>
      <c r="B26">
        <v>1002618</v>
      </c>
      <c r="C26">
        <v>16.201799999999999</v>
      </c>
      <c r="D26" s="1">
        <f t="shared" si="0"/>
        <v>1.8643646100635949</v>
      </c>
      <c r="F26" t="s">
        <v>36</v>
      </c>
      <c r="G26">
        <v>16.201799999999999</v>
      </c>
      <c r="H26">
        <v>15.993399999999999</v>
      </c>
      <c r="I26">
        <v>-0.208399999999999</v>
      </c>
      <c r="J26">
        <v>-0.110299999999999</v>
      </c>
      <c r="K26" s="1">
        <v>0.47014629324485202</v>
      </c>
      <c r="L26" s="1">
        <v>0.47253103934679902</v>
      </c>
    </row>
    <row r="27" spans="1:13" ht="15">
      <c r="A27" t="s">
        <v>37</v>
      </c>
      <c r="B27">
        <v>19723917</v>
      </c>
      <c r="C27">
        <v>11.1418</v>
      </c>
      <c r="D27" s="1">
        <f t="shared" ref="D27:D52" si="1">B27/B$2</f>
        <v>86.899838306758951</v>
      </c>
      <c r="F27" t="s">
        <v>37</v>
      </c>
    </row>
    <row r="28" spans="1:13" ht="15">
      <c r="A28" t="s">
        <v>38</v>
      </c>
      <c r="B28">
        <v>4578991</v>
      </c>
      <c r="C28">
        <v>5.9336700000000002</v>
      </c>
      <c r="D28" s="1">
        <f t="shared" si="1"/>
        <v>20.174166090239808</v>
      </c>
      <c r="F28" t="s">
        <v>38</v>
      </c>
    </row>
    <row r="29" spans="1:13" ht="15">
      <c r="A29" t="s">
        <v>39</v>
      </c>
      <c r="B29">
        <v>15144926</v>
      </c>
      <c r="C29">
        <v>12.7165</v>
      </c>
      <c r="D29" s="1">
        <f t="shared" si="1"/>
        <v>66.725672216519143</v>
      </c>
      <c r="F29" t="s">
        <v>39</v>
      </c>
    </row>
    <row r="30" spans="1:13" ht="15">
      <c r="A30" t="s">
        <v>40</v>
      </c>
      <c r="B30">
        <v>2091376</v>
      </c>
      <c r="C30">
        <v>11.5549</v>
      </c>
      <c r="D30" s="1">
        <f t="shared" si="1"/>
        <v>9.2142060949980831</v>
      </c>
      <c r="F30" t="s">
        <v>40</v>
      </c>
    </row>
    <row r="31" spans="1:13" ht="15">
      <c r="A31" t="s">
        <v>41</v>
      </c>
      <c r="B31">
        <v>17632541</v>
      </c>
      <c r="C31">
        <v>11.0928</v>
      </c>
      <c r="D31" s="1">
        <f t="shared" si="1"/>
        <v>77.685632211760876</v>
      </c>
      <c r="F31" t="s">
        <v>41</v>
      </c>
    </row>
    <row r="32" spans="1:13" ht="15">
      <c r="A32" t="s">
        <v>42</v>
      </c>
      <c r="B32">
        <v>2082953</v>
      </c>
      <c r="C32">
        <v>5.6165000000000003</v>
      </c>
      <c r="D32" s="1">
        <f t="shared" si="1"/>
        <v>9.1770959541443258</v>
      </c>
      <c r="F32" t="s">
        <v>42</v>
      </c>
    </row>
    <row r="33" spans="1:6" ht="15">
      <c r="A33" t="s">
        <v>43</v>
      </c>
      <c r="B33">
        <v>17640964</v>
      </c>
      <c r="C33">
        <v>11.7942</v>
      </c>
      <c r="D33" s="1">
        <f t="shared" si="1"/>
        <v>77.722742352614631</v>
      </c>
      <c r="F33" t="s">
        <v>43</v>
      </c>
    </row>
    <row r="34" spans="1:6" ht="15">
      <c r="A34" t="s">
        <v>44</v>
      </c>
      <c r="B34">
        <v>5010304</v>
      </c>
      <c r="C34">
        <v>5.40855</v>
      </c>
      <c r="D34" s="1">
        <f t="shared" si="1"/>
        <v>22.074449383847419</v>
      </c>
      <c r="F34" t="s">
        <v>44</v>
      </c>
    </row>
    <row r="35" spans="1:6" ht="15">
      <c r="A35" t="s">
        <v>45</v>
      </c>
      <c r="B35">
        <v>14713613</v>
      </c>
      <c r="C35">
        <v>13.094099999999999</v>
      </c>
      <c r="D35" s="1">
        <f t="shared" si="1"/>
        <v>64.825388922911529</v>
      </c>
      <c r="F35" t="s">
        <v>45</v>
      </c>
    </row>
    <row r="36" spans="1:6" ht="15">
      <c r="A36" t="s">
        <v>46</v>
      </c>
      <c r="B36">
        <v>9320163</v>
      </c>
      <c r="C36">
        <v>15.993399999999999</v>
      </c>
      <c r="D36" s="1">
        <f t="shared" si="1"/>
        <v>41.062870914161593</v>
      </c>
      <c r="F36" t="s">
        <v>46</v>
      </c>
    </row>
    <row r="37" spans="1:6" ht="15">
      <c r="A37" t="s">
        <v>47</v>
      </c>
      <c r="B37">
        <v>10403754</v>
      </c>
      <c r="C37">
        <v>6.7955500000000004</v>
      </c>
      <c r="D37" s="1">
        <f t="shared" si="1"/>
        <v>45.836967392597359</v>
      </c>
      <c r="F37" t="s">
        <v>47</v>
      </c>
    </row>
    <row r="38" spans="1:6" ht="15">
      <c r="A38" t="s">
        <v>48</v>
      </c>
      <c r="B38">
        <v>125699</v>
      </c>
      <c r="C38">
        <v>11.716100000000001</v>
      </c>
      <c r="D38" s="1">
        <f t="shared" si="1"/>
        <v>0.55380595929912368</v>
      </c>
      <c r="F38" t="s">
        <v>48</v>
      </c>
    </row>
    <row r="39" spans="1:6" ht="15">
      <c r="A39" t="s">
        <v>49</v>
      </c>
      <c r="B39">
        <v>19598218</v>
      </c>
      <c r="C39">
        <v>11.1381</v>
      </c>
      <c r="D39" s="1">
        <f t="shared" si="1"/>
        <v>86.346032347459825</v>
      </c>
      <c r="F39" t="s">
        <v>49</v>
      </c>
    </row>
    <row r="40" spans="1:6" ht="15">
      <c r="A40" t="s">
        <v>50</v>
      </c>
      <c r="B40">
        <v>19723917</v>
      </c>
      <c r="C40">
        <v>11.1418</v>
      </c>
      <c r="D40" s="1">
        <f t="shared" si="1"/>
        <v>86.899838306758951</v>
      </c>
      <c r="F40" t="s">
        <v>50</v>
      </c>
    </row>
    <row r="41" spans="1:6" ht="15">
      <c r="A41" t="s">
        <v>51</v>
      </c>
      <c r="B41">
        <v>1262793</v>
      </c>
      <c r="C41">
        <v>6.1191300000000002</v>
      </c>
      <c r="D41" s="1">
        <f t="shared" si="1"/>
        <v>5.5636265106422353</v>
      </c>
      <c r="F41" t="s">
        <v>51</v>
      </c>
    </row>
    <row r="42" spans="1:6" ht="15">
      <c r="A42" t="s">
        <v>52</v>
      </c>
      <c r="B42">
        <v>18461124</v>
      </c>
      <c r="C42">
        <v>11.4854</v>
      </c>
      <c r="D42" s="1">
        <f t="shared" si="1"/>
        <v>81.336211796116714</v>
      </c>
      <c r="F42" t="s">
        <v>52</v>
      </c>
    </row>
    <row r="43" spans="1:6" ht="15">
      <c r="A43" t="s">
        <v>53</v>
      </c>
      <c r="B43">
        <v>1702776</v>
      </c>
      <c r="C43">
        <v>10.3803</v>
      </c>
      <c r="D43" s="1">
        <f t="shared" si="1"/>
        <v>7.502108180268138</v>
      </c>
      <c r="F43" t="s">
        <v>53</v>
      </c>
    </row>
    <row r="44" spans="1:6" ht="15">
      <c r="A44" t="s">
        <v>54</v>
      </c>
      <c r="B44">
        <v>18021141</v>
      </c>
      <c r="C44">
        <v>11.213800000000001</v>
      </c>
      <c r="D44" s="1">
        <f t="shared" si="1"/>
        <v>79.397730126490814</v>
      </c>
      <c r="F44" t="s">
        <v>54</v>
      </c>
    </row>
    <row r="45" spans="1:6" ht="15">
      <c r="A45" t="s">
        <v>55</v>
      </c>
      <c r="B45">
        <v>4903931</v>
      </c>
      <c r="C45">
        <v>7.1244100000000001</v>
      </c>
      <c r="D45" s="1">
        <f t="shared" si="1"/>
        <v>21.605790116004986</v>
      </c>
      <c r="F45" t="s">
        <v>55</v>
      </c>
    </row>
    <row r="46" spans="1:6" ht="15">
      <c r="A46" t="s">
        <v>56</v>
      </c>
      <c r="B46">
        <v>14819986</v>
      </c>
      <c r="C46">
        <v>12.4712</v>
      </c>
      <c r="D46" s="1">
        <f t="shared" si="1"/>
        <v>65.294048190753969</v>
      </c>
      <c r="F46" t="s">
        <v>56</v>
      </c>
    </row>
    <row r="47" spans="1:6" ht="15">
      <c r="A47" t="s">
        <v>57</v>
      </c>
      <c r="B47">
        <v>2931542</v>
      </c>
      <c r="C47">
        <v>12.898199999999999</v>
      </c>
      <c r="D47" s="1">
        <f t="shared" si="1"/>
        <v>12.915818181017125</v>
      </c>
      <c r="F47" t="s">
        <v>57</v>
      </c>
    </row>
    <row r="48" spans="1:6" ht="15">
      <c r="A48" t="s">
        <v>58</v>
      </c>
      <c r="B48">
        <v>16792375</v>
      </c>
      <c r="C48">
        <v>10.8352</v>
      </c>
      <c r="D48" s="1">
        <f t="shared" si="1"/>
        <v>73.984020125741822</v>
      </c>
      <c r="F48" t="s">
        <v>58</v>
      </c>
    </row>
    <row r="49" spans="1:6" ht="15">
      <c r="A49" t="s">
        <v>59</v>
      </c>
      <c r="B49">
        <v>11888444</v>
      </c>
      <c r="C49">
        <v>12.3659</v>
      </c>
      <c r="D49" s="1">
        <f t="shared" si="1"/>
        <v>52.378230009736839</v>
      </c>
      <c r="F49" t="s">
        <v>59</v>
      </c>
    </row>
    <row r="50" spans="1:6" ht="15">
      <c r="A50" t="s">
        <v>60</v>
      </c>
      <c r="B50">
        <v>7835473</v>
      </c>
      <c r="C50">
        <v>9.2845800000000001</v>
      </c>
      <c r="D50" s="1">
        <f t="shared" si="1"/>
        <v>34.521608297022112</v>
      </c>
      <c r="F50" t="s">
        <v>60</v>
      </c>
    </row>
    <row r="51" spans="1:6" ht="15">
      <c r="A51" t="s">
        <v>61</v>
      </c>
      <c r="B51">
        <v>13920763</v>
      </c>
      <c r="C51">
        <v>12.405799999999999</v>
      </c>
      <c r="D51" s="1">
        <f t="shared" si="1"/>
        <v>61.332242160961876</v>
      </c>
      <c r="F51" t="s">
        <v>61</v>
      </c>
    </row>
    <row r="52" spans="1:6" ht="15">
      <c r="A52" t="s">
        <v>62</v>
      </c>
      <c r="B52">
        <v>5803154</v>
      </c>
      <c r="C52">
        <v>8.1097300000000008</v>
      </c>
      <c r="D52" s="1">
        <f t="shared" si="1"/>
        <v>25.567596145797076</v>
      </c>
      <c r="F52" t="s">
        <v>62</v>
      </c>
    </row>
  </sheetData>
  <pageMargins left="0" right="0" top="0.39370078740157505" bottom="0.39370078740157505" header="0" footer="0"/>
  <headerFooter>
    <oddHeader>&amp;C&amp;A</oddHeader>
    <oddFooter>&amp;CSeite &amp;P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F779-3EB7-4145-8EA2-5966DC71CB66}">
  <dimension ref="A1:B1000"/>
  <sheetViews>
    <sheetView workbookViewId="0"/>
  </sheetViews>
  <sheetFormatPr baseColWidth="10" defaultRowHeight="12.75"/>
  <cols>
    <col min="1" max="3" width="12.140625" customWidth="1"/>
    <col min="4" max="4" width="11.42578125" customWidth="1"/>
  </cols>
  <sheetData>
    <row r="1" spans="1:2" ht="15">
      <c r="A1">
        <v>0</v>
      </c>
      <c r="B1">
        <v>13.3811</v>
      </c>
    </row>
    <row r="2" spans="1:2" ht="15">
      <c r="A2">
        <f t="shared" ref="A2:A65" si="0">1+A1</f>
        <v>1</v>
      </c>
      <c r="B2">
        <v>13.2765</v>
      </c>
    </row>
    <row r="3" spans="1:2" ht="15">
      <c r="A3">
        <f t="shared" si="0"/>
        <v>2</v>
      </c>
      <c r="B3">
        <v>13.1761</v>
      </c>
    </row>
    <row r="4" spans="1:2" ht="15">
      <c r="A4">
        <f t="shared" si="0"/>
        <v>3</v>
      </c>
      <c r="B4">
        <v>13.0792</v>
      </c>
    </row>
    <row r="5" spans="1:2" ht="15">
      <c r="A5">
        <f t="shared" si="0"/>
        <v>4</v>
      </c>
      <c r="B5">
        <v>12.9739</v>
      </c>
    </row>
    <row r="6" spans="1:2" ht="15">
      <c r="A6">
        <f t="shared" si="0"/>
        <v>5</v>
      </c>
      <c r="B6">
        <v>12.8667</v>
      </c>
    </row>
    <row r="7" spans="1:2" ht="15">
      <c r="A7">
        <f t="shared" si="0"/>
        <v>6</v>
      </c>
      <c r="B7">
        <v>12.763999999999999</v>
      </c>
    </row>
    <row r="8" spans="1:2" ht="15">
      <c r="A8">
        <f t="shared" si="0"/>
        <v>7</v>
      </c>
      <c r="B8">
        <v>12.6629</v>
      </c>
    </row>
    <row r="9" spans="1:2" ht="15">
      <c r="A9">
        <f t="shared" si="0"/>
        <v>8</v>
      </c>
      <c r="B9">
        <v>12.566700000000001</v>
      </c>
    </row>
    <row r="10" spans="1:2" ht="15">
      <c r="A10">
        <f t="shared" si="0"/>
        <v>9</v>
      </c>
      <c r="B10">
        <v>12.469099999999999</v>
      </c>
    </row>
    <row r="11" spans="1:2" ht="15">
      <c r="A11">
        <f t="shared" si="0"/>
        <v>10</v>
      </c>
      <c r="B11">
        <v>12.372</v>
      </c>
    </row>
    <row r="12" spans="1:2" ht="15">
      <c r="A12">
        <f t="shared" si="0"/>
        <v>11</v>
      </c>
      <c r="B12">
        <v>12.2775</v>
      </c>
    </row>
    <row r="13" spans="1:2" ht="15">
      <c r="A13">
        <f t="shared" si="0"/>
        <v>12</v>
      </c>
      <c r="B13">
        <v>12.1858</v>
      </c>
    </row>
    <row r="14" spans="1:2" ht="15">
      <c r="A14">
        <f t="shared" si="0"/>
        <v>13</v>
      </c>
      <c r="B14">
        <v>12.0945</v>
      </c>
    </row>
    <row r="15" spans="1:2" ht="15">
      <c r="A15">
        <f t="shared" si="0"/>
        <v>14</v>
      </c>
      <c r="B15">
        <v>12.0032</v>
      </c>
    </row>
    <row r="16" spans="1:2" ht="15">
      <c r="A16">
        <f t="shared" si="0"/>
        <v>15</v>
      </c>
      <c r="B16">
        <v>11.9176</v>
      </c>
    </row>
    <row r="17" spans="1:2" ht="15">
      <c r="A17">
        <f t="shared" si="0"/>
        <v>16</v>
      </c>
      <c r="B17">
        <v>11.828900000000001</v>
      </c>
    </row>
    <row r="18" spans="1:2" ht="15">
      <c r="A18">
        <f t="shared" si="0"/>
        <v>17</v>
      </c>
      <c r="B18">
        <v>11.741199999999999</v>
      </c>
    </row>
    <row r="19" spans="1:2" ht="15">
      <c r="A19">
        <f t="shared" si="0"/>
        <v>18</v>
      </c>
      <c r="B19">
        <v>11.6587</v>
      </c>
    </row>
    <row r="20" spans="1:2" ht="15">
      <c r="A20">
        <f t="shared" si="0"/>
        <v>19</v>
      </c>
      <c r="B20">
        <v>11.5748</v>
      </c>
    </row>
    <row r="21" spans="1:2" ht="15">
      <c r="A21">
        <f t="shared" si="0"/>
        <v>20</v>
      </c>
      <c r="B21">
        <v>11.497999999999999</v>
      </c>
    </row>
    <row r="22" spans="1:2" ht="15">
      <c r="A22">
        <f t="shared" si="0"/>
        <v>21</v>
      </c>
      <c r="B22">
        <v>11.42</v>
      </c>
    </row>
    <row r="23" spans="1:2" ht="15">
      <c r="A23">
        <f t="shared" si="0"/>
        <v>22</v>
      </c>
      <c r="B23">
        <v>11.338800000000001</v>
      </c>
    </row>
    <row r="24" spans="1:2" ht="15">
      <c r="A24">
        <f t="shared" si="0"/>
        <v>23</v>
      </c>
      <c r="B24">
        <v>11.265000000000001</v>
      </c>
    </row>
    <row r="25" spans="1:2" ht="15">
      <c r="A25">
        <f t="shared" si="0"/>
        <v>24</v>
      </c>
      <c r="B25">
        <v>11.192</v>
      </c>
    </row>
    <row r="26" spans="1:2" ht="15">
      <c r="A26">
        <f t="shared" si="0"/>
        <v>25</v>
      </c>
      <c r="B26">
        <v>11.116</v>
      </c>
    </row>
    <row r="27" spans="1:2" ht="15">
      <c r="A27">
        <f t="shared" si="0"/>
        <v>26</v>
      </c>
      <c r="B27">
        <v>11.044499999999999</v>
      </c>
    </row>
    <row r="28" spans="1:2" ht="15">
      <c r="A28">
        <f t="shared" si="0"/>
        <v>27</v>
      </c>
      <c r="B28">
        <v>10.975300000000001</v>
      </c>
    </row>
    <row r="29" spans="1:2" ht="15">
      <c r="A29">
        <f t="shared" si="0"/>
        <v>28</v>
      </c>
      <c r="B29">
        <v>10.904500000000001</v>
      </c>
    </row>
    <row r="30" spans="1:2" ht="15">
      <c r="A30">
        <f t="shared" si="0"/>
        <v>29</v>
      </c>
      <c r="B30">
        <v>10.838200000000001</v>
      </c>
    </row>
    <row r="31" spans="1:2" ht="15">
      <c r="A31">
        <f t="shared" si="0"/>
        <v>30</v>
      </c>
      <c r="B31">
        <v>10.7666</v>
      </c>
    </row>
    <row r="32" spans="1:2" ht="15">
      <c r="A32">
        <f t="shared" si="0"/>
        <v>31</v>
      </c>
      <c r="B32">
        <v>10.696</v>
      </c>
    </row>
    <row r="33" spans="1:2" ht="15">
      <c r="A33">
        <f t="shared" si="0"/>
        <v>32</v>
      </c>
      <c r="B33">
        <v>10.626300000000001</v>
      </c>
    </row>
    <row r="34" spans="1:2" ht="15">
      <c r="A34">
        <f t="shared" si="0"/>
        <v>33</v>
      </c>
      <c r="B34">
        <v>10.5611</v>
      </c>
    </row>
    <row r="35" spans="1:2" ht="15">
      <c r="A35">
        <f t="shared" si="0"/>
        <v>34</v>
      </c>
      <c r="B35">
        <v>10.496700000000001</v>
      </c>
    </row>
    <row r="36" spans="1:2" ht="15">
      <c r="A36">
        <f t="shared" si="0"/>
        <v>35</v>
      </c>
      <c r="B36">
        <v>10.4339</v>
      </c>
    </row>
    <row r="37" spans="1:2" ht="15">
      <c r="A37">
        <f t="shared" si="0"/>
        <v>36</v>
      </c>
      <c r="B37">
        <v>10.3729</v>
      </c>
    </row>
    <row r="38" spans="1:2" ht="15">
      <c r="A38">
        <f t="shared" si="0"/>
        <v>37</v>
      </c>
      <c r="B38">
        <v>10.3119</v>
      </c>
    </row>
    <row r="39" spans="1:2" ht="15">
      <c r="A39">
        <f t="shared" si="0"/>
        <v>38</v>
      </c>
      <c r="B39">
        <v>10.255599999999999</v>
      </c>
    </row>
    <row r="40" spans="1:2" ht="15">
      <c r="A40">
        <f t="shared" si="0"/>
        <v>39</v>
      </c>
      <c r="B40">
        <v>10.1928</v>
      </c>
    </row>
    <row r="41" spans="1:2" ht="15">
      <c r="A41">
        <f t="shared" si="0"/>
        <v>40</v>
      </c>
      <c r="B41">
        <v>10.129200000000001</v>
      </c>
    </row>
    <row r="42" spans="1:2">
      <c r="A42">
        <f t="shared" si="0"/>
        <v>41</v>
      </c>
      <c r="B42">
        <v>10.0707</v>
      </c>
    </row>
    <row r="43" spans="1:2">
      <c r="A43">
        <f t="shared" si="0"/>
        <v>42</v>
      </c>
      <c r="B43">
        <v>10.0182</v>
      </c>
    </row>
    <row r="44" spans="1:2">
      <c r="A44">
        <f t="shared" si="0"/>
        <v>43</v>
      </c>
      <c r="B44">
        <v>9.9608699999999999</v>
      </c>
    </row>
    <row r="45" spans="1:2">
      <c r="A45">
        <f t="shared" si="0"/>
        <v>44</v>
      </c>
      <c r="B45">
        <v>9.9053799999999992</v>
      </c>
    </row>
    <row r="46" spans="1:2">
      <c r="A46">
        <f t="shared" si="0"/>
        <v>45</v>
      </c>
      <c r="B46">
        <v>9.8461999999999996</v>
      </c>
    </row>
    <row r="47" spans="1:2">
      <c r="A47">
        <f t="shared" si="0"/>
        <v>46</v>
      </c>
      <c r="B47">
        <v>9.7927400000000002</v>
      </c>
    </row>
    <row r="48" spans="1:2">
      <c r="A48">
        <f t="shared" si="0"/>
        <v>47</v>
      </c>
      <c r="B48">
        <v>9.7393300000000007</v>
      </c>
    </row>
    <row r="49" spans="1:2">
      <c r="A49">
        <f t="shared" si="0"/>
        <v>48</v>
      </c>
      <c r="B49">
        <v>9.6824600000000007</v>
      </c>
    </row>
    <row r="50" spans="1:2">
      <c r="A50">
        <f t="shared" si="0"/>
        <v>49</v>
      </c>
      <c r="B50">
        <v>9.63096</v>
      </c>
    </row>
    <row r="51" spans="1:2">
      <c r="A51">
        <f t="shared" si="0"/>
        <v>50</v>
      </c>
      <c r="B51">
        <v>9.5767900000000008</v>
      </c>
    </row>
    <row r="52" spans="1:2">
      <c r="A52">
        <f t="shared" si="0"/>
        <v>51</v>
      </c>
      <c r="B52">
        <v>9.5248799999999996</v>
      </c>
    </row>
    <row r="53" spans="1:2">
      <c r="A53">
        <f t="shared" si="0"/>
        <v>52</v>
      </c>
      <c r="B53">
        <v>9.47363</v>
      </c>
    </row>
    <row r="54" spans="1:2">
      <c r="A54">
        <f t="shared" si="0"/>
        <v>53</v>
      </c>
      <c r="B54">
        <v>9.4212199999999999</v>
      </c>
    </row>
    <row r="55" spans="1:2">
      <c r="A55">
        <f t="shared" si="0"/>
        <v>54</v>
      </c>
      <c r="B55">
        <v>9.3694199999999999</v>
      </c>
    </row>
    <row r="56" spans="1:2">
      <c r="A56">
        <f t="shared" si="0"/>
        <v>55</v>
      </c>
      <c r="B56">
        <v>9.3250299999999999</v>
      </c>
    </row>
    <row r="57" spans="1:2">
      <c r="A57">
        <f t="shared" si="0"/>
        <v>56</v>
      </c>
      <c r="B57">
        <v>9.2796599999999998</v>
      </c>
    </row>
    <row r="58" spans="1:2">
      <c r="A58">
        <f t="shared" si="0"/>
        <v>57</v>
      </c>
      <c r="B58">
        <v>9.2312399999999997</v>
      </c>
    </row>
    <row r="59" spans="1:2">
      <c r="A59">
        <f t="shared" si="0"/>
        <v>58</v>
      </c>
      <c r="B59">
        <v>9.1870200000000004</v>
      </c>
    </row>
    <row r="60" spans="1:2">
      <c r="A60">
        <f t="shared" si="0"/>
        <v>59</v>
      </c>
      <c r="B60">
        <v>9.1417400000000004</v>
      </c>
    </row>
    <row r="61" spans="1:2">
      <c r="A61">
        <f t="shared" si="0"/>
        <v>60</v>
      </c>
      <c r="B61">
        <v>9.0919699999999999</v>
      </c>
    </row>
    <row r="62" spans="1:2">
      <c r="A62">
        <f t="shared" si="0"/>
        <v>61</v>
      </c>
      <c r="B62">
        <v>9.0486199999999997</v>
      </c>
    </row>
    <row r="63" spans="1:2">
      <c r="A63">
        <f t="shared" si="0"/>
        <v>62</v>
      </c>
      <c r="B63">
        <v>9.0020699999999998</v>
      </c>
    </row>
    <row r="64" spans="1:2">
      <c r="A64">
        <f t="shared" si="0"/>
        <v>63</v>
      </c>
      <c r="B64">
        <v>8.9553100000000008</v>
      </c>
    </row>
    <row r="65" spans="1:2">
      <c r="A65">
        <f t="shared" si="0"/>
        <v>64</v>
      </c>
      <c r="B65">
        <v>8.9104399999999995</v>
      </c>
    </row>
    <row r="66" spans="1:2">
      <c r="A66">
        <f t="shared" ref="A66:A129" si="1">1+A65</f>
        <v>65</v>
      </c>
      <c r="B66">
        <v>8.8666800000000006</v>
      </c>
    </row>
    <row r="67" spans="1:2">
      <c r="A67">
        <f t="shared" si="1"/>
        <v>66</v>
      </c>
      <c r="B67">
        <v>8.8214299999999994</v>
      </c>
    </row>
    <row r="68" spans="1:2">
      <c r="A68">
        <f t="shared" si="1"/>
        <v>67</v>
      </c>
      <c r="B68">
        <v>8.7765299999999993</v>
      </c>
    </row>
    <row r="69" spans="1:2">
      <c r="A69">
        <f t="shared" si="1"/>
        <v>68</v>
      </c>
      <c r="B69">
        <v>8.7348800000000004</v>
      </c>
    </row>
    <row r="70" spans="1:2">
      <c r="A70">
        <f t="shared" si="1"/>
        <v>69</v>
      </c>
      <c r="B70">
        <v>8.6907999999999994</v>
      </c>
    </row>
    <row r="71" spans="1:2">
      <c r="A71">
        <f t="shared" si="1"/>
        <v>70</v>
      </c>
      <c r="B71">
        <v>8.6460399999999993</v>
      </c>
    </row>
    <row r="72" spans="1:2">
      <c r="A72">
        <f t="shared" si="1"/>
        <v>71</v>
      </c>
      <c r="B72">
        <v>8.6052700000000009</v>
      </c>
    </row>
    <row r="73" spans="1:2">
      <c r="A73">
        <f t="shared" si="1"/>
        <v>72</v>
      </c>
      <c r="B73">
        <v>8.56006</v>
      </c>
    </row>
    <row r="74" spans="1:2">
      <c r="A74">
        <f t="shared" si="1"/>
        <v>73</v>
      </c>
      <c r="B74">
        <v>8.5155600000000007</v>
      </c>
    </row>
    <row r="75" spans="1:2">
      <c r="A75">
        <f t="shared" si="1"/>
        <v>74</v>
      </c>
      <c r="B75">
        <v>8.4683399999999995</v>
      </c>
    </row>
    <row r="76" spans="1:2">
      <c r="A76">
        <f t="shared" si="1"/>
        <v>75</v>
      </c>
      <c r="B76">
        <v>8.4294700000000002</v>
      </c>
    </row>
    <row r="77" spans="1:2">
      <c r="A77">
        <f t="shared" si="1"/>
        <v>76</v>
      </c>
      <c r="B77">
        <v>8.3897899999999996</v>
      </c>
    </row>
    <row r="78" spans="1:2">
      <c r="A78">
        <f t="shared" si="1"/>
        <v>77</v>
      </c>
      <c r="B78">
        <v>8.3486399999999996</v>
      </c>
    </row>
    <row r="79" spans="1:2">
      <c r="A79">
        <f t="shared" si="1"/>
        <v>78</v>
      </c>
      <c r="B79">
        <v>8.3067799999999998</v>
      </c>
    </row>
    <row r="80" spans="1:2">
      <c r="A80">
        <f t="shared" si="1"/>
        <v>79</v>
      </c>
      <c r="B80">
        <v>8.2651199999999996</v>
      </c>
    </row>
    <row r="81" spans="1:2">
      <c r="A81">
        <f t="shared" si="1"/>
        <v>80</v>
      </c>
      <c r="B81">
        <v>8.2234700000000007</v>
      </c>
    </row>
    <row r="82" spans="1:2">
      <c r="A82">
        <f t="shared" si="1"/>
        <v>81</v>
      </c>
      <c r="B82">
        <v>8.17685</v>
      </c>
    </row>
    <row r="83" spans="1:2">
      <c r="A83">
        <f t="shared" si="1"/>
        <v>82</v>
      </c>
      <c r="B83">
        <v>8.1440000000000001</v>
      </c>
    </row>
    <row r="84" spans="1:2">
      <c r="A84">
        <f t="shared" si="1"/>
        <v>83</v>
      </c>
      <c r="B84">
        <v>8.1056899999999992</v>
      </c>
    </row>
    <row r="85" spans="1:2">
      <c r="A85">
        <f t="shared" si="1"/>
        <v>84</v>
      </c>
      <c r="B85">
        <v>8.0664400000000001</v>
      </c>
    </row>
    <row r="86" spans="1:2">
      <c r="A86">
        <f t="shared" si="1"/>
        <v>85</v>
      </c>
      <c r="B86">
        <v>8.0257799999999992</v>
      </c>
    </row>
    <row r="87" spans="1:2">
      <c r="A87">
        <f t="shared" si="1"/>
        <v>86</v>
      </c>
      <c r="B87">
        <v>7.9870099999999997</v>
      </c>
    </row>
    <row r="88" spans="1:2">
      <c r="A88">
        <f t="shared" si="1"/>
        <v>87</v>
      </c>
      <c r="B88">
        <v>7.9490299999999996</v>
      </c>
    </row>
    <row r="89" spans="1:2">
      <c r="A89">
        <f t="shared" si="1"/>
        <v>88</v>
      </c>
      <c r="B89">
        <v>7.9081200000000003</v>
      </c>
    </row>
    <row r="90" spans="1:2">
      <c r="A90">
        <f t="shared" si="1"/>
        <v>89</v>
      </c>
      <c r="B90">
        <v>7.8725199999999997</v>
      </c>
    </row>
    <row r="91" spans="1:2">
      <c r="A91">
        <f t="shared" si="1"/>
        <v>90</v>
      </c>
      <c r="B91">
        <v>7.83087</v>
      </c>
    </row>
    <row r="92" spans="1:2">
      <c r="A92">
        <f t="shared" si="1"/>
        <v>91</v>
      </c>
      <c r="B92">
        <v>7.7956599999999998</v>
      </c>
    </row>
    <row r="93" spans="1:2">
      <c r="A93">
        <f t="shared" si="1"/>
        <v>92</v>
      </c>
      <c r="B93">
        <v>7.7556200000000004</v>
      </c>
    </row>
    <row r="94" spans="1:2">
      <c r="A94">
        <f t="shared" si="1"/>
        <v>93</v>
      </c>
      <c r="B94">
        <v>7.7187200000000002</v>
      </c>
    </row>
    <row r="95" spans="1:2">
      <c r="A95">
        <f t="shared" si="1"/>
        <v>94</v>
      </c>
      <c r="B95">
        <v>7.6808399999999999</v>
      </c>
    </row>
    <row r="96" spans="1:2">
      <c r="A96">
        <f t="shared" si="1"/>
        <v>95</v>
      </c>
      <c r="B96">
        <v>7.6438100000000002</v>
      </c>
    </row>
    <row r="97" spans="1:2">
      <c r="A97">
        <f t="shared" si="1"/>
        <v>96</v>
      </c>
      <c r="B97">
        <v>7.6094799999999996</v>
      </c>
    </row>
    <row r="98" spans="1:2">
      <c r="A98">
        <f t="shared" si="1"/>
        <v>97</v>
      </c>
      <c r="B98">
        <v>7.5740100000000004</v>
      </c>
    </row>
    <row r="99" spans="1:2">
      <c r="A99">
        <f t="shared" si="1"/>
        <v>98</v>
      </c>
      <c r="B99">
        <v>7.5429300000000001</v>
      </c>
    </row>
    <row r="100" spans="1:2">
      <c r="A100">
        <f t="shared" si="1"/>
        <v>99</v>
      </c>
      <c r="B100">
        <v>7.5061999999999998</v>
      </c>
    </row>
    <row r="101" spans="1:2">
      <c r="A101">
        <f t="shared" si="1"/>
        <v>100</v>
      </c>
      <c r="B101">
        <v>7.4720300000000002</v>
      </c>
    </row>
    <row r="102" spans="1:2">
      <c r="A102">
        <f t="shared" si="1"/>
        <v>101</v>
      </c>
      <c r="B102">
        <v>7.4390400000000003</v>
      </c>
    </row>
    <row r="103" spans="1:2">
      <c r="A103">
        <f t="shared" si="1"/>
        <v>102</v>
      </c>
      <c r="B103">
        <v>7.4067999999999996</v>
      </c>
    </row>
    <row r="104" spans="1:2">
      <c r="A104">
        <f t="shared" si="1"/>
        <v>103</v>
      </c>
      <c r="B104">
        <v>7.3706699999999996</v>
      </c>
    </row>
    <row r="105" spans="1:2">
      <c r="A105">
        <f t="shared" si="1"/>
        <v>104</v>
      </c>
      <c r="B105">
        <v>7.3383099999999999</v>
      </c>
    </row>
    <row r="106" spans="1:2">
      <c r="A106">
        <f t="shared" si="1"/>
        <v>105</v>
      </c>
      <c r="B106">
        <v>7.3062500000000004</v>
      </c>
    </row>
    <row r="107" spans="1:2">
      <c r="A107">
        <f t="shared" si="1"/>
        <v>106</v>
      </c>
      <c r="B107">
        <v>7.2734699999999997</v>
      </c>
    </row>
    <row r="108" spans="1:2">
      <c r="A108">
        <f t="shared" si="1"/>
        <v>107</v>
      </c>
      <c r="B108">
        <v>7.2397999999999998</v>
      </c>
    </row>
    <row r="109" spans="1:2">
      <c r="A109">
        <f t="shared" si="1"/>
        <v>108</v>
      </c>
      <c r="B109">
        <v>7.2096200000000001</v>
      </c>
    </row>
    <row r="110" spans="1:2">
      <c r="A110">
        <f t="shared" si="1"/>
        <v>109</v>
      </c>
      <c r="B110">
        <v>7.1762800000000002</v>
      </c>
    </row>
    <row r="111" spans="1:2">
      <c r="A111">
        <f t="shared" si="1"/>
        <v>110</v>
      </c>
      <c r="B111">
        <v>7.1437900000000001</v>
      </c>
    </row>
    <row r="112" spans="1:2">
      <c r="A112">
        <f t="shared" si="1"/>
        <v>111</v>
      </c>
      <c r="B112">
        <v>7.1085900000000004</v>
      </c>
    </row>
    <row r="113" spans="1:2">
      <c r="A113">
        <f t="shared" si="1"/>
        <v>112</v>
      </c>
      <c r="B113">
        <v>7.0811099999999998</v>
      </c>
    </row>
    <row r="114" spans="1:2">
      <c r="A114">
        <f t="shared" si="1"/>
        <v>113</v>
      </c>
      <c r="B114">
        <v>7.0474699999999997</v>
      </c>
    </row>
    <row r="115" spans="1:2">
      <c r="A115">
        <f t="shared" si="1"/>
        <v>114</v>
      </c>
      <c r="B115">
        <v>7.0151899999999996</v>
      </c>
    </row>
    <row r="116" spans="1:2">
      <c r="A116">
        <f t="shared" si="1"/>
        <v>115</v>
      </c>
      <c r="B116">
        <v>6.9840799999999996</v>
      </c>
    </row>
    <row r="117" spans="1:2">
      <c r="A117">
        <f t="shared" si="1"/>
        <v>116</v>
      </c>
      <c r="B117">
        <v>6.9475600000000002</v>
      </c>
    </row>
    <row r="118" spans="1:2">
      <c r="A118">
        <f t="shared" si="1"/>
        <v>117</v>
      </c>
      <c r="B118">
        <v>6.9171100000000001</v>
      </c>
    </row>
    <row r="119" spans="1:2">
      <c r="A119">
        <f t="shared" si="1"/>
        <v>118</v>
      </c>
      <c r="B119">
        <v>6.8871000000000002</v>
      </c>
    </row>
    <row r="120" spans="1:2">
      <c r="A120">
        <f t="shared" si="1"/>
        <v>119</v>
      </c>
      <c r="B120">
        <v>6.8518600000000003</v>
      </c>
    </row>
    <row r="121" spans="1:2">
      <c r="A121">
        <f t="shared" si="1"/>
        <v>120</v>
      </c>
      <c r="B121">
        <v>6.8178900000000002</v>
      </c>
    </row>
    <row r="122" spans="1:2">
      <c r="A122">
        <f t="shared" si="1"/>
        <v>121</v>
      </c>
      <c r="B122">
        <v>6.7865700000000002</v>
      </c>
    </row>
    <row r="123" spans="1:2">
      <c r="A123">
        <f t="shared" si="1"/>
        <v>122</v>
      </c>
      <c r="B123">
        <v>6.7570399999999999</v>
      </c>
    </row>
    <row r="124" spans="1:2">
      <c r="A124">
        <f t="shared" si="1"/>
        <v>123</v>
      </c>
      <c r="B124">
        <v>6.7259200000000003</v>
      </c>
    </row>
    <row r="125" spans="1:2">
      <c r="A125">
        <f t="shared" si="1"/>
        <v>124</v>
      </c>
      <c r="B125">
        <v>6.6968800000000002</v>
      </c>
    </row>
    <row r="126" spans="1:2">
      <c r="A126">
        <f t="shared" si="1"/>
        <v>125</v>
      </c>
      <c r="B126">
        <v>6.66805</v>
      </c>
    </row>
    <row r="127" spans="1:2">
      <c r="A127">
        <f t="shared" si="1"/>
        <v>126</v>
      </c>
      <c r="B127">
        <v>6.6414299999999997</v>
      </c>
    </row>
    <row r="128" spans="1:2">
      <c r="A128">
        <f t="shared" si="1"/>
        <v>127</v>
      </c>
      <c r="B128">
        <v>6.6138700000000004</v>
      </c>
    </row>
    <row r="129" spans="1:2">
      <c r="A129">
        <f t="shared" si="1"/>
        <v>128</v>
      </c>
      <c r="B129">
        <v>6.5845799999999999</v>
      </c>
    </row>
    <row r="130" spans="1:2">
      <c r="A130">
        <f t="shared" ref="A130:A193" si="2">1+A129</f>
        <v>129</v>
      </c>
      <c r="B130">
        <v>6.5560900000000002</v>
      </c>
    </row>
    <row r="131" spans="1:2">
      <c r="A131">
        <f t="shared" si="2"/>
        <v>130</v>
      </c>
      <c r="B131">
        <v>6.5264300000000004</v>
      </c>
    </row>
    <row r="132" spans="1:2">
      <c r="A132">
        <f t="shared" si="2"/>
        <v>131</v>
      </c>
      <c r="B132">
        <v>6.5005199999999999</v>
      </c>
    </row>
    <row r="133" spans="1:2">
      <c r="A133">
        <f t="shared" si="2"/>
        <v>132</v>
      </c>
      <c r="B133">
        <v>6.47011</v>
      </c>
    </row>
    <row r="134" spans="1:2">
      <c r="A134">
        <f t="shared" si="2"/>
        <v>133</v>
      </c>
      <c r="B134">
        <v>6.4420000000000002</v>
      </c>
    </row>
    <row r="135" spans="1:2">
      <c r="A135">
        <f t="shared" si="2"/>
        <v>134</v>
      </c>
      <c r="B135">
        <v>6.4145099999999999</v>
      </c>
    </row>
    <row r="136" spans="1:2">
      <c r="A136">
        <f t="shared" si="2"/>
        <v>135</v>
      </c>
      <c r="B136">
        <v>6.3883099999999997</v>
      </c>
    </row>
    <row r="137" spans="1:2">
      <c r="A137">
        <f t="shared" si="2"/>
        <v>136</v>
      </c>
      <c r="B137">
        <v>6.3571</v>
      </c>
    </row>
    <row r="138" spans="1:2">
      <c r="A138">
        <f t="shared" si="2"/>
        <v>137</v>
      </c>
      <c r="B138">
        <v>6.3283199999999997</v>
      </c>
    </row>
    <row r="139" spans="1:2">
      <c r="A139">
        <f t="shared" si="2"/>
        <v>138</v>
      </c>
      <c r="B139">
        <v>6.2983500000000001</v>
      </c>
    </row>
    <row r="140" spans="1:2">
      <c r="A140">
        <f t="shared" si="2"/>
        <v>139</v>
      </c>
      <c r="B140">
        <v>6.2707699999999997</v>
      </c>
    </row>
    <row r="141" spans="1:2">
      <c r="A141">
        <f t="shared" si="2"/>
        <v>140</v>
      </c>
      <c r="B141">
        <v>6.2424200000000001</v>
      </c>
    </row>
    <row r="142" spans="1:2">
      <c r="A142">
        <f t="shared" si="2"/>
        <v>141</v>
      </c>
      <c r="B142">
        <v>6.2167599999999998</v>
      </c>
    </row>
    <row r="143" spans="1:2">
      <c r="A143">
        <f t="shared" si="2"/>
        <v>142</v>
      </c>
      <c r="B143">
        <v>6.1904000000000003</v>
      </c>
    </row>
    <row r="144" spans="1:2">
      <c r="A144">
        <f t="shared" si="2"/>
        <v>143</v>
      </c>
      <c r="B144">
        <v>6.1672700000000003</v>
      </c>
    </row>
    <row r="145" spans="1:2">
      <c r="A145">
        <f t="shared" si="2"/>
        <v>144</v>
      </c>
      <c r="B145">
        <v>6.14039</v>
      </c>
    </row>
    <row r="146" spans="1:2">
      <c r="A146">
        <f t="shared" si="2"/>
        <v>145</v>
      </c>
      <c r="B146">
        <v>6.1151099999999996</v>
      </c>
    </row>
    <row r="147" spans="1:2">
      <c r="A147">
        <f t="shared" si="2"/>
        <v>146</v>
      </c>
      <c r="B147">
        <v>6.0868799999999998</v>
      </c>
    </row>
    <row r="148" spans="1:2">
      <c r="A148">
        <f t="shared" si="2"/>
        <v>147</v>
      </c>
      <c r="B148">
        <v>6.0648200000000001</v>
      </c>
    </row>
    <row r="149" spans="1:2">
      <c r="A149">
        <f t="shared" si="2"/>
        <v>148</v>
      </c>
      <c r="B149">
        <v>6.0393699999999999</v>
      </c>
    </row>
    <row r="150" spans="1:2">
      <c r="A150">
        <f t="shared" si="2"/>
        <v>149</v>
      </c>
      <c r="B150">
        <v>6.0104300000000004</v>
      </c>
    </row>
    <row r="151" spans="1:2">
      <c r="A151">
        <f t="shared" si="2"/>
        <v>150</v>
      </c>
      <c r="B151">
        <v>5.9828200000000002</v>
      </c>
    </row>
    <row r="152" spans="1:2">
      <c r="A152">
        <f t="shared" si="2"/>
        <v>151</v>
      </c>
      <c r="B152">
        <v>5.95139</v>
      </c>
    </row>
    <row r="153" spans="1:2">
      <c r="A153">
        <f t="shared" si="2"/>
        <v>152</v>
      </c>
      <c r="B153">
        <v>5.9254100000000003</v>
      </c>
    </row>
    <row r="154" spans="1:2">
      <c r="A154">
        <f t="shared" si="2"/>
        <v>153</v>
      </c>
      <c r="B154">
        <v>5.8991100000000003</v>
      </c>
    </row>
    <row r="155" spans="1:2">
      <c r="A155">
        <f t="shared" si="2"/>
        <v>154</v>
      </c>
      <c r="B155">
        <v>5.8737000000000004</v>
      </c>
    </row>
    <row r="156" spans="1:2">
      <c r="A156">
        <f t="shared" si="2"/>
        <v>155</v>
      </c>
      <c r="B156">
        <v>5.8505900000000004</v>
      </c>
    </row>
    <row r="157" spans="1:2">
      <c r="A157">
        <f t="shared" si="2"/>
        <v>156</v>
      </c>
      <c r="B157">
        <v>5.8252100000000002</v>
      </c>
    </row>
    <row r="158" spans="1:2">
      <c r="A158">
        <f t="shared" si="2"/>
        <v>157</v>
      </c>
      <c r="B158">
        <v>5.8003299999999998</v>
      </c>
    </row>
    <row r="159" spans="1:2">
      <c r="A159">
        <f t="shared" si="2"/>
        <v>158</v>
      </c>
      <c r="B159">
        <v>5.77522</v>
      </c>
    </row>
    <row r="160" spans="1:2">
      <c r="A160">
        <f t="shared" si="2"/>
        <v>159</v>
      </c>
      <c r="B160">
        <v>5.75068</v>
      </c>
    </row>
    <row r="161" spans="1:2">
      <c r="A161">
        <f t="shared" si="2"/>
        <v>160</v>
      </c>
      <c r="B161">
        <v>5.7253600000000002</v>
      </c>
    </row>
    <row r="162" spans="1:2">
      <c r="A162">
        <f t="shared" si="2"/>
        <v>161</v>
      </c>
      <c r="B162">
        <v>5.7004099999999998</v>
      </c>
    </row>
    <row r="163" spans="1:2">
      <c r="A163">
        <f t="shared" si="2"/>
        <v>162</v>
      </c>
      <c r="B163">
        <v>5.67537</v>
      </c>
    </row>
    <row r="164" spans="1:2">
      <c r="A164">
        <f t="shared" si="2"/>
        <v>163</v>
      </c>
      <c r="B164">
        <v>5.6517900000000001</v>
      </c>
    </row>
    <row r="165" spans="1:2">
      <c r="A165">
        <f t="shared" si="2"/>
        <v>164</v>
      </c>
      <c r="B165">
        <v>5.6298300000000001</v>
      </c>
    </row>
    <row r="166" spans="1:2">
      <c r="A166">
        <f t="shared" si="2"/>
        <v>165</v>
      </c>
      <c r="B166">
        <v>5.6070900000000004</v>
      </c>
    </row>
    <row r="167" spans="1:2">
      <c r="A167">
        <f t="shared" si="2"/>
        <v>166</v>
      </c>
      <c r="B167">
        <v>5.5879200000000004</v>
      </c>
    </row>
    <row r="168" spans="1:2">
      <c r="A168">
        <f t="shared" si="2"/>
        <v>167</v>
      </c>
      <c r="B168">
        <v>5.5596199999999998</v>
      </c>
    </row>
    <row r="169" spans="1:2">
      <c r="A169">
        <f t="shared" si="2"/>
        <v>168</v>
      </c>
      <c r="B169">
        <v>5.5422200000000004</v>
      </c>
    </row>
    <row r="170" spans="1:2">
      <c r="A170">
        <f t="shared" si="2"/>
        <v>169</v>
      </c>
      <c r="B170">
        <v>5.5194799999999997</v>
      </c>
    </row>
    <row r="171" spans="1:2">
      <c r="A171">
        <f t="shared" si="2"/>
        <v>170</v>
      </c>
      <c r="B171">
        <v>5.4923999999999999</v>
      </c>
    </row>
    <row r="172" spans="1:2">
      <c r="A172">
        <f t="shared" si="2"/>
        <v>171</v>
      </c>
      <c r="B172">
        <v>5.4706999999999999</v>
      </c>
    </row>
    <row r="173" spans="1:2">
      <c r="A173">
        <f t="shared" si="2"/>
        <v>172</v>
      </c>
      <c r="B173">
        <v>5.4477500000000001</v>
      </c>
    </row>
    <row r="174" spans="1:2">
      <c r="A174">
        <f t="shared" si="2"/>
        <v>173</v>
      </c>
      <c r="B174">
        <v>5.4250999999999996</v>
      </c>
    </row>
    <row r="175" spans="1:2">
      <c r="A175">
        <f t="shared" si="2"/>
        <v>174</v>
      </c>
      <c r="B175">
        <v>5.4021100000000004</v>
      </c>
    </row>
    <row r="176" spans="1:2">
      <c r="A176">
        <f t="shared" si="2"/>
        <v>175</v>
      </c>
      <c r="B176">
        <v>5.3763800000000002</v>
      </c>
    </row>
    <row r="177" spans="1:2">
      <c r="A177">
        <f t="shared" si="2"/>
        <v>176</v>
      </c>
      <c r="B177">
        <v>5.3518299999999996</v>
      </c>
    </row>
    <row r="178" spans="1:2">
      <c r="A178">
        <f t="shared" si="2"/>
        <v>177</v>
      </c>
      <c r="B178">
        <v>5.3322000000000003</v>
      </c>
    </row>
    <row r="179" spans="1:2">
      <c r="A179">
        <f t="shared" si="2"/>
        <v>178</v>
      </c>
      <c r="B179">
        <v>5.3088199999999999</v>
      </c>
    </row>
    <row r="180" spans="1:2">
      <c r="A180">
        <f t="shared" si="2"/>
        <v>179</v>
      </c>
      <c r="B180">
        <v>5.2869400000000004</v>
      </c>
    </row>
    <row r="181" spans="1:2">
      <c r="A181">
        <f t="shared" si="2"/>
        <v>180</v>
      </c>
      <c r="B181">
        <v>5.2621599999999997</v>
      </c>
    </row>
    <row r="182" spans="1:2">
      <c r="A182">
        <f t="shared" si="2"/>
        <v>181</v>
      </c>
      <c r="B182">
        <v>5.2421899999999999</v>
      </c>
    </row>
    <row r="183" spans="1:2">
      <c r="A183">
        <f t="shared" si="2"/>
        <v>182</v>
      </c>
      <c r="B183">
        <v>5.2174199999999997</v>
      </c>
    </row>
    <row r="184" spans="1:2">
      <c r="A184">
        <f t="shared" si="2"/>
        <v>183</v>
      </c>
      <c r="B184">
        <v>5.1929800000000004</v>
      </c>
    </row>
    <row r="185" spans="1:2">
      <c r="A185">
        <f t="shared" si="2"/>
        <v>184</v>
      </c>
      <c r="B185">
        <v>5.1681299999999997</v>
      </c>
    </row>
    <row r="186" spans="1:2">
      <c r="A186">
        <f t="shared" si="2"/>
        <v>185</v>
      </c>
      <c r="B186">
        <v>5.1473899999999997</v>
      </c>
    </row>
    <row r="187" spans="1:2">
      <c r="A187">
        <f t="shared" si="2"/>
        <v>186</v>
      </c>
      <c r="B187">
        <v>5.1262400000000001</v>
      </c>
    </row>
    <row r="188" spans="1:2">
      <c r="A188">
        <f t="shared" si="2"/>
        <v>187</v>
      </c>
      <c r="B188">
        <v>5.1073599999999999</v>
      </c>
    </row>
    <row r="189" spans="1:2">
      <c r="A189">
        <f t="shared" si="2"/>
        <v>188</v>
      </c>
      <c r="B189">
        <v>5.0810700000000004</v>
      </c>
    </row>
    <row r="190" spans="1:2">
      <c r="A190">
        <f t="shared" si="2"/>
        <v>189</v>
      </c>
      <c r="B190">
        <v>5.0615600000000001</v>
      </c>
    </row>
    <row r="191" spans="1:2">
      <c r="A191">
        <f t="shared" si="2"/>
        <v>190</v>
      </c>
      <c r="B191">
        <v>5.0470800000000002</v>
      </c>
    </row>
    <row r="192" spans="1:2">
      <c r="A192">
        <f t="shared" si="2"/>
        <v>191</v>
      </c>
      <c r="B192">
        <v>5.0221400000000003</v>
      </c>
    </row>
    <row r="193" spans="1:2">
      <c r="A193">
        <f t="shared" si="2"/>
        <v>192</v>
      </c>
      <c r="B193">
        <v>5.0036100000000001</v>
      </c>
    </row>
    <row r="194" spans="1:2">
      <c r="A194">
        <f t="shared" ref="A194:A257" si="3">1+A193</f>
        <v>193</v>
      </c>
      <c r="B194">
        <v>4.9819500000000003</v>
      </c>
    </row>
    <row r="195" spans="1:2">
      <c r="A195">
        <f t="shared" si="3"/>
        <v>194</v>
      </c>
      <c r="B195">
        <v>4.9618799999999998</v>
      </c>
    </row>
    <row r="196" spans="1:2">
      <c r="A196">
        <f t="shared" si="3"/>
        <v>195</v>
      </c>
      <c r="B196">
        <v>4.9486999999999997</v>
      </c>
    </row>
    <row r="197" spans="1:2">
      <c r="A197">
        <f t="shared" si="3"/>
        <v>196</v>
      </c>
      <c r="B197">
        <v>4.9286000000000003</v>
      </c>
    </row>
    <row r="198" spans="1:2">
      <c r="A198">
        <f t="shared" si="3"/>
        <v>197</v>
      </c>
      <c r="B198">
        <v>4.9119299999999999</v>
      </c>
    </row>
    <row r="199" spans="1:2">
      <c r="A199">
        <f t="shared" si="3"/>
        <v>198</v>
      </c>
      <c r="B199">
        <v>4.8890900000000004</v>
      </c>
    </row>
    <row r="200" spans="1:2">
      <c r="A200">
        <f t="shared" si="3"/>
        <v>199</v>
      </c>
      <c r="B200">
        <v>4.8657399999999997</v>
      </c>
    </row>
    <row r="201" spans="1:2">
      <c r="A201">
        <f t="shared" si="3"/>
        <v>200</v>
      </c>
      <c r="B201">
        <v>4.8483299999999998</v>
      </c>
    </row>
    <row r="202" spans="1:2">
      <c r="A202">
        <f t="shared" si="3"/>
        <v>201</v>
      </c>
      <c r="B202">
        <v>4.8328600000000002</v>
      </c>
    </row>
    <row r="203" spans="1:2">
      <c r="A203">
        <f t="shared" si="3"/>
        <v>202</v>
      </c>
      <c r="B203">
        <v>4.8129200000000001</v>
      </c>
    </row>
    <row r="204" spans="1:2">
      <c r="A204">
        <f t="shared" si="3"/>
        <v>203</v>
      </c>
      <c r="B204">
        <v>4.7976200000000002</v>
      </c>
    </row>
    <row r="205" spans="1:2">
      <c r="A205">
        <f t="shared" si="3"/>
        <v>204</v>
      </c>
      <c r="B205">
        <v>4.7734800000000002</v>
      </c>
    </row>
    <row r="206" spans="1:2">
      <c r="A206">
        <f t="shared" si="3"/>
        <v>205</v>
      </c>
      <c r="B206">
        <v>4.7529700000000004</v>
      </c>
    </row>
    <row r="207" spans="1:2">
      <c r="A207">
        <f t="shared" si="3"/>
        <v>206</v>
      </c>
      <c r="B207">
        <v>4.73353</v>
      </c>
    </row>
    <row r="208" spans="1:2">
      <c r="A208">
        <f t="shared" si="3"/>
        <v>207</v>
      </c>
      <c r="B208">
        <v>4.71807</v>
      </c>
    </row>
    <row r="209" spans="1:2">
      <c r="A209">
        <f t="shared" si="3"/>
        <v>208</v>
      </c>
      <c r="B209">
        <v>4.6943700000000002</v>
      </c>
    </row>
    <row r="210" spans="1:2">
      <c r="A210">
        <f t="shared" si="3"/>
        <v>209</v>
      </c>
      <c r="B210">
        <v>4.6755300000000002</v>
      </c>
    </row>
    <row r="211" spans="1:2">
      <c r="A211">
        <f t="shared" si="3"/>
        <v>210</v>
      </c>
      <c r="B211">
        <v>4.65923</v>
      </c>
    </row>
    <row r="212" spans="1:2">
      <c r="A212">
        <f t="shared" si="3"/>
        <v>211</v>
      </c>
      <c r="B212">
        <v>4.6425400000000003</v>
      </c>
    </row>
    <row r="213" spans="1:2">
      <c r="A213">
        <f t="shared" si="3"/>
        <v>212</v>
      </c>
      <c r="B213">
        <v>4.6276900000000003</v>
      </c>
    </row>
    <row r="214" spans="1:2">
      <c r="A214">
        <f t="shared" si="3"/>
        <v>213</v>
      </c>
      <c r="B214">
        <v>4.6135599999999997</v>
      </c>
    </row>
    <row r="215" spans="1:2">
      <c r="A215">
        <f t="shared" si="3"/>
        <v>214</v>
      </c>
      <c r="B215">
        <v>4.59239</v>
      </c>
    </row>
    <row r="216" spans="1:2">
      <c r="A216">
        <f t="shared" si="3"/>
        <v>215</v>
      </c>
      <c r="B216">
        <v>4.5699300000000003</v>
      </c>
    </row>
    <row r="217" spans="1:2">
      <c r="A217">
        <f t="shared" si="3"/>
        <v>216</v>
      </c>
      <c r="B217">
        <v>4.5496999999999996</v>
      </c>
    </row>
    <row r="218" spans="1:2">
      <c r="A218">
        <f t="shared" si="3"/>
        <v>217</v>
      </c>
      <c r="B218">
        <v>4.5299399999999999</v>
      </c>
    </row>
    <row r="219" spans="1:2">
      <c r="A219">
        <f t="shared" si="3"/>
        <v>218</v>
      </c>
      <c r="B219">
        <v>4.5106599999999997</v>
      </c>
    </row>
    <row r="220" spans="1:2">
      <c r="A220">
        <f t="shared" si="3"/>
        <v>219</v>
      </c>
      <c r="B220">
        <v>4.4937500000000004</v>
      </c>
    </row>
    <row r="221" spans="1:2">
      <c r="A221">
        <f t="shared" si="3"/>
        <v>220</v>
      </c>
      <c r="B221">
        <v>4.4748700000000001</v>
      </c>
    </row>
    <row r="222" spans="1:2">
      <c r="A222">
        <f t="shared" si="3"/>
        <v>221</v>
      </c>
      <c r="B222">
        <v>4.4585800000000004</v>
      </c>
    </row>
    <row r="223" spans="1:2">
      <c r="A223">
        <f t="shared" si="3"/>
        <v>222</v>
      </c>
      <c r="B223">
        <v>4.4354300000000002</v>
      </c>
    </row>
    <row r="224" spans="1:2">
      <c r="A224">
        <f t="shared" si="3"/>
        <v>223</v>
      </c>
      <c r="B224">
        <v>4.4136100000000003</v>
      </c>
    </row>
    <row r="225" spans="1:2">
      <c r="A225">
        <f t="shared" si="3"/>
        <v>224</v>
      </c>
      <c r="B225">
        <v>4.3995600000000001</v>
      </c>
    </row>
    <row r="226" spans="1:2">
      <c r="A226">
        <f t="shared" si="3"/>
        <v>225</v>
      </c>
      <c r="B226">
        <v>4.3846999999999996</v>
      </c>
    </row>
    <row r="227" spans="1:2">
      <c r="A227">
        <f t="shared" si="3"/>
        <v>226</v>
      </c>
      <c r="B227">
        <v>4.3668500000000003</v>
      </c>
    </row>
    <row r="228" spans="1:2">
      <c r="A228">
        <f t="shared" si="3"/>
        <v>227</v>
      </c>
      <c r="B228">
        <v>4.3487999999999998</v>
      </c>
    </row>
    <row r="229" spans="1:2">
      <c r="A229">
        <f t="shared" si="3"/>
        <v>228</v>
      </c>
      <c r="B229">
        <v>4.3342200000000002</v>
      </c>
    </row>
    <row r="230" spans="1:2">
      <c r="A230">
        <f t="shared" si="3"/>
        <v>229</v>
      </c>
      <c r="B230">
        <v>4.3171299999999997</v>
      </c>
    </row>
    <row r="231" spans="1:2">
      <c r="A231">
        <f t="shared" si="3"/>
        <v>230</v>
      </c>
      <c r="B231">
        <v>4.3073699999999997</v>
      </c>
    </row>
    <row r="232" spans="1:2">
      <c r="A232">
        <f t="shared" si="3"/>
        <v>231</v>
      </c>
      <c r="B232">
        <v>4.2882800000000003</v>
      </c>
    </row>
    <row r="233" spans="1:2">
      <c r="A233">
        <f t="shared" si="3"/>
        <v>232</v>
      </c>
      <c r="B233">
        <v>4.26912</v>
      </c>
    </row>
    <row r="234" spans="1:2">
      <c r="A234">
        <f t="shared" si="3"/>
        <v>233</v>
      </c>
      <c r="B234">
        <v>4.2584499999999998</v>
      </c>
    </row>
    <row r="235" spans="1:2">
      <c r="A235">
        <f t="shared" si="3"/>
        <v>234</v>
      </c>
      <c r="B235">
        <v>4.2372699999999996</v>
      </c>
    </row>
    <row r="236" spans="1:2">
      <c r="A236">
        <f t="shared" si="3"/>
        <v>235</v>
      </c>
      <c r="B236">
        <v>4.2218299999999997</v>
      </c>
    </row>
    <row r="237" spans="1:2">
      <c r="A237">
        <f t="shared" si="3"/>
        <v>236</v>
      </c>
      <c r="B237">
        <v>4.20777</v>
      </c>
    </row>
    <row r="238" spans="1:2">
      <c r="A238">
        <f t="shared" si="3"/>
        <v>237</v>
      </c>
      <c r="B238">
        <v>4.1897200000000003</v>
      </c>
    </row>
    <row r="239" spans="1:2">
      <c r="A239">
        <f t="shared" si="3"/>
        <v>238</v>
      </c>
      <c r="B239">
        <v>4.1734400000000003</v>
      </c>
    </row>
    <row r="240" spans="1:2">
      <c r="A240">
        <f t="shared" si="3"/>
        <v>239</v>
      </c>
      <c r="B240">
        <v>4.1518300000000004</v>
      </c>
    </row>
    <row r="241" spans="1:2">
      <c r="A241">
        <f t="shared" si="3"/>
        <v>240</v>
      </c>
      <c r="B241">
        <v>4.1351199999999997</v>
      </c>
    </row>
    <row r="242" spans="1:2">
      <c r="A242">
        <f t="shared" si="3"/>
        <v>241</v>
      </c>
      <c r="B242">
        <v>4.1161199999999996</v>
      </c>
    </row>
    <row r="243" spans="1:2">
      <c r="A243">
        <f t="shared" si="3"/>
        <v>242</v>
      </c>
      <c r="B243">
        <v>4.0969699999999998</v>
      </c>
    </row>
    <row r="244" spans="1:2">
      <c r="A244">
        <f t="shared" si="3"/>
        <v>243</v>
      </c>
      <c r="B244">
        <v>4.0804900000000002</v>
      </c>
    </row>
    <row r="245" spans="1:2">
      <c r="A245">
        <f t="shared" si="3"/>
        <v>244</v>
      </c>
      <c r="B245">
        <v>4.0631599999999999</v>
      </c>
    </row>
    <row r="246" spans="1:2">
      <c r="A246">
        <f t="shared" si="3"/>
        <v>245</v>
      </c>
      <c r="B246">
        <v>4.0464700000000002</v>
      </c>
    </row>
    <row r="247" spans="1:2">
      <c r="A247">
        <f t="shared" si="3"/>
        <v>246</v>
      </c>
      <c r="B247">
        <v>4.02902</v>
      </c>
    </row>
    <row r="248" spans="1:2">
      <c r="A248">
        <f t="shared" si="3"/>
        <v>247</v>
      </c>
      <c r="B248">
        <v>4.0142199999999999</v>
      </c>
    </row>
    <row r="249" spans="1:2">
      <c r="A249">
        <f t="shared" si="3"/>
        <v>248</v>
      </c>
      <c r="B249">
        <v>4.0038900000000002</v>
      </c>
    </row>
    <row r="250" spans="1:2">
      <c r="A250">
        <f t="shared" si="3"/>
        <v>249</v>
      </c>
      <c r="B250">
        <v>3.9883500000000001</v>
      </c>
    </row>
    <row r="251" spans="1:2">
      <c r="A251">
        <f t="shared" si="3"/>
        <v>250</v>
      </c>
      <c r="B251">
        <v>3.97478</v>
      </c>
    </row>
    <row r="252" spans="1:2">
      <c r="A252">
        <f t="shared" si="3"/>
        <v>251</v>
      </c>
      <c r="B252">
        <v>3.9617800000000001</v>
      </c>
    </row>
    <row r="253" spans="1:2">
      <c r="A253">
        <f t="shared" si="3"/>
        <v>252</v>
      </c>
      <c r="B253">
        <v>3.9445899999999998</v>
      </c>
    </row>
    <row r="254" spans="1:2">
      <c r="A254">
        <f t="shared" si="3"/>
        <v>253</v>
      </c>
      <c r="B254">
        <v>3.9265400000000001</v>
      </c>
    </row>
    <row r="255" spans="1:2">
      <c r="A255">
        <f t="shared" si="3"/>
        <v>254</v>
      </c>
      <c r="B255">
        <v>3.9087000000000001</v>
      </c>
    </row>
    <row r="256" spans="1:2">
      <c r="A256">
        <f t="shared" si="3"/>
        <v>255</v>
      </c>
      <c r="B256">
        <v>3.8949199999999999</v>
      </c>
    </row>
    <row r="257" spans="1:2">
      <c r="A257">
        <f t="shared" si="3"/>
        <v>256</v>
      </c>
      <c r="B257">
        <v>3.8831699999999998</v>
      </c>
    </row>
    <row r="258" spans="1:2">
      <c r="A258">
        <f t="shared" ref="A258:A321" si="4">1+A257</f>
        <v>257</v>
      </c>
      <c r="B258">
        <v>3.8656799999999998</v>
      </c>
    </row>
    <row r="259" spans="1:2">
      <c r="A259">
        <f t="shared" si="4"/>
        <v>258</v>
      </c>
      <c r="B259">
        <v>3.8514900000000001</v>
      </c>
    </row>
    <row r="260" spans="1:2">
      <c r="A260">
        <f t="shared" si="4"/>
        <v>259</v>
      </c>
      <c r="B260">
        <v>3.8374700000000002</v>
      </c>
    </row>
    <row r="261" spans="1:2">
      <c r="A261">
        <f t="shared" si="4"/>
        <v>260</v>
      </c>
      <c r="B261">
        <v>3.8242400000000001</v>
      </c>
    </row>
    <row r="262" spans="1:2">
      <c r="A262">
        <f t="shared" si="4"/>
        <v>261</v>
      </c>
      <c r="B262">
        <v>3.8056899999999998</v>
      </c>
    </row>
    <row r="263" spans="1:2">
      <c r="A263">
        <f t="shared" si="4"/>
        <v>262</v>
      </c>
      <c r="B263">
        <v>3.7887400000000002</v>
      </c>
    </row>
    <row r="264" spans="1:2">
      <c r="A264">
        <f t="shared" si="4"/>
        <v>263</v>
      </c>
      <c r="B264">
        <v>3.7692700000000001</v>
      </c>
    </row>
    <row r="265" spans="1:2">
      <c r="A265">
        <f t="shared" si="4"/>
        <v>264</v>
      </c>
      <c r="B265">
        <v>3.7586200000000001</v>
      </c>
    </row>
    <row r="266" spans="1:2">
      <c r="A266">
        <f t="shared" si="4"/>
        <v>265</v>
      </c>
      <c r="B266">
        <v>3.7444500000000001</v>
      </c>
    </row>
    <row r="267" spans="1:2">
      <c r="A267">
        <f t="shared" si="4"/>
        <v>266</v>
      </c>
      <c r="B267">
        <v>3.7347199999999998</v>
      </c>
    </row>
    <row r="268" spans="1:2">
      <c r="A268">
        <f t="shared" si="4"/>
        <v>267</v>
      </c>
      <c r="B268">
        <v>3.72079</v>
      </c>
    </row>
    <row r="269" spans="1:2">
      <c r="A269">
        <f t="shared" si="4"/>
        <v>268</v>
      </c>
      <c r="B269">
        <v>3.7040000000000002</v>
      </c>
    </row>
    <row r="270" spans="1:2">
      <c r="A270">
        <f t="shared" si="4"/>
        <v>269</v>
      </c>
      <c r="B270">
        <v>3.69346</v>
      </c>
    </row>
    <row r="271" spans="1:2">
      <c r="A271">
        <f t="shared" si="4"/>
        <v>270</v>
      </c>
      <c r="B271">
        <v>3.6787700000000001</v>
      </c>
    </row>
    <row r="272" spans="1:2">
      <c r="A272">
        <f t="shared" si="4"/>
        <v>271</v>
      </c>
      <c r="B272">
        <v>3.6600100000000002</v>
      </c>
    </row>
    <row r="273" spans="1:2">
      <c r="A273">
        <f t="shared" si="4"/>
        <v>272</v>
      </c>
      <c r="B273">
        <v>3.64466</v>
      </c>
    </row>
    <row r="274" spans="1:2">
      <c r="A274">
        <f t="shared" si="4"/>
        <v>273</v>
      </c>
      <c r="B274">
        <v>3.6312700000000002</v>
      </c>
    </row>
    <row r="275" spans="1:2">
      <c r="A275">
        <f t="shared" si="4"/>
        <v>274</v>
      </c>
      <c r="B275">
        <v>3.6169099999999998</v>
      </c>
    </row>
    <row r="276" spans="1:2">
      <c r="A276">
        <f t="shared" si="4"/>
        <v>275</v>
      </c>
      <c r="B276">
        <v>3.6013199999999999</v>
      </c>
    </row>
    <row r="277" spans="1:2">
      <c r="A277">
        <f t="shared" si="4"/>
        <v>276</v>
      </c>
      <c r="B277">
        <v>3.5865300000000002</v>
      </c>
    </row>
    <row r="278" spans="1:2">
      <c r="A278">
        <f t="shared" si="4"/>
        <v>277</v>
      </c>
      <c r="B278">
        <v>3.5706199999999999</v>
      </c>
    </row>
    <row r="279" spans="1:2">
      <c r="A279">
        <f t="shared" si="4"/>
        <v>278</v>
      </c>
      <c r="B279">
        <v>3.5518000000000001</v>
      </c>
    </row>
    <row r="280" spans="1:2">
      <c r="A280">
        <f t="shared" si="4"/>
        <v>279</v>
      </c>
      <c r="B280">
        <v>3.5393300000000001</v>
      </c>
    </row>
    <row r="281" spans="1:2">
      <c r="A281">
        <f t="shared" si="4"/>
        <v>280</v>
      </c>
      <c r="B281">
        <v>3.5262500000000001</v>
      </c>
    </row>
    <row r="282" spans="1:2">
      <c r="A282">
        <f t="shared" si="4"/>
        <v>281</v>
      </c>
      <c r="B282">
        <v>3.5064799999999998</v>
      </c>
    </row>
    <row r="283" spans="1:2">
      <c r="A283">
        <f t="shared" si="4"/>
        <v>282</v>
      </c>
      <c r="B283">
        <v>3.4957799999999999</v>
      </c>
    </row>
    <row r="284" spans="1:2">
      <c r="A284">
        <f t="shared" si="4"/>
        <v>283</v>
      </c>
      <c r="B284">
        <v>3.4796800000000001</v>
      </c>
    </row>
    <row r="285" spans="1:2">
      <c r="A285">
        <f t="shared" si="4"/>
        <v>284</v>
      </c>
      <c r="B285">
        <v>3.4665499999999998</v>
      </c>
    </row>
    <row r="286" spans="1:2">
      <c r="A286">
        <f t="shared" si="4"/>
        <v>285</v>
      </c>
      <c r="B286">
        <v>3.4541599999999999</v>
      </c>
    </row>
    <row r="287" spans="1:2">
      <c r="A287">
        <f t="shared" si="4"/>
        <v>286</v>
      </c>
      <c r="B287">
        <v>3.44285</v>
      </c>
    </row>
    <row r="288" spans="1:2">
      <c r="A288">
        <f t="shared" si="4"/>
        <v>287</v>
      </c>
      <c r="B288">
        <v>3.4315099999999998</v>
      </c>
    </row>
    <row r="289" spans="1:2">
      <c r="A289">
        <f t="shared" si="4"/>
        <v>288</v>
      </c>
      <c r="B289">
        <v>3.4194399999999998</v>
      </c>
    </row>
    <row r="290" spans="1:2">
      <c r="A290">
        <f t="shared" si="4"/>
        <v>289</v>
      </c>
      <c r="B290">
        <v>3.4052099999999998</v>
      </c>
    </row>
    <row r="291" spans="1:2">
      <c r="A291">
        <f t="shared" si="4"/>
        <v>290</v>
      </c>
      <c r="B291">
        <v>3.39575</v>
      </c>
    </row>
    <row r="292" spans="1:2">
      <c r="A292">
        <f t="shared" si="4"/>
        <v>291</v>
      </c>
      <c r="B292">
        <v>3.37981</v>
      </c>
    </row>
    <row r="293" spans="1:2">
      <c r="A293">
        <f t="shared" si="4"/>
        <v>292</v>
      </c>
      <c r="B293">
        <v>3.3601899999999998</v>
      </c>
    </row>
    <row r="294" spans="1:2">
      <c r="A294">
        <f t="shared" si="4"/>
        <v>293</v>
      </c>
      <c r="B294">
        <v>3.3495699999999999</v>
      </c>
    </row>
    <row r="295" spans="1:2">
      <c r="A295">
        <f t="shared" si="4"/>
        <v>294</v>
      </c>
      <c r="B295">
        <v>3.3378700000000001</v>
      </c>
    </row>
    <row r="296" spans="1:2">
      <c r="A296">
        <f t="shared" si="4"/>
        <v>295</v>
      </c>
      <c r="B296">
        <v>3.3233299999999999</v>
      </c>
    </row>
    <row r="297" spans="1:2">
      <c r="A297">
        <f t="shared" si="4"/>
        <v>296</v>
      </c>
      <c r="B297">
        <v>3.31229</v>
      </c>
    </row>
    <row r="298" spans="1:2">
      <c r="A298">
        <f t="shared" si="4"/>
        <v>297</v>
      </c>
      <c r="B298">
        <v>3.3019400000000001</v>
      </c>
    </row>
    <row r="299" spans="1:2">
      <c r="A299">
        <f t="shared" si="4"/>
        <v>298</v>
      </c>
      <c r="B299">
        <v>3.2848000000000002</v>
      </c>
    </row>
    <row r="300" spans="1:2">
      <c r="A300">
        <f t="shared" si="4"/>
        <v>299</v>
      </c>
      <c r="B300">
        <v>3.2764600000000002</v>
      </c>
    </row>
    <row r="301" spans="1:2">
      <c r="A301">
        <f t="shared" si="4"/>
        <v>300</v>
      </c>
      <c r="B301">
        <v>3.2641499999999999</v>
      </c>
    </row>
    <row r="302" spans="1:2">
      <c r="A302">
        <f t="shared" si="4"/>
        <v>301</v>
      </c>
      <c r="B302">
        <v>3.2521300000000002</v>
      </c>
    </row>
    <row r="303" spans="1:2">
      <c r="A303">
        <f t="shared" si="4"/>
        <v>302</v>
      </c>
      <c r="B303">
        <v>3.2340599999999999</v>
      </c>
    </row>
    <row r="304" spans="1:2">
      <c r="A304">
        <f t="shared" si="4"/>
        <v>303</v>
      </c>
      <c r="B304">
        <v>3.2168199999999998</v>
      </c>
    </row>
    <row r="305" spans="1:2">
      <c r="A305">
        <f t="shared" si="4"/>
        <v>304</v>
      </c>
      <c r="B305">
        <v>3.2084899999999998</v>
      </c>
    </row>
    <row r="306" spans="1:2">
      <c r="A306">
        <f t="shared" si="4"/>
        <v>305</v>
      </c>
      <c r="B306">
        <v>3.1899600000000001</v>
      </c>
    </row>
    <row r="307" spans="1:2">
      <c r="A307">
        <f t="shared" si="4"/>
        <v>306</v>
      </c>
      <c r="B307">
        <v>3.1734900000000001</v>
      </c>
    </row>
    <row r="308" spans="1:2">
      <c r="A308">
        <f t="shared" si="4"/>
        <v>307</v>
      </c>
      <c r="B308">
        <v>3.1646800000000002</v>
      </c>
    </row>
    <row r="309" spans="1:2">
      <c r="A309">
        <f t="shared" si="4"/>
        <v>308</v>
      </c>
      <c r="B309">
        <v>3.1555900000000001</v>
      </c>
    </row>
    <row r="310" spans="1:2">
      <c r="A310">
        <f t="shared" si="4"/>
        <v>309</v>
      </c>
      <c r="B310">
        <v>3.1312799999999998</v>
      </c>
    </row>
    <row r="311" spans="1:2">
      <c r="A311">
        <f t="shared" si="4"/>
        <v>310</v>
      </c>
      <c r="B311">
        <v>3.1152199999999999</v>
      </c>
    </row>
    <row r="312" spans="1:2">
      <c r="A312">
        <f t="shared" si="4"/>
        <v>311</v>
      </c>
      <c r="B312">
        <v>3.0990799999999998</v>
      </c>
    </row>
    <row r="313" spans="1:2">
      <c r="A313">
        <f t="shared" si="4"/>
        <v>312</v>
      </c>
      <c r="B313">
        <v>3.0859200000000002</v>
      </c>
    </row>
    <row r="314" spans="1:2">
      <c r="A314">
        <f t="shared" si="4"/>
        <v>313</v>
      </c>
      <c r="B314">
        <v>3.0690599999999999</v>
      </c>
    </row>
    <row r="315" spans="1:2">
      <c r="A315">
        <f t="shared" si="4"/>
        <v>314</v>
      </c>
      <c r="B315">
        <v>3.0623200000000002</v>
      </c>
    </row>
    <row r="316" spans="1:2">
      <c r="A316">
        <f t="shared" si="4"/>
        <v>315</v>
      </c>
      <c r="B316">
        <v>3.0497200000000002</v>
      </c>
    </row>
    <row r="317" spans="1:2">
      <c r="A317">
        <f t="shared" si="4"/>
        <v>316</v>
      </c>
      <c r="B317">
        <v>3.0326499999999998</v>
      </c>
    </row>
    <row r="318" spans="1:2">
      <c r="A318">
        <f t="shared" si="4"/>
        <v>317</v>
      </c>
      <c r="B318">
        <v>3.0211399999999999</v>
      </c>
    </row>
    <row r="319" spans="1:2">
      <c r="A319">
        <f t="shared" si="4"/>
        <v>318</v>
      </c>
      <c r="B319">
        <v>3.00461</v>
      </c>
    </row>
    <row r="320" spans="1:2">
      <c r="A320">
        <f t="shared" si="4"/>
        <v>319</v>
      </c>
      <c r="B320">
        <v>2.9931299999999998</v>
      </c>
    </row>
    <row r="321" spans="1:2">
      <c r="A321">
        <f t="shared" si="4"/>
        <v>320</v>
      </c>
      <c r="B321">
        <v>2.9734099999999999</v>
      </c>
    </row>
    <row r="322" spans="1:2">
      <c r="A322">
        <f t="shared" ref="A322:A385" si="5">1+A321</f>
        <v>321</v>
      </c>
      <c r="B322">
        <v>2.9612599999999998</v>
      </c>
    </row>
    <row r="323" spans="1:2">
      <c r="A323">
        <f t="shared" si="5"/>
        <v>322</v>
      </c>
      <c r="B323">
        <v>2.9496000000000002</v>
      </c>
    </row>
    <row r="324" spans="1:2">
      <c r="A324">
        <f t="shared" si="5"/>
        <v>323</v>
      </c>
      <c r="B324">
        <v>2.9411900000000002</v>
      </c>
    </row>
    <row r="325" spans="1:2">
      <c r="A325">
        <f t="shared" si="5"/>
        <v>324</v>
      </c>
      <c r="B325">
        <v>2.9299900000000001</v>
      </c>
    </row>
    <row r="326" spans="1:2">
      <c r="A326">
        <f t="shared" si="5"/>
        <v>325</v>
      </c>
      <c r="B326">
        <v>2.9168699999999999</v>
      </c>
    </row>
    <row r="327" spans="1:2">
      <c r="A327">
        <f t="shared" si="5"/>
        <v>326</v>
      </c>
      <c r="B327">
        <v>2.90509</v>
      </c>
    </row>
    <row r="328" spans="1:2">
      <c r="A328">
        <f t="shared" si="5"/>
        <v>327</v>
      </c>
      <c r="B328">
        <v>2.8937300000000001</v>
      </c>
    </row>
    <row r="329" spans="1:2">
      <c r="A329">
        <f t="shared" si="5"/>
        <v>328</v>
      </c>
      <c r="B329">
        <v>2.88252</v>
      </c>
    </row>
    <row r="330" spans="1:2">
      <c r="A330">
        <f t="shared" si="5"/>
        <v>329</v>
      </c>
      <c r="B330">
        <v>2.8726500000000001</v>
      </c>
    </row>
    <row r="331" spans="1:2">
      <c r="A331">
        <f t="shared" si="5"/>
        <v>330</v>
      </c>
      <c r="B331">
        <v>2.8590399999999998</v>
      </c>
    </row>
    <row r="332" spans="1:2">
      <c r="A332">
        <f t="shared" si="5"/>
        <v>331</v>
      </c>
      <c r="B332">
        <v>2.8445200000000002</v>
      </c>
    </row>
    <row r="333" spans="1:2">
      <c r="A333">
        <f t="shared" si="5"/>
        <v>332</v>
      </c>
      <c r="B333">
        <v>2.8339400000000001</v>
      </c>
    </row>
    <row r="334" spans="1:2">
      <c r="A334">
        <f t="shared" si="5"/>
        <v>333</v>
      </c>
      <c r="B334">
        <v>2.8289399999999998</v>
      </c>
    </row>
    <row r="335" spans="1:2">
      <c r="A335">
        <f t="shared" si="5"/>
        <v>334</v>
      </c>
      <c r="B335">
        <v>2.81969</v>
      </c>
    </row>
    <row r="336" spans="1:2">
      <c r="A336">
        <f t="shared" si="5"/>
        <v>335</v>
      </c>
      <c r="B336">
        <v>2.8155800000000002</v>
      </c>
    </row>
    <row r="337" spans="1:2">
      <c r="A337">
        <f t="shared" si="5"/>
        <v>336</v>
      </c>
      <c r="B337">
        <v>2.8023099999999999</v>
      </c>
    </row>
    <row r="338" spans="1:2">
      <c r="A338">
        <f t="shared" si="5"/>
        <v>337</v>
      </c>
      <c r="B338">
        <v>2.7851499999999998</v>
      </c>
    </row>
    <row r="339" spans="1:2">
      <c r="A339">
        <f t="shared" si="5"/>
        <v>338</v>
      </c>
      <c r="B339">
        <v>2.7710900000000001</v>
      </c>
    </row>
    <row r="340" spans="1:2">
      <c r="A340">
        <f t="shared" si="5"/>
        <v>339</v>
      </c>
      <c r="B340">
        <v>2.7622200000000001</v>
      </c>
    </row>
    <row r="341" spans="1:2">
      <c r="A341">
        <f t="shared" si="5"/>
        <v>340</v>
      </c>
      <c r="B341">
        <v>2.75562</v>
      </c>
    </row>
    <row r="342" spans="1:2">
      <c r="A342">
        <f t="shared" si="5"/>
        <v>341</v>
      </c>
      <c r="B342">
        <v>2.7473000000000001</v>
      </c>
    </row>
    <row r="343" spans="1:2">
      <c r="A343">
        <f t="shared" si="5"/>
        <v>342</v>
      </c>
      <c r="B343">
        <v>2.73624</v>
      </c>
    </row>
    <row r="344" spans="1:2">
      <c r="A344">
        <f t="shared" si="5"/>
        <v>343</v>
      </c>
      <c r="B344">
        <v>2.72356</v>
      </c>
    </row>
    <row r="345" spans="1:2">
      <c r="A345">
        <f t="shared" si="5"/>
        <v>344</v>
      </c>
      <c r="B345">
        <v>2.7181299999999999</v>
      </c>
    </row>
    <row r="346" spans="1:2">
      <c r="A346">
        <f t="shared" si="5"/>
        <v>345</v>
      </c>
      <c r="B346">
        <v>2.71028</v>
      </c>
    </row>
    <row r="347" spans="1:2">
      <c r="A347">
        <f t="shared" si="5"/>
        <v>346</v>
      </c>
      <c r="B347">
        <v>2.6988300000000001</v>
      </c>
    </row>
    <row r="348" spans="1:2">
      <c r="A348">
        <f t="shared" si="5"/>
        <v>347</v>
      </c>
      <c r="B348">
        <v>2.68696</v>
      </c>
    </row>
    <row r="349" spans="1:2">
      <c r="A349">
        <f t="shared" si="5"/>
        <v>348</v>
      </c>
      <c r="B349">
        <v>2.6794199999999999</v>
      </c>
    </row>
    <row r="350" spans="1:2">
      <c r="A350">
        <f t="shared" si="5"/>
        <v>349</v>
      </c>
      <c r="B350">
        <v>2.6717</v>
      </c>
    </row>
    <row r="351" spans="1:2">
      <c r="A351">
        <f t="shared" si="5"/>
        <v>350</v>
      </c>
      <c r="B351">
        <v>2.6610299999999998</v>
      </c>
    </row>
    <row r="352" spans="1:2">
      <c r="A352">
        <f t="shared" si="5"/>
        <v>351</v>
      </c>
      <c r="B352">
        <v>2.6473399999999998</v>
      </c>
    </row>
    <row r="353" spans="1:2">
      <c r="A353">
        <f t="shared" si="5"/>
        <v>352</v>
      </c>
      <c r="B353">
        <v>2.6360100000000002</v>
      </c>
    </row>
    <row r="354" spans="1:2">
      <c r="A354">
        <f t="shared" si="5"/>
        <v>353</v>
      </c>
      <c r="B354">
        <v>2.6206200000000002</v>
      </c>
    </row>
    <row r="355" spans="1:2">
      <c r="A355">
        <f t="shared" si="5"/>
        <v>354</v>
      </c>
      <c r="B355">
        <v>2.60649</v>
      </c>
    </row>
    <row r="356" spans="1:2">
      <c r="A356">
        <f t="shared" si="5"/>
        <v>355</v>
      </c>
      <c r="B356">
        <v>2.6009099999999998</v>
      </c>
    </row>
    <row r="357" spans="1:2">
      <c r="A357">
        <f t="shared" si="5"/>
        <v>356</v>
      </c>
      <c r="B357">
        <v>2.5919500000000002</v>
      </c>
    </row>
    <row r="358" spans="1:2">
      <c r="A358">
        <f t="shared" si="5"/>
        <v>357</v>
      </c>
      <c r="B358">
        <v>2.5805199999999999</v>
      </c>
    </row>
    <row r="359" spans="1:2">
      <c r="A359">
        <f t="shared" si="5"/>
        <v>358</v>
      </c>
      <c r="B359">
        <v>2.5742500000000001</v>
      </c>
    </row>
    <row r="360" spans="1:2">
      <c r="A360">
        <f t="shared" si="5"/>
        <v>359</v>
      </c>
      <c r="B360">
        <v>2.5710099999999998</v>
      </c>
    </row>
    <row r="361" spans="1:2">
      <c r="A361">
        <f t="shared" si="5"/>
        <v>360</v>
      </c>
      <c r="B361">
        <v>2.56013</v>
      </c>
    </row>
    <row r="362" spans="1:2">
      <c r="A362">
        <f t="shared" si="5"/>
        <v>361</v>
      </c>
      <c r="B362">
        <v>2.55335</v>
      </c>
    </row>
    <row r="363" spans="1:2">
      <c r="A363">
        <f t="shared" si="5"/>
        <v>362</v>
      </c>
      <c r="B363">
        <v>2.54644</v>
      </c>
    </row>
    <row r="364" spans="1:2">
      <c r="A364">
        <f t="shared" si="5"/>
        <v>363</v>
      </c>
      <c r="B364">
        <v>2.5354299999999999</v>
      </c>
    </row>
    <row r="365" spans="1:2">
      <c r="A365">
        <f t="shared" si="5"/>
        <v>364</v>
      </c>
      <c r="B365">
        <v>2.5263399999999998</v>
      </c>
    </row>
    <row r="366" spans="1:2">
      <c r="A366">
        <f t="shared" si="5"/>
        <v>365</v>
      </c>
      <c r="B366">
        <v>2.5182799999999999</v>
      </c>
    </row>
    <row r="367" spans="1:2">
      <c r="A367">
        <f t="shared" si="5"/>
        <v>366</v>
      </c>
      <c r="B367">
        <v>2.5041799999999999</v>
      </c>
    </row>
    <row r="368" spans="1:2">
      <c r="A368">
        <f t="shared" si="5"/>
        <v>367</v>
      </c>
      <c r="B368">
        <v>2.4946799999999998</v>
      </c>
    </row>
    <row r="369" spans="1:2">
      <c r="A369">
        <f t="shared" si="5"/>
        <v>368</v>
      </c>
      <c r="B369">
        <v>2.4815200000000002</v>
      </c>
    </row>
    <row r="370" spans="1:2">
      <c r="A370">
        <f t="shared" si="5"/>
        <v>369</v>
      </c>
      <c r="B370">
        <v>2.4676499999999999</v>
      </c>
    </row>
    <row r="371" spans="1:2">
      <c r="A371">
        <f t="shared" si="5"/>
        <v>370</v>
      </c>
      <c r="B371">
        <v>2.4585499999999998</v>
      </c>
    </row>
    <row r="372" spans="1:2">
      <c r="A372">
        <f t="shared" si="5"/>
        <v>371</v>
      </c>
      <c r="B372">
        <v>2.4514399999999998</v>
      </c>
    </row>
    <row r="373" spans="1:2">
      <c r="A373">
        <f t="shared" si="5"/>
        <v>372</v>
      </c>
      <c r="B373">
        <v>2.4450799999999999</v>
      </c>
    </row>
    <row r="374" spans="1:2">
      <c r="A374">
        <f t="shared" si="5"/>
        <v>373</v>
      </c>
      <c r="B374">
        <v>2.4341900000000001</v>
      </c>
    </row>
    <row r="375" spans="1:2">
      <c r="A375">
        <f t="shared" si="5"/>
        <v>374</v>
      </c>
      <c r="B375">
        <v>2.4272200000000002</v>
      </c>
    </row>
    <row r="376" spans="1:2">
      <c r="A376">
        <f t="shared" si="5"/>
        <v>375</v>
      </c>
      <c r="B376">
        <v>2.41757</v>
      </c>
    </row>
    <row r="377" spans="1:2">
      <c r="A377">
        <f t="shared" si="5"/>
        <v>376</v>
      </c>
      <c r="B377">
        <v>2.4083199999999998</v>
      </c>
    </row>
    <row r="378" spans="1:2">
      <c r="A378">
        <f t="shared" si="5"/>
        <v>377</v>
      </c>
      <c r="B378">
        <v>2.39758</v>
      </c>
    </row>
    <row r="379" spans="1:2">
      <c r="A379">
        <f t="shared" si="5"/>
        <v>378</v>
      </c>
      <c r="B379">
        <v>2.3912499999999999</v>
      </c>
    </row>
    <row r="380" spans="1:2">
      <c r="A380">
        <f t="shared" si="5"/>
        <v>379</v>
      </c>
      <c r="B380">
        <v>2.3808400000000001</v>
      </c>
    </row>
    <row r="381" spans="1:2">
      <c r="A381">
        <f t="shared" si="5"/>
        <v>380</v>
      </c>
      <c r="B381">
        <v>2.3704999999999998</v>
      </c>
    </row>
    <row r="382" spans="1:2">
      <c r="A382">
        <f t="shared" si="5"/>
        <v>381</v>
      </c>
      <c r="B382">
        <v>2.3612899999999999</v>
      </c>
    </row>
    <row r="383" spans="1:2">
      <c r="A383">
        <f t="shared" si="5"/>
        <v>382</v>
      </c>
      <c r="B383">
        <v>2.3545199999999999</v>
      </c>
    </row>
    <row r="384" spans="1:2">
      <c r="A384">
        <f t="shared" si="5"/>
        <v>383</v>
      </c>
      <c r="B384">
        <v>2.3448899999999999</v>
      </c>
    </row>
    <row r="385" spans="1:2">
      <c r="A385">
        <f t="shared" si="5"/>
        <v>384</v>
      </c>
      <c r="B385">
        <v>2.3340700000000001</v>
      </c>
    </row>
    <row r="386" spans="1:2">
      <c r="A386">
        <f t="shared" ref="A386:A449" si="6">1+A385</f>
        <v>385</v>
      </c>
      <c r="B386">
        <v>2.3229199999999999</v>
      </c>
    </row>
    <row r="387" spans="1:2">
      <c r="A387">
        <f t="shared" si="6"/>
        <v>386</v>
      </c>
      <c r="B387">
        <v>2.3119999999999998</v>
      </c>
    </row>
    <row r="388" spans="1:2">
      <c r="A388">
        <f t="shared" si="6"/>
        <v>387</v>
      </c>
      <c r="B388">
        <v>2.30844</v>
      </c>
    </row>
    <row r="389" spans="1:2">
      <c r="A389">
        <f t="shared" si="6"/>
        <v>388</v>
      </c>
      <c r="B389">
        <v>2.2966899999999999</v>
      </c>
    </row>
    <row r="390" spans="1:2">
      <c r="A390">
        <f t="shared" si="6"/>
        <v>389</v>
      </c>
      <c r="B390">
        <v>2.2863799999999999</v>
      </c>
    </row>
    <row r="391" spans="1:2">
      <c r="A391">
        <f t="shared" si="6"/>
        <v>390</v>
      </c>
      <c r="B391">
        <v>2.2727200000000001</v>
      </c>
    </row>
    <row r="392" spans="1:2">
      <c r="A392">
        <f t="shared" si="6"/>
        <v>391</v>
      </c>
      <c r="B392">
        <v>2.2640600000000002</v>
      </c>
    </row>
    <row r="393" spans="1:2">
      <c r="A393">
        <f t="shared" si="6"/>
        <v>392</v>
      </c>
      <c r="B393">
        <v>2.2577699999999998</v>
      </c>
    </row>
    <row r="394" spans="1:2">
      <c r="A394">
        <f t="shared" si="6"/>
        <v>393</v>
      </c>
      <c r="B394">
        <v>2.2508300000000001</v>
      </c>
    </row>
    <row r="395" spans="1:2">
      <c r="A395">
        <f t="shared" si="6"/>
        <v>394</v>
      </c>
      <c r="B395">
        <v>2.2389800000000002</v>
      </c>
    </row>
    <row r="396" spans="1:2">
      <c r="A396">
        <f t="shared" si="6"/>
        <v>395</v>
      </c>
      <c r="B396">
        <v>2.23116</v>
      </c>
    </row>
    <row r="397" spans="1:2">
      <c r="A397">
        <f t="shared" si="6"/>
        <v>396</v>
      </c>
      <c r="B397">
        <v>2.2194699999999998</v>
      </c>
    </row>
    <row r="398" spans="1:2">
      <c r="A398">
        <f t="shared" si="6"/>
        <v>397</v>
      </c>
      <c r="B398">
        <v>2.21238</v>
      </c>
    </row>
    <row r="399" spans="1:2">
      <c r="A399">
        <f t="shared" si="6"/>
        <v>398</v>
      </c>
      <c r="B399">
        <v>2.202</v>
      </c>
    </row>
    <row r="400" spans="1:2">
      <c r="A400">
        <f t="shared" si="6"/>
        <v>399</v>
      </c>
      <c r="B400">
        <v>2.1852499999999999</v>
      </c>
    </row>
    <row r="401" spans="1:2">
      <c r="A401">
        <f t="shared" si="6"/>
        <v>400</v>
      </c>
      <c r="B401">
        <v>2.1712600000000002</v>
      </c>
    </row>
    <row r="402" spans="1:2">
      <c r="A402">
        <f t="shared" si="6"/>
        <v>401</v>
      </c>
      <c r="B402">
        <v>2.1613199999999999</v>
      </c>
    </row>
    <row r="403" spans="1:2">
      <c r="A403">
        <f t="shared" si="6"/>
        <v>402</v>
      </c>
      <c r="B403">
        <v>2.1550500000000001</v>
      </c>
    </row>
    <row r="404" spans="1:2">
      <c r="A404">
        <f t="shared" si="6"/>
        <v>403</v>
      </c>
      <c r="B404">
        <v>2.1489799999999999</v>
      </c>
    </row>
    <row r="405" spans="1:2">
      <c r="A405">
        <f t="shared" si="6"/>
        <v>404</v>
      </c>
      <c r="B405">
        <v>2.1375899999999999</v>
      </c>
    </row>
    <row r="406" spans="1:2">
      <c r="A406">
        <f t="shared" si="6"/>
        <v>405</v>
      </c>
      <c r="B406">
        <v>2.1306500000000002</v>
      </c>
    </row>
    <row r="407" spans="1:2">
      <c r="A407">
        <f t="shared" si="6"/>
        <v>406</v>
      </c>
      <c r="B407">
        <v>2.1163400000000001</v>
      </c>
    </row>
    <row r="408" spans="1:2">
      <c r="A408">
        <f t="shared" si="6"/>
        <v>407</v>
      </c>
      <c r="B408">
        <v>2.1124399999999999</v>
      </c>
    </row>
    <row r="409" spans="1:2">
      <c r="A409">
        <f t="shared" si="6"/>
        <v>408</v>
      </c>
      <c r="B409">
        <v>2.0987399999999998</v>
      </c>
    </row>
    <row r="410" spans="1:2">
      <c r="A410">
        <f t="shared" si="6"/>
        <v>409</v>
      </c>
      <c r="B410">
        <v>2.0887699999999998</v>
      </c>
    </row>
    <row r="411" spans="1:2">
      <c r="A411">
        <f t="shared" si="6"/>
        <v>410</v>
      </c>
      <c r="B411">
        <v>2.07328</v>
      </c>
    </row>
    <row r="412" spans="1:2">
      <c r="A412">
        <f t="shared" si="6"/>
        <v>411</v>
      </c>
      <c r="B412">
        <v>2.0623999999999998</v>
      </c>
    </row>
    <row r="413" spans="1:2">
      <c r="A413">
        <f t="shared" si="6"/>
        <v>412</v>
      </c>
      <c r="B413">
        <v>2.0556299999999998</v>
      </c>
    </row>
    <row r="414" spans="1:2">
      <c r="A414">
        <f t="shared" si="6"/>
        <v>413</v>
      </c>
      <c r="B414">
        <v>2.0425599999999999</v>
      </c>
    </row>
    <row r="415" spans="1:2">
      <c r="A415">
        <f t="shared" si="6"/>
        <v>414</v>
      </c>
      <c r="B415">
        <v>2.0409899999999999</v>
      </c>
    </row>
    <row r="416" spans="1:2">
      <c r="A416">
        <f t="shared" si="6"/>
        <v>415</v>
      </c>
      <c r="B416">
        <v>2.0341100000000001</v>
      </c>
    </row>
    <row r="417" spans="1:2">
      <c r="A417">
        <f t="shared" si="6"/>
        <v>416</v>
      </c>
      <c r="B417">
        <v>2.0255899999999998</v>
      </c>
    </row>
    <row r="418" spans="1:2">
      <c r="A418">
        <f t="shared" si="6"/>
        <v>417</v>
      </c>
      <c r="B418">
        <v>2.0282</v>
      </c>
    </row>
    <row r="419" spans="1:2">
      <c r="A419">
        <f t="shared" si="6"/>
        <v>418</v>
      </c>
      <c r="B419">
        <v>2.0192800000000002</v>
      </c>
    </row>
    <row r="420" spans="1:2">
      <c r="A420">
        <f t="shared" si="6"/>
        <v>419</v>
      </c>
      <c r="B420">
        <v>2.0121199999999999</v>
      </c>
    </row>
    <row r="421" spans="1:2">
      <c r="A421">
        <f t="shared" si="6"/>
        <v>420</v>
      </c>
      <c r="B421">
        <v>2.0057299999999998</v>
      </c>
    </row>
    <row r="422" spans="1:2">
      <c r="A422">
        <f t="shared" si="6"/>
        <v>421</v>
      </c>
      <c r="B422">
        <v>1.9956100000000001</v>
      </c>
    </row>
    <row r="423" spans="1:2">
      <c r="A423">
        <f t="shared" si="6"/>
        <v>422</v>
      </c>
      <c r="B423">
        <v>1.9908699999999999</v>
      </c>
    </row>
    <row r="424" spans="1:2">
      <c r="A424">
        <f t="shared" si="6"/>
        <v>423</v>
      </c>
      <c r="B424">
        <v>1.9821200000000001</v>
      </c>
    </row>
    <row r="425" spans="1:2">
      <c r="A425">
        <f t="shared" si="6"/>
        <v>424</v>
      </c>
      <c r="B425">
        <v>1.9753099999999999</v>
      </c>
    </row>
    <row r="426" spans="1:2">
      <c r="A426">
        <f t="shared" si="6"/>
        <v>425</v>
      </c>
      <c r="B426">
        <v>1.97166</v>
      </c>
    </row>
    <row r="427" spans="1:2">
      <c r="A427">
        <f t="shared" si="6"/>
        <v>426</v>
      </c>
      <c r="B427">
        <v>1.96536</v>
      </c>
    </row>
    <row r="428" spans="1:2">
      <c r="A428">
        <f t="shared" si="6"/>
        <v>427</v>
      </c>
      <c r="B428">
        <v>1.95895</v>
      </c>
    </row>
    <row r="429" spans="1:2">
      <c r="A429">
        <f t="shared" si="6"/>
        <v>428</v>
      </c>
      <c r="B429">
        <v>1.95092</v>
      </c>
    </row>
    <row r="430" spans="1:2">
      <c r="A430">
        <f t="shared" si="6"/>
        <v>429</v>
      </c>
      <c r="B430">
        <v>1.94069</v>
      </c>
    </row>
    <row r="431" spans="1:2">
      <c r="A431">
        <f t="shared" si="6"/>
        <v>430</v>
      </c>
      <c r="B431">
        <v>1.93452</v>
      </c>
    </row>
    <row r="432" spans="1:2">
      <c r="A432">
        <f t="shared" si="6"/>
        <v>431</v>
      </c>
      <c r="B432">
        <v>1.93614</v>
      </c>
    </row>
    <row r="433" spans="1:2">
      <c r="A433">
        <f t="shared" si="6"/>
        <v>432</v>
      </c>
      <c r="B433">
        <v>1.9301699999999999</v>
      </c>
    </row>
    <row r="434" spans="1:2">
      <c r="A434">
        <f t="shared" si="6"/>
        <v>433</v>
      </c>
      <c r="B434">
        <v>1.9260999999999999</v>
      </c>
    </row>
    <row r="435" spans="1:2">
      <c r="A435">
        <f t="shared" si="6"/>
        <v>434</v>
      </c>
      <c r="B435">
        <v>1.9173199999999999</v>
      </c>
    </row>
    <row r="436" spans="1:2">
      <c r="A436">
        <f t="shared" si="6"/>
        <v>435</v>
      </c>
      <c r="B436">
        <v>1.91916</v>
      </c>
    </row>
    <row r="437" spans="1:2">
      <c r="A437">
        <f t="shared" si="6"/>
        <v>436</v>
      </c>
      <c r="B437">
        <v>1.91744</v>
      </c>
    </row>
    <row r="438" spans="1:2">
      <c r="A438">
        <f t="shared" si="6"/>
        <v>437</v>
      </c>
      <c r="B438">
        <v>1.90723</v>
      </c>
    </row>
    <row r="439" spans="1:2">
      <c r="A439">
        <f t="shared" si="6"/>
        <v>438</v>
      </c>
      <c r="B439">
        <v>1.90405</v>
      </c>
    </row>
    <row r="440" spans="1:2">
      <c r="A440">
        <f t="shared" si="6"/>
        <v>439</v>
      </c>
      <c r="B440">
        <v>1.89011</v>
      </c>
    </row>
    <row r="441" spans="1:2">
      <c r="A441">
        <f t="shared" si="6"/>
        <v>440</v>
      </c>
      <c r="B441">
        <v>1.88181</v>
      </c>
    </row>
    <row r="442" spans="1:2">
      <c r="A442">
        <f t="shared" si="6"/>
        <v>441</v>
      </c>
      <c r="B442">
        <v>1.87754</v>
      </c>
    </row>
    <row r="443" spans="1:2">
      <c r="A443">
        <f t="shared" si="6"/>
        <v>442</v>
      </c>
      <c r="B443">
        <v>1.86609</v>
      </c>
    </row>
    <row r="444" spans="1:2">
      <c r="A444">
        <f t="shared" si="6"/>
        <v>443</v>
      </c>
      <c r="B444">
        <v>1.8634500000000001</v>
      </c>
    </row>
    <row r="445" spans="1:2">
      <c r="A445">
        <f t="shared" si="6"/>
        <v>444</v>
      </c>
      <c r="B445">
        <v>1.86107</v>
      </c>
    </row>
    <row r="446" spans="1:2">
      <c r="A446">
        <f t="shared" si="6"/>
        <v>445</v>
      </c>
      <c r="B446">
        <v>1.8565499999999999</v>
      </c>
    </row>
    <row r="447" spans="1:2">
      <c r="A447">
        <f t="shared" si="6"/>
        <v>446</v>
      </c>
      <c r="B447">
        <v>1.85185</v>
      </c>
    </row>
    <row r="448" spans="1:2">
      <c r="A448">
        <f t="shared" si="6"/>
        <v>447</v>
      </c>
      <c r="B448">
        <v>1.8496300000000001</v>
      </c>
    </row>
    <row r="449" spans="1:2">
      <c r="A449">
        <f t="shared" si="6"/>
        <v>448</v>
      </c>
      <c r="B449">
        <v>1.84243</v>
      </c>
    </row>
    <row r="450" spans="1:2">
      <c r="A450">
        <f t="shared" ref="A450:A513" si="7">1+A449</f>
        <v>449</v>
      </c>
      <c r="B450">
        <v>1.83473</v>
      </c>
    </row>
    <row r="451" spans="1:2">
      <c r="A451">
        <f t="shared" si="7"/>
        <v>450</v>
      </c>
      <c r="B451">
        <v>1.82742</v>
      </c>
    </row>
    <row r="452" spans="1:2">
      <c r="A452">
        <f t="shared" si="7"/>
        <v>451</v>
      </c>
      <c r="B452">
        <v>1.8193999999999999</v>
      </c>
    </row>
    <row r="453" spans="1:2">
      <c r="A453">
        <f t="shared" si="7"/>
        <v>452</v>
      </c>
      <c r="B453">
        <v>1.8091200000000001</v>
      </c>
    </row>
    <row r="454" spans="1:2">
      <c r="A454">
        <f t="shared" si="7"/>
        <v>453</v>
      </c>
      <c r="B454">
        <v>1.7997799999999999</v>
      </c>
    </row>
    <row r="455" spans="1:2">
      <c r="A455">
        <f t="shared" si="7"/>
        <v>454</v>
      </c>
      <c r="B455">
        <v>1.79165</v>
      </c>
    </row>
    <row r="456" spans="1:2">
      <c r="A456">
        <f t="shared" si="7"/>
        <v>455</v>
      </c>
      <c r="B456">
        <v>1.7786500000000001</v>
      </c>
    </row>
    <row r="457" spans="1:2">
      <c r="A457">
        <f t="shared" si="7"/>
        <v>456</v>
      </c>
      <c r="B457">
        <v>1.76763</v>
      </c>
    </row>
    <row r="458" spans="1:2">
      <c r="A458">
        <f t="shared" si="7"/>
        <v>457</v>
      </c>
      <c r="B458">
        <v>1.7606999999999999</v>
      </c>
    </row>
    <row r="459" spans="1:2">
      <c r="A459">
        <f t="shared" si="7"/>
        <v>458</v>
      </c>
      <c r="B459">
        <v>1.7537700000000001</v>
      </c>
    </row>
    <row r="460" spans="1:2">
      <c r="A460">
        <f t="shared" si="7"/>
        <v>459</v>
      </c>
      <c r="B460">
        <v>1.7430699999999999</v>
      </c>
    </row>
    <row r="461" spans="1:2">
      <c r="A461">
        <f t="shared" si="7"/>
        <v>460</v>
      </c>
      <c r="B461">
        <v>1.74149</v>
      </c>
    </row>
    <row r="462" spans="1:2">
      <c r="A462">
        <f t="shared" si="7"/>
        <v>461</v>
      </c>
      <c r="B462">
        <v>1.73445</v>
      </c>
    </row>
    <row r="463" spans="1:2">
      <c r="A463">
        <f t="shared" si="7"/>
        <v>462</v>
      </c>
      <c r="B463">
        <v>1.73075</v>
      </c>
    </row>
    <row r="464" spans="1:2">
      <c r="A464">
        <f t="shared" si="7"/>
        <v>463</v>
      </c>
      <c r="B464">
        <v>1.7180899999999999</v>
      </c>
    </row>
    <row r="465" spans="1:2">
      <c r="A465">
        <f t="shared" si="7"/>
        <v>464</v>
      </c>
      <c r="B465">
        <v>1.7141599999999999</v>
      </c>
    </row>
    <row r="466" spans="1:2">
      <c r="A466">
        <f t="shared" si="7"/>
        <v>465</v>
      </c>
      <c r="B466">
        <v>1.70688</v>
      </c>
    </row>
    <row r="467" spans="1:2">
      <c r="A467">
        <f t="shared" si="7"/>
        <v>466</v>
      </c>
      <c r="B467">
        <v>1.7078599999999999</v>
      </c>
    </row>
    <row r="468" spans="1:2">
      <c r="A468">
        <f t="shared" si="7"/>
        <v>467</v>
      </c>
      <c r="B468">
        <v>1.7004699999999999</v>
      </c>
    </row>
    <row r="469" spans="1:2">
      <c r="A469">
        <f t="shared" si="7"/>
        <v>468</v>
      </c>
      <c r="B469">
        <v>1.69076</v>
      </c>
    </row>
    <row r="470" spans="1:2">
      <c r="A470">
        <f t="shared" si="7"/>
        <v>469</v>
      </c>
      <c r="B470">
        <v>1.6836599999999999</v>
      </c>
    </row>
    <row r="471" spans="1:2">
      <c r="A471">
        <f t="shared" si="7"/>
        <v>470</v>
      </c>
      <c r="B471">
        <v>1.67442</v>
      </c>
    </row>
    <row r="472" spans="1:2">
      <c r="A472">
        <f t="shared" si="7"/>
        <v>471</v>
      </c>
      <c r="B472">
        <v>1.66798</v>
      </c>
    </row>
    <row r="473" spans="1:2">
      <c r="A473">
        <f t="shared" si="7"/>
        <v>472</v>
      </c>
      <c r="B473">
        <v>1.6677200000000001</v>
      </c>
    </row>
    <row r="474" spans="1:2">
      <c r="A474">
        <f t="shared" si="7"/>
        <v>473</v>
      </c>
      <c r="B474">
        <v>1.6577200000000001</v>
      </c>
    </row>
    <row r="475" spans="1:2">
      <c r="A475">
        <f t="shared" si="7"/>
        <v>474</v>
      </c>
      <c r="B475">
        <v>1.6466099999999999</v>
      </c>
    </row>
    <row r="476" spans="1:2">
      <c r="A476">
        <f t="shared" si="7"/>
        <v>475</v>
      </c>
      <c r="B476">
        <v>1.6427799999999999</v>
      </c>
    </row>
    <row r="477" spans="1:2">
      <c r="A477">
        <f t="shared" si="7"/>
        <v>476</v>
      </c>
      <c r="B477">
        <v>1.6455900000000001</v>
      </c>
    </row>
    <row r="478" spans="1:2">
      <c r="A478">
        <f t="shared" si="7"/>
        <v>477</v>
      </c>
      <c r="B478">
        <v>1.64449</v>
      </c>
    </row>
    <row r="479" spans="1:2">
      <c r="A479">
        <f t="shared" si="7"/>
        <v>478</v>
      </c>
      <c r="B479">
        <v>1.64032</v>
      </c>
    </row>
    <row r="480" spans="1:2">
      <c r="A480">
        <f t="shared" si="7"/>
        <v>479</v>
      </c>
      <c r="B480">
        <v>1.6287700000000001</v>
      </c>
    </row>
    <row r="481" spans="1:2">
      <c r="A481">
        <f t="shared" si="7"/>
        <v>480</v>
      </c>
      <c r="B481">
        <v>1.6212899999999999</v>
      </c>
    </row>
    <row r="482" spans="1:2">
      <c r="A482">
        <f t="shared" si="7"/>
        <v>481</v>
      </c>
      <c r="B482">
        <v>1.6161700000000001</v>
      </c>
    </row>
    <row r="483" spans="1:2">
      <c r="A483">
        <f t="shared" si="7"/>
        <v>482</v>
      </c>
      <c r="B483">
        <v>1.6081000000000001</v>
      </c>
    </row>
    <row r="484" spans="1:2">
      <c r="A484">
        <f t="shared" si="7"/>
        <v>483</v>
      </c>
      <c r="B484">
        <v>1.60023</v>
      </c>
    </row>
    <row r="485" spans="1:2">
      <c r="A485">
        <f t="shared" si="7"/>
        <v>484</v>
      </c>
      <c r="B485">
        <v>1.59006</v>
      </c>
    </row>
    <row r="486" spans="1:2">
      <c r="A486">
        <f t="shared" si="7"/>
        <v>485</v>
      </c>
      <c r="B486">
        <v>1.57613</v>
      </c>
    </row>
    <row r="487" spans="1:2">
      <c r="A487">
        <f t="shared" si="7"/>
        <v>486</v>
      </c>
      <c r="B487">
        <v>1.56576</v>
      </c>
    </row>
    <row r="488" spans="1:2">
      <c r="A488">
        <f t="shared" si="7"/>
        <v>487</v>
      </c>
      <c r="B488">
        <v>1.5691999999999999</v>
      </c>
    </row>
    <row r="489" spans="1:2">
      <c r="A489">
        <f t="shared" si="7"/>
        <v>488</v>
      </c>
      <c r="B489">
        <v>1.5657399999999999</v>
      </c>
    </row>
    <row r="490" spans="1:2">
      <c r="A490">
        <f t="shared" si="7"/>
        <v>489</v>
      </c>
      <c r="B490">
        <v>1.55796</v>
      </c>
    </row>
    <row r="491" spans="1:2">
      <c r="A491">
        <f t="shared" si="7"/>
        <v>490</v>
      </c>
      <c r="B491">
        <v>1.5541400000000001</v>
      </c>
    </row>
    <row r="492" spans="1:2">
      <c r="A492">
        <f t="shared" si="7"/>
        <v>491</v>
      </c>
      <c r="B492">
        <v>1.55352</v>
      </c>
    </row>
    <row r="493" spans="1:2">
      <c r="A493">
        <f t="shared" si="7"/>
        <v>492</v>
      </c>
      <c r="B493">
        <v>1.54731</v>
      </c>
    </row>
    <row r="494" spans="1:2">
      <c r="A494">
        <f t="shared" si="7"/>
        <v>493</v>
      </c>
      <c r="B494">
        <v>1.5378799999999999</v>
      </c>
    </row>
    <row r="495" spans="1:2">
      <c r="A495">
        <f t="shared" si="7"/>
        <v>494</v>
      </c>
      <c r="B495">
        <v>1.5278700000000001</v>
      </c>
    </row>
    <row r="496" spans="1:2">
      <c r="A496">
        <f t="shared" si="7"/>
        <v>495</v>
      </c>
      <c r="B496">
        <v>1.5246999999999999</v>
      </c>
    </row>
    <row r="497" spans="1:2">
      <c r="A497">
        <f t="shared" si="7"/>
        <v>496</v>
      </c>
      <c r="B497">
        <v>1.5150300000000001</v>
      </c>
    </row>
    <row r="498" spans="1:2">
      <c r="A498">
        <f t="shared" si="7"/>
        <v>497</v>
      </c>
      <c r="B498">
        <v>1.50386</v>
      </c>
    </row>
    <row r="499" spans="1:2">
      <c r="A499">
        <f t="shared" si="7"/>
        <v>498</v>
      </c>
      <c r="B499">
        <v>1.4983599999999999</v>
      </c>
    </row>
    <row r="500" spans="1:2">
      <c r="A500">
        <f t="shared" si="7"/>
        <v>499</v>
      </c>
      <c r="B500">
        <v>1.48872</v>
      </c>
    </row>
    <row r="501" spans="1:2">
      <c r="A501">
        <f t="shared" si="7"/>
        <v>500</v>
      </c>
      <c r="B501">
        <v>1.4899199999999999</v>
      </c>
    </row>
    <row r="502" spans="1:2">
      <c r="A502">
        <f t="shared" si="7"/>
        <v>501</v>
      </c>
      <c r="B502">
        <v>1.4896799999999999</v>
      </c>
    </row>
    <row r="503" spans="1:2">
      <c r="A503">
        <f t="shared" si="7"/>
        <v>502</v>
      </c>
      <c r="B503">
        <v>1.4856100000000001</v>
      </c>
    </row>
    <row r="504" spans="1:2">
      <c r="A504">
        <f t="shared" si="7"/>
        <v>503</v>
      </c>
      <c r="B504">
        <v>1.4783299999999999</v>
      </c>
    </row>
    <row r="505" spans="1:2">
      <c r="A505">
        <f t="shared" si="7"/>
        <v>504</v>
      </c>
      <c r="B505">
        <v>1.4657800000000001</v>
      </c>
    </row>
    <row r="506" spans="1:2">
      <c r="A506">
        <f t="shared" si="7"/>
        <v>505</v>
      </c>
      <c r="B506">
        <v>1.4685600000000001</v>
      </c>
    </row>
    <row r="507" spans="1:2">
      <c r="A507">
        <f t="shared" si="7"/>
        <v>506</v>
      </c>
      <c r="B507">
        <v>1.45739</v>
      </c>
    </row>
    <row r="508" spans="1:2">
      <c r="A508">
        <f t="shared" si="7"/>
        <v>507</v>
      </c>
      <c r="B508">
        <v>1.45868</v>
      </c>
    </row>
    <row r="509" spans="1:2">
      <c r="A509">
        <f t="shared" si="7"/>
        <v>508</v>
      </c>
      <c r="B509">
        <v>1.4566399999999999</v>
      </c>
    </row>
    <row r="510" spans="1:2">
      <c r="A510">
        <f t="shared" si="7"/>
        <v>509</v>
      </c>
      <c r="B510">
        <v>1.4595499999999999</v>
      </c>
    </row>
    <row r="511" spans="1:2">
      <c r="A511">
        <f t="shared" si="7"/>
        <v>510</v>
      </c>
      <c r="B511">
        <v>1.45427</v>
      </c>
    </row>
    <row r="512" spans="1:2">
      <c r="A512">
        <f t="shared" si="7"/>
        <v>511</v>
      </c>
      <c r="B512">
        <v>1.4501999999999999</v>
      </c>
    </row>
    <row r="513" spans="1:2">
      <c r="A513">
        <f t="shared" si="7"/>
        <v>512</v>
      </c>
      <c r="B513">
        <v>1.44746</v>
      </c>
    </row>
    <row r="514" spans="1:2">
      <c r="A514">
        <f t="shared" ref="A514:A577" si="8">1+A513</f>
        <v>513</v>
      </c>
      <c r="B514">
        <v>1.44337</v>
      </c>
    </row>
    <row r="515" spans="1:2">
      <c r="A515">
        <f t="shared" si="8"/>
        <v>514</v>
      </c>
      <c r="B515">
        <v>1.4419500000000001</v>
      </c>
    </row>
    <row r="516" spans="1:2">
      <c r="A516">
        <f t="shared" si="8"/>
        <v>515</v>
      </c>
      <c r="B516">
        <v>1.4366399999999999</v>
      </c>
    </row>
    <row r="517" spans="1:2">
      <c r="A517">
        <f t="shared" si="8"/>
        <v>516</v>
      </c>
      <c r="B517">
        <v>1.43232</v>
      </c>
    </row>
    <row r="518" spans="1:2">
      <c r="A518">
        <f t="shared" si="8"/>
        <v>517</v>
      </c>
      <c r="B518">
        <v>1.4321200000000001</v>
      </c>
    </row>
    <row r="519" spans="1:2">
      <c r="A519">
        <f t="shared" si="8"/>
        <v>518</v>
      </c>
      <c r="B519">
        <v>1.4319200000000001</v>
      </c>
    </row>
    <row r="520" spans="1:2">
      <c r="A520">
        <f t="shared" si="8"/>
        <v>519</v>
      </c>
      <c r="B520">
        <v>1.42588</v>
      </c>
    </row>
    <row r="521" spans="1:2">
      <c r="A521">
        <f t="shared" si="8"/>
        <v>520</v>
      </c>
      <c r="B521">
        <v>1.42591</v>
      </c>
    </row>
    <row r="522" spans="1:2">
      <c r="A522">
        <f t="shared" si="8"/>
        <v>521</v>
      </c>
      <c r="B522">
        <v>1.42317</v>
      </c>
    </row>
    <row r="523" spans="1:2">
      <c r="A523">
        <f t="shared" si="8"/>
        <v>522</v>
      </c>
      <c r="B523">
        <v>1.4089700000000001</v>
      </c>
    </row>
    <row r="524" spans="1:2">
      <c r="A524">
        <f t="shared" si="8"/>
        <v>523</v>
      </c>
      <c r="B524">
        <v>1.39856</v>
      </c>
    </row>
    <row r="525" spans="1:2">
      <c r="A525">
        <f t="shared" si="8"/>
        <v>524</v>
      </c>
      <c r="B525">
        <v>1.3908100000000001</v>
      </c>
    </row>
    <row r="526" spans="1:2">
      <c r="A526">
        <f t="shared" si="8"/>
        <v>525</v>
      </c>
      <c r="B526">
        <v>1.38741</v>
      </c>
    </row>
    <row r="527" spans="1:2">
      <c r="A527">
        <f t="shared" si="8"/>
        <v>526</v>
      </c>
      <c r="B527">
        <v>1.3758900000000001</v>
      </c>
    </row>
    <row r="528" spans="1:2">
      <c r="A528">
        <f t="shared" si="8"/>
        <v>527</v>
      </c>
      <c r="B528">
        <v>1.36957</v>
      </c>
    </row>
    <row r="529" spans="1:2">
      <c r="A529">
        <f t="shared" si="8"/>
        <v>528</v>
      </c>
      <c r="B529">
        <v>1.3661099999999999</v>
      </c>
    </row>
    <row r="530" spans="1:2">
      <c r="A530">
        <f t="shared" si="8"/>
        <v>529</v>
      </c>
      <c r="B530">
        <v>1.36619</v>
      </c>
    </row>
    <row r="531" spans="1:2">
      <c r="A531">
        <f t="shared" si="8"/>
        <v>530</v>
      </c>
      <c r="B531">
        <v>1.3619699999999999</v>
      </c>
    </row>
    <row r="532" spans="1:2">
      <c r="A532">
        <f t="shared" si="8"/>
        <v>531</v>
      </c>
      <c r="B532">
        <v>1.3532</v>
      </c>
    </row>
    <row r="533" spans="1:2">
      <c r="A533">
        <f t="shared" si="8"/>
        <v>532</v>
      </c>
      <c r="B533">
        <v>1.34352</v>
      </c>
    </row>
    <row r="534" spans="1:2">
      <c r="A534">
        <f t="shared" si="8"/>
        <v>533</v>
      </c>
      <c r="B534">
        <v>1.3384799999999999</v>
      </c>
    </row>
    <row r="535" spans="1:2">
      <c r="A535">
        <f t="shared" si="8"/>
        <v>534</v>
      </c>
      <c r="B535">
        <v>1.33562</v>
      </c>
    </row>
    <row r="536" spans="1:2">
      <c r="A536">
        <f t="shared" si="8"/>
        <v>535</v>
      </c>
      <c r="B536">
        <v>1.3275300000000001</v>
      </c>
    </row>
    <row r="537" spans="1:2">
      <c r="A537">
        <f t="shared" si="8"/>
        <v>536</v>
      </c>
      <c r="B537">
        <v>1.3250999999999999</v>
      </c>
    </row>
    <row r="538" spans="1:2">
      <c r="A538">
        <f t="shared" si="8"/>
        <v>537</v>
      </c>
      <c r="B538">
        <v>1.3169999999999999</v>
      </c>
    </row>
    <row r="539" spans="1:2">
      <c r="A539">
        <f t="shared" si="8"/>
        <v>538</v>
      </c>
      <c r="B539">
        <v>1.3183800000000001</v>
      </c>
    </row>
    <row r="540" spans="1:2">
      <c r="A540">
        <f t="shared" si="8"/>
        <v>539</v>
      </c>
      <c r="B540">
        <v>1.3230500000000001</v>
      </c>
    </row>
    <row r="541" spans="1:2">
      <c r="A541">
        <f t="shared" si="8"/>
        <v>540</v>
      </c>
      <c r="B541">
        <v>1.31158</v>
      </c>
    </row>
    <row r="542" spans="1:2">
      <c r="A542">
        <f t="shared" si="8"/>
        <v>541</v>
      </c>
      <c r="B542">
        <v>1.30921</v>
      </c>
    </row>
    <row r="543" spans="1:2">
      <c r="A543">
        <f t="shared" si="8"/>
        <v>542</v>
      </c>
      <c r="B543">
        <v>1.3089500000000001</v>
      </c>
    </row>
    <row r="544" spans="1:2">
      <c r="A544">
        <f t="shared" si="8"/>
        <v>543</v>
      </c>
      <c r="B544">
        <v>1.30653</v>
      </c>
    </row>
    <row r="545" spans="1:2">
      <c r="A545">
        <f t="shared" si="8"/>
        <v>544</v>
      </c>
      <c r="B545">
        <v>1.3003800000000001</v>
      </c>
    </row>
    <row r="546" spans="1:2">
      <c r="A546">
        <f t="shared" si="8"/>
        <v>545</v>
      </c>
      <c r="B546">
        <v>1.2978499999999999</v>
      </c>
    </row>
    <row r="547" spans="1:2">
      <c r="A547">
        <f t="shared" si="8"/>
        <v>546</v>
      </c>
      <c r="B547">
        <v>1.2941800000000001</v>
      </c>
    </row>
    <row r="548" spans="1:2">
      <c r="A548">
        <f t="shared" si="8"/>
        <v>547</v>
      </c>
      <c r="B548">
        <v>1.29277</v>
      </c>
    </row>
    <row r="549" spans="1:2">
      <c r="A549">
        <f t="shared" si="8"/>
        <v>548</v>
      </c>
      <c r="B549">
        <v>1.29288</v>
      </c>
    </row>
    <row r="550" spans="1:2">
      <c r="A550">
        <f t="shared" si="8"/>
        <v>549</v>
      </c>
      <c r="B550">
        <v>1.28599</v>
      </c>
    </row>
    <row r="551" spans="1:2">
      <c r="A551">
        <f t="shared" si="8"/>
        <v>550</v>
      </c>
      <c r="B551">
        <v>1.28003</v>
      </c>
    </row>
    <row r="552" spans="1:2">
      <c r="A552">
        <f t="shared" si="8"/>
        <v>551</v>
      </c>
      <c r="B552">
        <v>1.2777700000000001</v>
      </c>
    </row>
    <row r="553" spans="1:2">
      <c r="A553">
        <f t="shared" si="8"/>
        <v>552</v>
      </c>
      <c r="B553">
        <v>1.2689299999999999</v>
      </c>
    </row>
    <row r="554" spans="1:2">
      <c r="A554">
        <f t="shared" si="8"/>
        <v>553</v>
      </c>
      <c r="B554">
        <v>1.2748699999999999</v>
      </c>
    </row>
    <row r="555" spans="1:2">
      <c r="A555">
        <f t="shared" si="8"/>
        <v>554</v>
      </c>
      <c r="B555">
        <v>1.26572</v>
      </c>
    </row>
    <row r="556" spans="1:2">
      <c r="A556">
        <f t="shared" si="8"/>
        <v>555</v>
      </c>
      <c r="B556">
        <v>1.2542800000000001</v>
      </c>
    </row>
    <row r="557" spans="1:2">
      <c r="A557">
        <f t="shared" si="8"/>
        <v>556</v>
      </c>
      <c r="B557">
        <v>1.2507900000000001</v>
      </c>
    </row>
    <row r="558" spans="1:2">
      <c r="A558">
        <f t="shared" si="8"/>
        <v>557</v>
      </c>
      <c r="B558">
        <v>1.24712</v>
      </c>
    </row>
    <row r="559" spans="1:2">
      <c r="A559">
        <f t="shared" si="8"/>
        <v>558</v>
      </c>
      <c r="B559">
        <v>1.2399</v>
      </c>
    </row>
    <row r="560" spans="1:2">
      <c r="A560">
        <f t="shared" si="8"/>
        <v>559</v>
      </c>
      <c r="B560">
        <v>1.2301500000000001</v>
      </c>
    </row>
    <row r="561" spans="1:2">
      <c r="A561">
        <f t="shared" si="8"/>
        <v>560</v>
      </c>
      <c r="B561">
        <v>1.2154100000000001</v>
      </c>
    </row>
    <row r="562" spans="1:2">
      <c r="A562">
        <f t="shared" si="8"/>
        <v>561</v>
      </c>
      <c r="B562">
        <v>1.2158599999999999</v>
      </c>
    </row>
    <row r="563" spans="1:2">
      <c r="A563">
        <f t="shared" si="8"/>
        <v>562</v>
      </c>
      <c r="B563">
        <v>1.2144200000000001</v>
      </c>
    </row>
    <row r="564" spans="1:2">
      <c r="A564">
        <f t="shared" si="8"/>
        <v>563</v>
      </c>
      <c r="B564">
        <v>1.21027</v>
      </c>
    </row>
    <row r="565" spans="1:2">
      <c r="A565">
        <f t="shared" si="8"/>
        <v>564</v>
      </c>
      <c r="B565">
        <v>1.20872</v>
      </c>
    </row>
    <row r="566" spans="1:2">
      <c r="A566">
        <f t="shared" si="8"/>
        <v>565</v>
      </c>
      <c r="B566">
        <v>1.2053400000000001</v>
      </c>
    </row>
    <row r="567" spans="1:2">
      <c r="A567">
        <f t="shared" si="8"/>
        <v>566</v>
      </c>
      <c r="B567">
        <v>1.19998</v>
      </c>
    </row>
    <row r="568" spans="1:2">
      <c r="A568">
        <f t="shared" si="8"/>
        <v>567</v>
      </c>
      <c r="B568">
        <v>1.1952199999999999</v>
      </c>
    </row>
    <row r="569" spans="1:2">
      <c r="A569">
        <f t="shared" si="8"/>
        <v>568</v>
      </c>
      <c r="B569">
        <v>1.19313</v>
      </c>
    </row>
    <row r="570" spans="1:2">
      <c r="A570">
        <f t="shared" si="8"/>
        <v>569</v>
      </c>
      <c r="B570">
        <v>1.18337</v>
      </c>
    </row>
    <row r="571" spans="1:2">
      <c r="A571">
        <f t="shared" si="8"/>
        <v>570</v>
      </c>
      <c r="B571">
        <v>1.1828700000000001</v>
      </c>
    </row>
    <row r="572" spans="1:2">
      <c r="A572">
        <f t="shared" si="8"/>
        <v>571</v>
      </c>
      <c r="B572">
        <v>1.1786700000000001</v>
      </c>
    </row>
    <row r="573" spans="1:2">
      <c r="A573">
        <f t="shared" si="8"/>
        <v>572</v>
      </c>
      <c r="B573">
        <v>1.1664600000000001</v>
      </c>
    </row>
    <row r="574" spans="1:2">
      <c r="A574">
        <f t="shared" si="8"/>
        <v>573</v>
      </c>
      <c r="B574">
        <v>1.1589</v>
      </c>
    </row>
    <row r="575" spans="1:2">
      <c r="A575">
        <f t="shared" si="8"/>
        <v>574</v>
      </c>
      <c r="B575">
        <v>1.1585700000000001</v>
      </c>
    </row>
    <row r="576" spans="1:2">
      <c r="A576">
        <f t="shared" si="8"/>
        <v>575</v>
      </c>
      <c r="B576">
        <v>1.1544700000000001</v>
      </c>
    </row>
    <row r="577" spans="1:2">
      <c r="A577">
        <f t="shared" si="8"/>
        <v>576</v>
      </c>
      <c r="B577">
        <v>1.15916</v>
      </c>
    </row>
    <row r="578" spans="1:2">
      <c r="A578">
        <f t="shared" ref="A578:A641" si="9">1+A577</f>
        <v>577</v>
      </c>
      <c r="B578">
        <v>1.16099</v>
      </c>
    </row>
    <row r="579" spans="1:2">
      <c r="A579">
        <f t="shared" si="9"/>
        <v>578</v>
      </c>
      <c r="B579">
        <v>1.15659</v>
      </c>
    </row>
    <row r="580" spans="1:2">
      <c r="A580">
        <f t="shared" si="9"/>
        <v>579</v>
      </c>
      <c r="B580">
        <v>1.15499</v>
      </c>
    </row>
    <row r="581" spans="1:2">
      <c r="A581">
        <f t="shared" si="9"/>
        <v>580</v>
      </c>
      <c r="B581">
        <v>1.15496</v>
      </c>
    </row>
    <row r="582" spans="1:2">
      <c r="A582">
        <f t="shared" si="9"/>
        <v>581</v>
      </c>
      <c r="B582">
        <v>1.14866</v>
      </c>
    </row>
    <row r="583" spans="1:2">
      <c r="A583">
        <f t="shared" si="9"/>
        <v>582</v>
      </c>
      <c r="B583">
        <v>1.14442</v>
      </c>
    </row>
    <row r="584" spans="1:2">
      <c r="A584">
        <f t="shared" si="9"/>
        <v>583</v>
      </c>
      <c r="B584">
        <v>1.1395900000000001</v>
      </c>
    </row>
    <row r="585" spans="1:2">
      <c r="A585">
        <f t="shared" si="9"/>
        <v>584</v>
      </c>
      <c r="B585">
        <v>1.14141</v>
      </c>
    </row>
    <row r="586" spans="1:2">
      <c r="A586">
        <f t="shared" si="9"/>
        <v>585</v>
      </c>
      <c r="B586">
        <v>1.1377200000000001</v>
      </c>
    </row>
    <row r="587" spans="1:2">
      <c r="A587">
        <f t="shared" si="9"/>
        <v>586</v>
      </c>
      <c r="B587">
        <v>1.13913</v>
      </c>
    </row>
    <row r="588" spans="1:2">
      <c r="A588">
        <f t="shared" si="9"/>
        <v>587</v>
      </c>
      <c r="B588">
        <v>1.1404700000000001</v>
      </c>
    </row>
    <row r="589" spans="1:2">
      <c r="A589">
        <f t="shared" si="9"/>
        <v>588</v>
      </c>
      <c r="B589">
        <v>1.14314</v>
      </c>
    </row>
    <row r="590" spans="1:2">
      <c r="A590">
        <f t="shared" si="9"/>
        <v>589</v>
      </c>
      <c r="B590">
        <v>1.1450100000000001</v>
      </c>
    </row>
    <row r="591" spans="1:2">
      <c r="A591">
        <f t="shared" si="9"/>
        <v>590</v>
      </c>
      <c r="B591">
        <v>1.13632</v>
      </c>
    </row>
    <row r="592" spans="1:2">
      <c r="A592">
        <f t="shared" si="9"/>
        <v>591</v>
      </c>
      <c r="B592">
        <v>1.1326700000000001</v>
      </c>
    </row>
    <row r="593" spans="1:2">
      <c r="A593">
        <f t="shared" si="9"/>
        <v>592</v>
      </c>
      <c r="B593">
        <v>1.12575</v>
      </c>
    </row>
    <row r="594" spans="1:2">
      <c r="A594">
        <f t="shared" si="9"/>
        <v>593</v>
      </c>
      <c r="B594">
        <v>1.1198600000000001</v>
      </c>
    </row>
    <row r="595" spans="1:2">
      <c r="A595">
        <f t="shared" si="9"/>
        <v>594</v>
      </c>
      <c r="B595">
        <v>1.1130500000000001</v>
      </c>
    </row>
    <row r="596" spans="1:2">
      <c r="A596">
        <f t="shared" si="9"/>
        <v>595</v>
      </c>
      <c r="B596">
        <v>1.1158399999999999</v>
      </c>
    </row>
    <row r="597" spans="1:2">
      <c r="A597">
        <f t="shared" si="9"/>
        <v>596</v>
      </c>
      <c r="B597">
        <v>1.11233</v>
      </c>
    </row>
    <row r="598" spans="1:2">
      <c r="A598">
        <f t="shared" si="9"/>
        <v>597</v>
      </c>
      <c r="B598">
        <v>1.1052599999999999</v>
      </c>
    </row>
    <row r="599" spans="1:2">
      <c r="A599">
        <f t="shared" si="9"/>
        <v>598</v>
      </c>
      <c r="B599">
        <v>1.09975</v>
      </c>
    </row>
    <row r="600" spans="1:2">
      <c r="A600">
        <f t="shared" si="9"/>
        <v>599</v>
      </c>
      <c r="B600">
        <v>1.0914200000000001</v>
      </c>
    </row>
    <row r="601" spans="1:2">
      <c r="A601">
        <f t="shared" si="9"/>
        <v>600</v>
      </c>
      <c r="B601">
        <v>1.0978699999999999</v>
      </c>
    </row>
    <row r="602" spans="1:2">
      <c r="A602">
        <f t="shared" si="9"/>
        <v>601</v>
      </c>
      <c r="B602">
        <v>1.0963799999999999</v>
      </c>
    </row>
    <row r="603" spans="1:2">
      <c r="A603">
        <f t="shared" si="9"/>
        <v>602</v>
      </c>
      <c r="B603">
        <v>1.09198</v>
      </c>
    </row>
    <row r="604" spans="1:2">
      <c r="A604">
        <f t="shared" si="9"/>
        <v>603</v>
      </c>
      <c r="B604">
        <v>1.0930299999999999</v>
      </c>
    </row>
    <row r="605" spans="1:2">
      <c r="A605">
        <f t="shared" si="9"/>
        <v>604</v>
      </c>
      <c r="B605">
        <v>1.0956600000000001</v>
      </c>
    </row>
    <row r="606" spans="1:2">
      <c r="A606">
        <f t="shared" si="9"/>
        <v>605</v>
      </c>
      <c r="B606">
        <v>1.0898699999999999</v>
      </c>
    </row>
    <row r="607" spans="1:2">
      <c r="A607">
        <f t="shared" si="9"/>
        <v>606</v>
      </c>
      <c r="B607">
        <v>1.0888899999999999</v>
      </c>
    </row>
    <row r="608" spans="1:2">
      <c r="A608">
        <f t="shared" si="9"/>
        <v>607</v>
      </c>
      <c r="B608">
        <v>1.0816300000000001</v>
      </c>
    </row>
    <row r="609" spans="1:2">
      <c r="A609">
        <f t="shared" si="9"/>
        <v>608</v>
      </c>
      <c r="B609">
        <v>1.0805899999999999</v>
      </c>
    </row>
    <row r="610" spans="1:2">
      <c r="A610">
        <f t="shared" si="9"/>
        <v>609</v>
      </c>
      <c r="B610">
        <v>1.07545</v>
      </c>
    </row>
    <row r="611" spans="1:2">
      <c r="A611">
        <f t="shared" si="9"/>
        <v>610</v>
      </c>
      <c r="B611">
        <v>1.0703400000000001</v>
      </c>
    </row>
    <row r="612" spans="1:2">
      <c r="A612">
        <f t="shared" si="9"/>
        <v>611</v>
      </c>
      <c r="B612">
        <v>1.06931</v>
      </c>
    </row>
    <row r="613" spans="1:2">
      <c r="A613">
        <f t="shared" si="9"/>
        <v>612</v>
      </c>
      <c r="B613">
        <v>1.07291</v>
      </c>
    </row>
    <row r="614" spans="1:2">
      <c r="A614">
        <f t="shared" si="9"/>
        <v>613</v>
      </c>
      <c r="B614">
        <v>1.0575399999999999</v>
      </c>
    </row>
    <row r="615" spans="1:2">
      <c r="A615">
        <f t="shared" si="9"/>
        <v>614</v>
      </c>
      <c r="B615">
        <v>1.0574399999999999</v>
      </c>
    </row>
    <row r="616" spans="1:2">
      <c r="A616">
        <f t="shared" si="9"/>
        <v>615</v>
      </c>
      <c r="B616">
        <v>1.05955</v>
      </c>
    </row>
    <row r="617" spans="1:2">
      <c r="A617">
        <f t="shared" si="9"/>
        <v>616</v>
      </c>
      <c r="B617">
        <v>1.0612600000000001</v>
      </c>
    </row>
    <row r="618" spans="1:2">
      <c r="A618">
        <f t="shared" si="9"/>
        <v>617</v>
      </c>
      <c r="B618">
        <v>1.0568900000000001</v>
      </c>
    </row>
    <row r="619" spans="1:2">
      <c r="A619">
        <f t="shared" si="9"/>
        <v>618</v>
      </c>
      <c r="B619">
        <v>1.05715</v>
      </c>
    </row>
    <row r="620" spans="1:2">
      <c r="A620">
        <f t="shared" si="9"/>
        <v>619</v>
      </c>
      <c r="B620">
        <v>1.06132</v>
      </c>
    </row>
    <row r="621" spans="1:2">
      <c r="A621">
        <f t="shared" si="9"/>
        <v>620</v>
      </c>
      <c r="B621">
        <v>1.0629500000000001</v>
      </c>
    </row>
    <row r="622" spans="1:2">
      <c r="A622">
        <f t="shared" si="9"/>
        <v>621</v>
      </c>
      <c r="B622">
        <v>1.0495399999999999</v>
      </c>
    </row>
    <row r="623" spans="1:2">
      <c r="A623">
        <f t="shared" si="9"/>
        <v>622</v>
      </c>
      <c r="B623">
        <v>1.0452600000000001</v>
      </c>
    </row>
    <row r="624" spans="1:2">
      <c r="A624">
        <f t="shared" si="9"/>
        <v>623</v>
      </c>
      <c r="B624">
        <v>1.04287</v>
      </c>
    </row>
    <row r="625" spans="1:2">
      <c r="A625">
        <f t="shared" si="9"/>
        <v>624</v>
      </c>
      <c r="B625">
        <v>1.04037</v>
      </c>
    </row>
    <row r="626" spans="1:2">
      <c r="A626">
        <f t="shared" si="9"/>
        <v>625</v>
      </c>
      <c r="B626">
        <v>1.03756</v>
      </c>
    </row>
    <row r="627" spans="1:2">
      <c r="A627">
        <f t="shared" si="9"/>
        <v>626</v>
      </c>
      <c r="B627">
        <v>1.0360199999999999</v>
      </c>
    </row>
    <row r="628" spans="1:2">
      <c r="A628">
        <f t="shared" si="9"/>
        <v>627</v>
      </c>
      <c r="B628">
        <v>1.0310999999999999</v>
      </c>
    </row>
    <row r="629" spans="1:2">
      <c r="A629">
        <f t="shared" si="9"/>
        <v>628</v>
      </c>
      <c r="B629">
        <v>1.0242899999999999</v>
      </c>
    </row>
    <row r="630" spans="1:2">
      <c r="A630">
        <f t="shared" si="9"/>
        <v>629</v>
      </c>
      <c r="B630">
        <v>1.02176</v>
      </c>
    </row>
    <row r="631" spans="1:2">
      <c r="A631">
        <f t="shared" si="9"/>
        <v>630</v>
      </c>
      <c r="B631">
        <v>1.02247</v>
      </c>
    </row>
    <row r="632" spans="1:2">
      <c r="A632">
        <f t="shared" si="9"/>
        <v>631</v>
      </c>
      <c r="B632">
        <v>1.0214399999999999</v>
      </c>
    </row>
    <row r="633" spans="1:2">
      <c r="A633">
        <f t="shared" si="9"/>
        <v>632</v>
      </c>
      <c r="B633">
        <v>1.0141199999999999</v>
      </c>
    </row>
    <row r="634" spans="1:2">
      <c r="A634">
        <f t="shared" si="9"/>
        <v>633</v>
      </c>
      <c r="B634">
        <v>1.01332</v>
      </c>
    </row>
    <row r="635" spans="1:2">
      <c r="A635">
        <f t="shared" si="9"/>
        <v>634</v>
      </c>
      <c r="B635">
        <v>1.01006</v>
      </c>
    </row>
    <row r="636" spans="1:2">
      <c r="A636">
        <f t="shared" si="9"/>
        <v>635</v>
      </c>
      <c r="B636">
        <v>1.01084</v>
      </c>
    </row>
    <row r="637" spans="1:2">
      <c r="A637">
        <f t="shared" si="9"/>
        <v>636</v>
      </c>
      <c r="B637">
        <v>1.00346</v>
      </c>
    </row>
    <row r="638" spans="1:2">
      <c r="A638">
        <f t="shared" si="9"/>
        <v>637</v>
      </c>
      <c r="B638">
        <v>1.0023200000000001</v>
      </c>
    </row>
    <row r="639" spans="1:2">
      <c r="A639">
        <f t="shared" si="9"/>
        <v>638</v>
      </c>
      <c r="B639">
        <v>0.99743899999999996</v>
      </c>
    </row>
    <row r="640" spans="1:2">
      <c r="A640">
        <f t="shared" si="9"/>
        <v>639</v>
      </c>
      <c r="B640">
        <v>0.99880199999999997</v>
      </c>
    </row>
    <row r="641" spans="1:2">
      <c r="A641">
        <f t="shared" si="9"/>
        <v>640</v>
      </c>
      <c r="B641">
        <v>1.0045900000000001</v>
      </c>
    </row>
    <row r="642" spans="1:2">
      <c r="A642">
        <f t="shared" ref="A642:A705" si="10">1+A641</f>
        <v>641</v>
      </c>
      <c r="B642">
        <v>1.0099899999999999</v>
      </c>
    </row>
    <row r="643" spans="1:2">
      <c r="A643">
        <f t="shared" si="10"/>
        <v>642</v>
      </c>
      <c r="B643">
        <v>0.99740300000000004</v>
      </c>
    </row>
    <row r="644" spans="1:2">
      <c r="A644">
        <f t="shared" si="10"/>
        <v>643</v>
      </c>
      <c r="B644">
        <v>1.0010600000000001</v>
      </c>
    </row>
    <row r="645" spans="1:2">
      <c r="A645">
        <f t="shared" si="10"/>
        <v>644</v>
      </c>
      <c r="B645">
        <v>1.00467</v>
      </c>
    </row>
    <row r="646" spans="1:2">
      <c r="A646">
        <f t="shared" si="10"/>
        <v>645</v>
      </c>
      <c r="B646">
        <v>0.98991399999999996</v>
      </c>
    </row>
    <row r="647" spans="1:2">
      <c r="A647">
        <f t="shared" si="10"/>
        <v>646</v>
      </c>
      <c r="B647">
        <v>0.986927</v>
      </c>
    </row>
    <row r="648" spans="1:2">
      <c r="A648">
        <f t="shared" si="10"/>
        <v>647</v>
      </c>
      <c r="B648">
        <v>0.98292299999999999</v>
      </c>
    </row>
    <row r="649" spans="1:2">
      <c r="A649">
        <f t="shared" si="10"/>
        <v>648</v>
      </c>
      <c r="B649">
        <v>0.98877800000000005</v>
      </c>
    </row>
    <row r="650" spans="1:2">
      <c r="A650">
        <f t="shared" si="10"/>
        <v>649</v>
      </c>
      <c r="B650">
        <v>0.97731599999999996</v>
      </c>
    </row>
    <row r="651" spans="1:2">
      <c r="A651">
        <f t="shared" si="10"/>
        <v>650</v>
      </c>
      <c r="B651">
        <v>0.97850199999999998</v>
      </c>
    </row>
    <row r="652" spans="1:2">
      <c r="A652">
        <f t="shared" si="10"/>
        <v>651</v>
      </c>
      <c r="B652">
        <v>0.97520700000000005</v>
      </c>
    </row>
    <row r="653" spans="1:2">
      <c r="A653">
        <f t="shared" si="10"/>
        <v>652</v>
      </c>
      <c r="B653">
        <v>0.97122900000000001</v>
      </c>
    </row>
    <row r="654" spans="1:2">
      <c r="A654">
        <f t="shared" si="10"/>
        <v>653</v>
      </c>
      <c r="B654">
        <v>0.96541200000000005</v>
      </c>
    </row>
    <row r="655" spans="1:2">
      <c r="A655">
        <f t="shared" si="10"/>
        <v>654</v>
      </c>
      <c r="B655">
        <v>0.96087299999999998</v>
      </c>
    </row>
    <row r="656" spans="1:2">
      <c r="A656">
        <f t="shared" si="10"/>
        <v>655</v>
      </c>
      <c r="B656">
        <v>0.95673600000000003</v>
      </c>
    </row>
    <row r="657" spans="1:2">
      <c r="A657">
        <f t="shared" si="10"/>
        <v>656</v>
      </c>
      <c r="B657">
        <v>0.95471399999999995</v>
      </c>
    </row>
    <row r="658" spans="1:2">
      <c r="A658">
        <f t="shared" si="10"/>
        <v>657</v>
      </c>
      <c r="B658">
        <v>0.95257199999999997</v>
      </c>
    </row>
    <row r="659" spans="1:2">
      <c r="A659">
        <f t="shared" si="10"/>
        <v>658</v>
      </c>
      <c r="B659">
        <v>0.95016699999999998</v>
      </c>
    </row>
    <row r="660" spans="1:2">
      <c r="A660">
        <f t="shared" si="10"/>
        <v>659</v>
      </c>
      <c r="B660">
        <v>0.94507399999999997</v>
      </c>
    </row>
    <row r="661" spans="1:2">
      <c r="A661">
        <f t="shared" si="10"/>
        <v>660</v>
      </c>
      <c r="B661">
        <v>0.94508300000000001</v>
      </c>
    </row>
    <row r="662" spans="1:2">
      <c r="A662">
        <f t="shared" si="10"/>
        <v>661</v>
      </c>
      <c r="B662">
        <v>0.94014900000000001</v>
      </c>
    </row>
    <row r="663" spans="1:2">
      <c r="A663">
        <f t="shared" si="10"/>
        <v>662</v>
      </c>
      <c r="B663">
        <v>0.93264800000000003</v>
      </c>
    </row>
    <row r="664" spans="1:2">
      <c r="A664">
        <f t="shared" si="10"/>
        <v>663</v>
      </c>
      <c r="B664">
        <v>0.93028100000000002</v>
      </c>
    </row>
    <row r="665" spans="1:2">
      <c r="A665">
        <f t="shared" si="10"/>
        <v>664</v>
      </c>
      <c r="B665">
        <v>0.919516</v>
      </c>
    </row>
    <row r="666" spans="1:2">
      <c r="A666">
        <f t="shared" si="10"/>
        <v>665</v>
      </c>
      <c r="B666">
        <v>0.91899699999999995</v>
      </c>
    </row>
    <row r="667" spans="1:2">
      <c r="A667">
        <f t="shared" si="10"/>
        <v>666</v>
      </c>
      <c r="B667">
        <v>0.918933</v>
      </c>
    </row>
    <row r="668" spans="1:2">
      <c r="A668">
        <f t="shared" si="10"/>
        <v>667</v>
      </c>
      <c r="B668">
        <v>0.91867299999999996</v>
      </c>
    </row>
    <row r="669" spans="1:2">
      <c r="A669">
        <f t="shared" si="10"/>
        <v>668</v>
      </c>
      <c r="B669">
        <v>0.91686699999999999</v>
      </c>
    </row>
    <row r="670" spans="1:2">
      <c r="A670">
        <f t="shared" si="10"/>
        <v>669</v>
      </c>
      <c r="B670">
        <v>0.91760399999999998</v>
      </c>
    </row>
    <row r="671" spans="1:2">
      <c r="A671">
        <f t="shared" si="10"/>
        <v>670</v>
      </c>
      <c r="B671">
        <v>0.91189500000000001</v>
      </c>
    </row>
    <row r="672" spans="1:2">
      <c r="A672">
        <f t="shared" si="10"/>
        <v>671</v>
      </c>
      <c r="B672">
        <v>0.90058199999999999</v>
      </c>
    </row>
    <row r="673" spans="1:2">
      <c r="A673">
        <f t="shared" si="10"/>
        <v>672</v>
      </c>
      <c r="B673">
        <v>0.90314499999999998</v>
      </c>
    </row>
    <row r="674" spans="1:2">
      <c r="A674">
        <f t="shared" si="10"/>
        <v>673</v>
      </c>
      <c r="B674">
        <v>0.89780000000000004</v>
      </c>
    </row>
    <row r="675" spans="1:2">
      <c r="A675">
        <f t="shared" si="10"/>
        <v>674</v>
      </c>
      <c r="B675">
        <v>0.89468700000000001</v>
      </c>
    </row>
    <row r="676" spans="1:2">
      <c r="A676">
        <f t="shared" si="10"/>
        <v>675</v>
      </c>
      <c r="B676">
        <v>0.88900000000000001</v>
      </c>
    </row>
    <row r="677" spans="1:2">
      <c r="A677">
        <f t="shared" si="10"/>
        <v>676</v>
      </c>
      <c r="B677">
        <v>0.89085599999999998</v>
      </c>
    </row>
    <row r="678" spans="1:2">
      <c r="A678">
        <f t="shared" si="10"/>
        <v>677</v>
      </c>
      <c r="B678">
        <v>0.887374</v>
      </c>
    </row>
    <row r="679" spans="1:2">
      <c r="A679">
        <f t="shared" si="10"/>
        <v>678</v>
      </c>
      <c r="B679">
        <v>0.88921600000000001</v>
      </c>
    </row>
    <row r="680" spans="1:2">
      <c r="A680">
        <f t="shared" si="10"/>
        <v>679</v>
      </c>
      <c r="B680">
        <v>0.88881299999999996</v>
      </c>
    </row>
    <row r="681" spans="1:2">
      <c r="A681">
        <f t="shared" si="10"/>
        <v>680</v>
      </c>
      <c r="B681">
        <v>0.885463</v>
      </c>
    </row>
    <row r="682" spans="1:2">
      <c r="A682">
        <f t="shared" si="10"/>
        <v>681</v>
      </c>
      <c r="B682">
        <v>0.88681600000000005</v>
      </c>
    </row>
    <row r="683" spans="1:2">
      <c r="A683">
        <f t="shared" si="10"/>
        <v>682</v>
      </c>
      <c r="B683">
        <v>0.88854200000000005</v>
      </c>
    </row>
    <row r="684" spans="1:2">
      <c r="A684">
        <f t="shared" si="10"/>
        <v>683</v>
      </c>
      <c r="B684">
        <v>0.88423499999999999</v>
      </c>
    </row>
    <row r="685" spans="1:2">
      <c r="A685">
        <f t="shared" si="10"/>
        <v>684</v>
      </c>
      <c r="B685">
        <v>0.88317000000000001</v>
      </c>
    </row>
    <row r="686" spans="1:2">
      <c r="A686">
        <f t="shared" si="10"/>
        <v>685</v>
      </c>
      <c r="B686">
        <v>0.88250899999999999</v>
      </c>
    </row>
    <row r="687" spans="1:2">
      <c r="A687">
        <f t="shared" si="10"/>
        <v>686</v>
      </c>
      <c r="B687">
        <v>0.88495599999999996</v>
      </c>
    </row>
    <row r="688" spans="1:2">
      <c r="A688">
        <f t="shared" si="10"/>
        <v>687</v>
      </c>
      <c r="B688">
        <v>0.87552099999999999</v>
      </c>
    </row>
    <row r="689" spans="1:2">
      <c r="A689">
        <f t="shared" si="10"/>
        <v>688</v>
      </c>
      <c r="B689">
        <v>0.87501099999999998</v>
      </c>
    </row>
    <row r="690" spans="1:2">
      <c r="A690">
        <f t="shared" si="10"/>
        <v>689</v>
      </c>
      <c r="B690">
        <v>0.87648000000000004</v>
      </c>
    </row>
    <row r="691" spans="1:2">
      <c r="A691">
        <f t="shared" si="10"/>
        <v>690</v>
      </c>
      <c r="B691">
        <v>0.87488299999999997</v>
      </c>
    </row>
    <row r="692" spans="1:2">
      <c r="A692">
        <f t="shared" si="10"/>
        <v>691</v>
      </c>
      <c r="B692">
        <v>0.877166</v>
      </c>
    </row>
    <row r="693" spans="1:2">
      <c r="A693">
        <f t="shared" si="10"/>
        <v>692</v>
      </c>
      <c r="B693">
        <v>0.88221799999999995</v>
      </c>
    </row>
    <row r="694" spans="1:2">
      <c r="A694">
        <f t="shared" si="10"/>
        <v>693</v>
      </c>
      <c r="B694">
        <v>0.878166</v>
      </c>
    </row>
    <row r="695" spans="1:2">
      <c r="A695">
        <f t="shared" si="10"/>
        <v>694</v>
      </c>
      <c r="B695">
        <v>0.87746500000000005</v>
      </c>
    </row>
    <row r="696" spans="1:2">
      <c r="A696">
        <f t="shared" si="10"/>
        <v>695</v>
      </c>
      <c r="B696">
        <v>0.87954600000000005</v>
      </c>
    </row>
    <row r="697" spans="1:2">
      <c r="A697">
        <f t="shared" si="10"/>
        <v>696</v>
      </c>
      <c r="B697">
        <v>0.88151299999999999</v>
      </c>
    </row>
    <row r="698" spans="1:2">
      <c r="A698">
        <f t="shared" si="10"/>
        <v>697</v>
      </c>
      <c r="B698">
        <v>0.886463</v>
      </c>
    </row>
    <row r="699" spans="1:2">
      <c r="A699">
        <f t="shared" si="10"/>
        <v>698</v>
      </c>
      <c r="B699">
        <v>0.89115800000000001</v>
      </c>
    </row>
    <row r="700" spans="1:2">
      <c r="A700">
        <f t="shared" si="10"/>
        <v>699</v>
      </c>
      <c r="B700">
        <v>0.88986699999999996</v>
      </c>
    </row>
    <row r="701" spans="1:2">
      <c r="A701">
        <f t="shared" si="10"/>
        <v>700</v>
      </c>
      <c r="B701">
        <v>0.87232600000000005</v>
      </c>
    </row>
    <row r="702" spans="1:2">
      <c r="A702">
        <f t="shared" si="10"/>
        <v>701</v>
      </c>
      <c r="B702">
        <v>0.85820300000000005</v>
      </c>
    </row>
    <row r="703" spans="1:2">
      <c r="A703">
        <f t="shared" si="10"/>
        <v>702</v>
      </c>
      <c r="B703">
        <v>0.85994300000000001</v>
      </c>
    </row>
    <row r="704" spans="1:2">
      <c r="A704">
        <f t="shared" si="10"/>
        <v>703</v>
      </c>
      <c r="B704">
        <v>0.85785100000000003</v>
      </c>
    </row>
    <row r="705" spans="1:2">
      <c r="A705">
        <f t="shared" si="10"/>
        <v>704</v>
      </c>
      <c r="B705">
        <v>0.86255000000000004</v>
      </c>
    </row>
    <row r="706" spans="1:2">
      <c r="A706">
        <f t="shared" ref="A706:A769" si="11">1+A705</f>
        <v>705</v>
      </c>
      <c r="B706">
        <v>0.85783100000000001</v>
      </c>
    </row>
    <row r="707" spans="1:2">
      <c r="A707">
        <f t="shared" si="11"/>
        <v>706</v>
      </c>
      <c r="B707">
        <v>0.86332799999999998</v>
      </c>
    </row>
    <row r="708" spans="1:2">
      <c r="A708">
        <f t="shared" si="11"/>
        <v>707</v>
      </c>
      <c r="B708">
        <v>0.85541500000000004</v>
      </c>
    </row>
    <row r="709" spans="1:2">
      <c r="A709">
        <f t="shared" si="11"/>
        <v>708</v>
      </c>
      <c r="B709">
        <v>0.85952200000000001</v>
      </c>
    </row>
    <row r="710" spans="1:2">
      <c r="A710">
        <f t="shared" si="11"/>
        <v>709</v>
      </c>
      <c r="B710">
        <v>0.863873</v>
      </c>
    </row>
    <row r="711" spans="1:2">
      <c r="A711">
        <f t="shared" si="11"/>
        <v>710</v>
      </c>
      <c r="B711">
        <v>0.858325</v>
      </c>
    </row>
    <row r="712" spans="1:2">
      <c r="A712">
        <f t="shared" si="11"/>
        <v>711</v>
      </c>
      <c r="B712">
        <v>0.85280599999999995</v>
      </c>
    </row>
    <row r="713" spans="1:2">
      <c r="A713">
        <f t="shared" si="11"/>
        <v>712</v>
      </c>
      <c r="B713">
        <v>0.84734100000000001</v>
      </c>
    </row>
    <row r="714" spans="1:2">
      <c r="A714">
        <f t="shared" si="11"/>
        <v>713</v>
      </c>
      <c r="B714">
        <v>0.84526500000000004</v>
      </c>
    </row>
    <row r="715" spans="1:2">
      <c r="A715">
        <f t="shared" si="11"/>
        <v>714</v>
      </c>
      <c r="B715">
        <v>0.84296000000000004</v>
      </c>
    </row>
    <row r="716" spans="1:2">
      <c r="A716">
        <f t="shared" si="11"/>
        <v>715</v>
      </c>
      <c r="B716">
        <v>0.83281099999999997</v>
      </c>
    </row>
    <row r="717" spans="1:2">
      <c r="A717">
        <f t="shared" si="11"/>
        <v>716</v>
      </c>
      <c r="B717">
        <v>0.82383899999999999</v>
      </c>
    </row>
    <row r="718" spans="1:2">
      <c r="A718">
        <f t="shared" si="11"/>
        <v>717</v>
      </c>
      <c r="B718">
        <v>0.82472800000000002</v>
      </c>
    </row>
    <row r="719" spans="1:2">
      <c r="A719">
        <f t="shared" si="11"/>
        <v>718</v>
      </c>
      <c r="B719">
        <v>0.82662199999999997</v>
      </c>
    </row>
    <row r="720" spans="1:2">
      <c r="A720">
        <f t="shared" si="11"/>
        <v>719</v>
      </c>
      <c r="B720">
        <v>0.824735</v>
      </c>
    </row>
    <row r="721" spans="1:2">
      <c r="A721">
        <f t="shared" si="11"/>
        <v>720</v>
      </c>
      <c r="B721">
        <v>0.825793</v>
      </c>
    </row>
    <row r="722" spans="1:2">
      <c r="A722">
        <f t="shared" si="11"/>
        <v>721</v>
      </c>
      <c r="B722">
        <v>0.82343200000000005</v>
      </c>
    </row>
    <row r="723" spans="1:2">
      <c r="A723">
        <f t="shared" si="11"/>
        <v>722</v>
      </c>
      <c r="B723">
        <v>0.82041600000000003</v>
      </c>
    </row>
    <row r="724" spans="1:2">
      <c r="A724">
        <f t="shared" si="11"/>
        <v>723</v>
      </c>
      <c r="B724">
        <v>0.82164800000000004</v>
      </c>
    </row>
    <row r="725" spans="1:2">
      <c r="A725">
        <f t="shared" si="11"/>
        <v>724</v>
      </c>
      <c r="B725">
        <v>0.82228999999999997</v>
      </c>
    </row>
    <row r="726" spans="1:2">
      <c r="A726">
        <f t="shared" si="11"/>
        <v>725</v>
      </c>
      <c r="B726">
        <v>0.80871499999999996</v>
      </c>
    </row>
    <row r="727" spans="1:2">
      <c r="A727">
        <f t="shared" si="11"/>
        <v>726</v>
      </c>
      <c r="B727">
        <v>0.80935599999999996</v>
      </c>
    </row>
    <row r="728" spans="1:2">
      <c r="A728">
        <f t="shared" si="11"/>
        <v>727</v>
      </c>
      <c r="B728">
        <v>0.80648200000000003</v>
      </c>
    </row>
    <row r="729" spans="1:2">
      <c r="A729">
        <f t="shared" si="11"/>
        <v>728</v>
      </c>
      <c r="B729">
        <v>0.80705700000000002</v>
      </c>
    </row>
    <row r="730" spans="1:2">
      <c r="A730">
        <f t="shared" si="11"/>
        <v>729</v>
      </c>
      <c r="B730">
        <v>0.81119799999999997</v>
      </c>
    </row>
    <row r="731" spans="1:2">
      <c r="A731">
        <f t="shared" si="11"/>
        <v>730</v>
      </c>
      <c r="B731">
        <v>0.80464599999999997</v>
      </c>
    </row>
    <row r="732" spans="1:2">
      <c r="A732">
        <f t="shared" si="11"/>
        <v>731</v>
      </c>
      <c r="B732">
        <v>0.805836</v>
      </c>
    </row>
    <row r="733" spans="1:2">
      <c r="A733">
        <f t="shared" si="11"/>
        <v>732</v>
      </c>
      <c r="B733">
        <v>0.80676099999999995</v>
      </c>
    </row>
    <row r="734" spans="1:2">
      <c r="A734">
        <f t="shared" si="11"/>
        <v>733</v>
      </c>
      <c r="B734">
        <v>0.80735500000000004</v>
      </c>
    </row>
    <row r="735" spans="1:2">
      <c r="A735">
        <f t="shared" si="11"/>
        <v>734</v>
      </c>
      <c r="B735">
        <v>0.80745299999999998</v>
      </c>
    </row>
    <row r="736" spans="1:2">
      <c r="A736">
        <f t="shared" si="11"/>
        <v>735</v>
      </c>
      <c r="B736">
        <v>0.81173899999999999</v>
      </c>
    </row>
    <row r="737" spans="1:2">
      <c r="A737">
        <f t="shared" si="11"/>
        <v>736</v>
      </c>
      <c r="B737">
        <v>0.812338</v>
      </c>
    </row>
    <row r="738" spans="1:2">
      <c r="A738">
        <f t="shared" si="11"/>
        <v>737</v>
      </c>
      <c r="B738">
        <v>0.81692299999999995</v>
      </c>
    </row>
    <row r="739" spans="1:2">
      <c r="A739">
        <f t="shared" si="11"/>
        <v>738</v>
      </c>
      <c r="B739">
        <v>0.80971700000000002</v>
      </c>
    </row>
    <row r="740" spans="1:2">
      <c r="A740">
        <f t="shared" si="11"/>
        <v>739</v>
      </c>
      <c r="B740">
        <v>0.81372199999999995</v>
      </c>
    </row>
    <row r="741" spans="1:2">
      <c r="A741">
        <f t="shared" si="11"/>
        <v>740</v>
      </c>
      <c r="B741">
        <v>0.79845900000000003</v>
      </c>
    </row>
    <row r="742" spans="1:2">
      <c r="A742">
        <f t="shared" si="11"/>
        <v>741</v>
      </c>
      <c r="B742">
        <v>0.79064100000000004</v>
      </c>
    </row>
    <row r="743" spans="1:2">
      <c r="A743">
        <f t="shared" si="11"/>
        <v>742</v>
      </c>
      <c r="B743">
        <v>0.79049800000000003</v>
      </c>
    </row>
    <row r="744" spans="1:2">
      <c r="A744">
        <f t="shared" si="11"/>
        <v>743</v>
      </c>
      <c r="B744">
        <v>0.79475099999999999</v>
      </c>
    </row>
    <row r="745" spans="1:2">
      <c r="A745">
        <f t="shared" si="11"/>
        <v>744</v>
      </c>
      <c r="B745">
        <v>0.79908199999999996</v>
      </c>
    </row>
    <row r="746" spans="1:2">
      <c r="A746">
        <f t="shared" si="11"/>
        <v>745</v>
      </c>
      <c r="B746">
        <v>0.79194900000000001</v>
      </c>
    </row>
    <row r="747" spans="1:2">
      <c r="A747">
        <f t="shared" si="11"/>
        <v>746</v>
      </c>
      <c r="B747">
        <v>0.79605300000000001</v>
      </c>
    </row>
    <row r="748" spans="1:2">
      <c r="A748">
        <f t="shared" si="11"/>
        <v>747</v>
      </c>
      <c r="B748">
        <v>0.79212899999999997</v>
      </c>
    </row>
    <row r="749" spans="1:2">
      <c r="A749">
        <f t="shared" si="11"/>
        <v>748</v>
      </c>
      <c r="B749">
        <v>0.79195499999999996</v>
      </c>
    </row>
    <row r="750" spans="1:2">
      <c r="A750">
        <f t="shared" si="11"/>
        <v>749</v>
      </c>
      <c r="B750">
        <v>0.78779999999999994</v>
      </c>
    </row>
    <row r="751" spans="1:2">
      <c r="A751">
        <f t="shared" si="11"/>
        <v>750</v>
      </c>
      <c r="B751">
        <v>0.78716799999999998</v>
      </c>
    </row>
    <row r="752" spans="1:2">
      <c r="A752">
        <f t="shared" si="11"/>
        <v>751</v>
      </c>
      <c r="B752">
        <v>0.78787099999999999</v>
      </c>
    </row>
    <row r="753" spans="1:2">
      <c r="A753">
        <f t="shared" si="11"/>
        <v>752</v>
      </c>
      <c r="B753">
        <v>0.78389399999999998</v>
      </c>
    </row>
    <row r="754" spans="1:2">
      <c r="A754">
        <f t="shared" si="11"/>
        <v>753</v>
      </c>
      <c r="B754">
        <v>0.775227</v>
      </c>
    </row>
    <row r="755" spans="1:2">
      <c r="A755">
        <f t="shared" si="11"/>
        <v>754</v>
      </c>
      <c r="B755">
        <v>0.77089600000000003</v>
      </c>
    </row>
    <row r="756" spans="1:2">
      <c r="A756">
        <f t="shared" si="11"/>
        <v>755</v>
      </c>
      <c r="B756">
        <v>0.76232800000000001</v>
      </c>
    </row>
    <row r="757" spans="1:2">
      <c r="A757">
        <f t="shared" si="11"/>
        <v>756</v>
      </c>
      <c r="B757">
        <v>0.76158800000000004</v>
      </c>
    </row>
    <row r="758" spans="1:2">
      <c r="A758">
        <f t="shared" si="11"/>
        <v>757</v>
      </c>
      <c r="B758">
        <v>0.76557600000000003</v>
      </c>
    </row>
    <row r="759" spans="1:2">
      <c r="A759">
        <f t="shared" si="11"/>
        <v>758</v>
      </c>
      <c r="B759">
        <v>0.76116300000000003</v>
      </c>
    </row>
    <row r="760" spans="1:2">
      <c r="A760">
        <f t="shared" si="11"/>
        <v>759</v>
      </c>
      <c r="B760">
        <v>0.76047299999999995</v>
      </c>
    </row>
    <row r="761" spans="1:2">
      <c r="A761">
        <f t="shared" si="11"/>
        <v>760</v>
      </c>
      <c r="B761">
        <v>0.75672799999999996</v>
      </c>
    </row>
    <row r="762" spans="1:2">
      <c r="A762">
        <f t="shared" si="11"/>
        <v>761</v>
      </c>
      <c r="B762">
        <v>0.75641599999999998</v>
      </c>
    </row>
    <row r="763" spans="1:2">
      <c r="A763">
        <f t="shared" si="11"/>
        <v>762</v>
      </c>
      <c r="B763">
        <v>0.75126700000000002</v>
      </c>
    </row>
    <row r="764" spans="1:2">
      <c r="A764">
        <f t="shared" si="11"/>
        <v>763</v>
      </c>
      <c r="B764">
        <v>0.75516300000000003</v>
      </c>
    </row>
    <row r="765" spans="1:2">
      <c r="A765">
        <f t="shared" si="11"/>
        <v>764</v>
      </c>
      <c r="B765">
        <v>0.75889200000000001</v>
      </c>
    </row>
    <row r="766" spans="1:2">
      <c r="A766">
        <f t="shared" si="11"/>
        <v>765</v>
      </c>
      <c r="B766">
        <v>0.75371100000000002</v>
      </c>
    </row>
    <row r="767" spans="1:2">
      <c r="A767">
        <f t="shared" si="11"/>
        <v>766</v>
      </c>
      <c r="B767">
        <v>0.74885599999999997</v>
      </c>
    </row>
    <row r="768" spans="1:2">
      <c r="A768">
        <f t="shared" si="11"/>
        <v>767</v>
      </c>
      <c r="B768">
        <v>0.75194899999999998</v>
      </c>
    </row>
    <row r="769" spans="1:2">
      <c r="A769">
        <f t="shared" si="11"/>
        <v>768</v>
      </c>
      <c r="B769">
        <v>0.74658199999999997</v>
      </c>
    </row>
    <row r="770" spans="1:2">
      <c r="A770">
        <f t="shared" ref="A770:A833" si="12">1+A769</f>
        <v>769</v>
      </c>
      <c r="B770">
        <v>0.75022299999999997</v>
      </c>
    </row>
    <row r="771" spans="1:2">
      <c r="A771">
        <f t="shared" si="12"/>
        <v>770</v>
      </c>
      <c r="B771">
        <v>0.75429000000000002</v>
      </c>
    </row>
    <row r="772" spans="1:2">
      <c r="A772">
        <f t="shared" si="12"/>
        <v>771</v>
      </c>
      <c r="B772">
        <v>0.75775499999999996</v>
      </c>
    </row>
    <row r="773" spans="1:2">
      <c r="A773">
        <f t="shared" si="12"/>
        <v>772</v>
      </c>
      <c r="B773">
        <v>0.76143300000000003</v>
      </c>
    </row>
    <row r="774" spans="1:2">
      <c r="A774">
        <f t="shared" si="12"/>
        <v>773</v>
      </c>
      <c r="B774">
        <v>0.76602700000000001</v>
      </c>
    </row>
    <row r="775" spans="1:2">
      <c r="A775">
        <f t="shared" si="12"/>
        <v>774</v>
      </c>
      <c r="B775">
        <v>0.76512199999999997</v>
      </c>
    </row>
    <row r="776" spans="1:2">
      <c r="A776">
        <f t="shared" si="12"/>
        <v>775</v>
      </c>
      <c r="B776">
        <v>0.759996</v>
      </c>
    </row>
    <row r="777" spans="1:2">
      <c r="A777">
        <f t="shared" si="12"/>
        <v>776</v>
      </c>
      <c r="B777">
        <v>0.75425799999999998</v>
      </c>
    </row>
    <row r="778" spans="1:2">
      <c r="A778">
        <f t="shared" si="12"/>
        <v>777</v>
      </c>
      <c r="B778">
        <v>0.75928300000000004</v>
      </c>
    </row>
    <row r="779" spans="1:2">
      <c r="A779">
        <f t="shared" si="12"/>
        <v>778</v>
      </c>
      <c r="B779">
        <v>0.75343499999999997</v>
      </c>
    </row>
    <row r="780" spans="1:2">
      <c r="A780">
        <f t="shared" si="12"/>
        <v>779</v>
      </c>
      <c r="B780">
        <v>0.73762399999999995</v>
      </c>
    </row>
    <row r="781" spans="1:2">
      <c r="A781">
        <f t="shared" si="12"/>
        <v>780</v>
      </c>
      <c r="B781">
        <v>0.74133000000000004</v>
      </c>
    </row>
    <row r="782" spans="1:2">
      <c r="A782">
        <f t="shared" si="12"/>
        <v>781</v>
      </c>
      <c r="B782">
        <v>0.739815</v>
      </c>
    </row>
    <row r="783" spans="1:2">
      <c r="A783">
        <f t="shared" si="12"/>
        <v>782</v>
      </c>
      <c r="B783">
        <v>0.74379300000000004</v>
      </c>
    </row>
    <row r="784" spans="1:2">
      <c r="A784">
        <f t="shared" si="12"/>
        <v>783</v>
      </c>
      <c r="B784">
        <v>0.74849500000000002</v>
      </c>
    </row>
    <row r="785" spans="1:2">
      <c r="A785">
        <f t="shared" si="12"/>
        <v>784</v>
      </c>
      <c r="B785">
        <v>0.74672400000000005</v>
      </c>
    </row>
    <row r="786" spans="1:2">
      <c r="A786">
        <f t="shared" si="12"/>
        <v>785</v>
      </c>
      <c r="B786">
        <v>0.736008</v>
      </c>
    </row>
    <row r="787" spans="1:2">
      <c r="A787">
        <f t="shared" si="12"/>
        <v>786</v>
      </c>
      <c r="B787">
        <v>0.73484099999999997</v>
      </c>
    </row>
    <row r="788" spans="1:2">
      <c r="A788">
        <f t="shared" si="12"/>
        <v>787</v>
      </c>
      <c r="B788">
        <v>0.72343900000000005</v>
      </c>
    </row>
    <row r="789" spans="1:2">
      <c r="A789">
        <f t="shared" si="12"/>
        <v>788</v>
      </c>
      <c r="B789">
        <v>0.71202100000000002</v>
      </c>
    </row>
    <row r="790" spans="1:2">
      <c r="A790">
        <f t="shared" si="12"/>
        <v>789</v>
      </c>
      <c r="B790">
        <v>0.70481400000000005</v>
      </c>
    </row>
    <row r="791" spans="1:2">
      <c r="A791">
        <f t="shared" si="12"/>
        <v>790</v>
      </c>
      <c r="B791">
        <v>0.69823599999999997</v>
      </c>
    </row>
    <row r="792" spans="1:2">
      <c r="A792">
        <f t="shared" si="12"/>
        <v>791</v>
      </c>
      <c r="B792">
        <v>0.69664300000000001</v>
      </c>
    </row>
    <row r="793" spans="1:2">
      <c r="A793">
        <f t="shared" si="12"/>
        <v>792</v>
      </c>
      <c r="B793">
        <v>0.69963399999999998</v>
      </c>
    </row>
    <row r="794" spans="1:2">
      <c r="A794">
        <f t="shared" si="12"/>
        <v>793</v>
      </c>
      <c r="B794">
        <v>0.70283799999999996</v>
      </c>
    </row>
    <row r="795" spans="1:2">
      <c r="A795">
        <f t="shared" si="12"/>
        <v>794</v>
      </c>
      <c r="B795">
        <v>0.70143500000000003</v>
      </c>
    </row>
    <row r="796" spans="1:2">
      <c r="A796">
        <f t="shared" si="12"/>
        <v>795</v>
      </c>
      <c r="B796">
        <v>0.69489299999999998</v>
      </c>
    </row>
    <row r="797" spans="1:2">
      <c r="A797">
        <f t="shared" si="12"/>
        <v>796</v>
      </c>
      <c r="B797">
        <v>0.69331600000000004</v>
      </c>
    </row>
    <row r="798" spans="1:2">
      <c r="A798">
        <f t="shared" si="12"/>
        <v>797</v>
      </c>
      <c r="B798">
        <v>0.68564000000000003</v>
      </c>
    </row>
    <row r="799" spans="1:2">
      <c r="A799">
        <f t="shared" si="12"/>
        <v>798</v>
      </c>
      <c r="B799">
        <v>0.68946600000000002</v>
      </c>
    </row>
    <row r="800" spans="1:2">
      <c r="A800">
        <f t="shared" si="12"/>
        <v>799</v>
      </c>
      <c r="B800">
        <v>0.688137</v>
      </c>
    </row>
    <row r="801" spans="1:2">
      <c r="A801">
        <f t="shared" si="12"/>
        <v>800</v>
      </c>
      <c r="B801">
        <v>0.68686599999999998</v>
      </c>
    </row>
    <row r="802" spans="1:2">
      <c r="A802">
        <f t="shared" si="12"/>
        <v>801</v>
      </c>
      <c r="B802">
        <v>0.68458799999999997</v>
      </c>
    </row>
    <row r="803" spans="1:2">
      <c r="A803">
        <f t="shared" si="12"/>
        <v>802</v>
      </c>
      <c r="B803">
        <v>0.68730400000000003</v>
      </c>
    </row>
    <row r="804" spans="1:2">
      <c r="A804">
        <f t="shared" si="12"/>
        <v>803</v>
      </c>
      <c r="B804">
        <v>0.68562400000000001</v>
      </c>
    </row>
    <row r="805" spans="1:2">
      <c r="A805">
        <f t="shared" si="12"/>
        <v>804</v>
      </c>
      <c r="B805">
        <v>0.68868200000000002</v>
      </c>
    </row>
    <row r="806" spans="1:2">
      <c r="A806">
        <f t="shared" si="12"/>
        <v>805</v>
      </c>
      <c r="B806">
        <v>0.68625199999999997</v>
      </c>
    </row>
    <row r="807" spans="1:2">
      <c r="A807">
        <f t="shared" si="12"/>
        <v>806</v>
      </c>
      <c r="B807">
        <v>0.67767699999999997</v>
      </c>
    </row>
    <row r="808" spans="1:2">
      <c r="A808">
        <f t="shared" si="12"/>
        <v>807</v>
      </c>
      <c r="B808">
        <v>0.67018</v>
      </c>
    </row>
    <row r="809" spans="1:2">
      <c r="A809">
        <f t="shared" si="12"/>
        <v>808</v>
      </c>
      <c r="B809">
        <v>0.65626600000000002</v>
      </c>
    </row>
    <row r="810" spans="1:2">
      <c r="A810">
        <f t="shared" si="12"/>
        <v>809</v>
      </c>
      <c r="B810">
        <v>0.64792300000000003</v>
      </c>
    </row>
    <row r="811" spans="1:2">
      <c r="A811">
        <f t="shared" si="12"/>
        <v>810</v>
      </c>
      <c r="B811">
        <v>0.65135200000000004</v>
      </c>
    </row>
    <row r="812" spans="1:2">
      <c r="A812">
        <f t="shared" si="12"/>
        <v>811</v>
      </c>
      <c r="B812">
        <v>0.65458799999999995</v>
      </c>
    </row>
    <row r="813" spans="1:2">
      <c r="A813">
        <f t="shared" si="12"/>
        <v>812</v>
      </c>
      <c r="B813">
        <v>0.65228900000000001</v>
      </c>
    </row>
    <row r="814" spans="1:2">
      <c r="A814">
        <f t="shared" si="12"/>
        <v>813</v>
      </c>
      <c r="B814">
        <v>0.63810900000000004</v>
      </c>
    </row>
    <row r="815" spans="1:2">
      <c r="A815">
        <f t="shared" si="12"/>
        <v>814</v>
      </c>
      <c r="B815">
        <v>0.62990299999999999</v>
      </c>
    </row>
    <row r="816" spans="1:2">
      <c r="A816">
        <f t="shared" si="12"/>
        <v>815</v>
      </c>
      <c r="B816">
        <v>0.62134100000000003</v>
      </c>
    </row>
    <row r="817" spans="1:2">
      <c r="A817">
        <f t="shared" si="12"/>
        <v>816</v>
      </c>
      <c r="B817">
        <v>0.61305399999999999</v>
      </c>
    </row>
    <row r="818" spans="1:2">
      <c r="A818">
        <f t="shared" si="12"/>
        <v>817</v>
      </c>
      <c r="B818">
        <v>0.61016099999999995</v>
      </c>
    </row>
    <row r="819" spans="1:2">
      <c r="A819">
        <f t="shared" si="12"/>
        <v>818</v>
      </c>
      <c r="B819">
        <v>0.607792</v>
      </c>
    </row>
    <row r="820" spans="1:2">
      <c r="A820">
        <f t="shared" si="12"/>
        <v>819</v>
      </c>
      <c r="B820">
        <v>0.60450599999999999</v>
      </c>
    </row>
    <row r="821" spans="1:2">
      <c r="A821">
        <f t="shared" si="12"/>
        <v>820</v>
      </c>
      <c r="B821">
        <v>0.60724999999999996</v>
      </c>
    </row>
    <row r="822" spans="1:2">
      <c r="A822">
        <f t="shared" si="12"/>
        <v>821</v>
      </c>
      <c r="B822">
        <v>0.61058299999999999</v>
      </c>
    </row>
    <row r="823" spans="1:2">
      <c r="A823">
        <f t="shared" si="12"/>
        <v>822</v>
      </c>
      <c r="B823">
        <v>0.60794000000000004</v>
      </c>
    </row>
    <row r="824" spans="1:2">
      <c r="A824">
        <f t="shared" si="12"/>
        <v>823</v>
      </c>
      <c r="B824">
        <v>0.59865299999999999</v>
      </c>
    </row>
    <row r="825" spans="1:2">
      <c r="A825">
        <f t="shared" si="12"/>
        <v>824</v>
      </c>
      <c r="B825">
        <v>0.59564899999999998</v>
      </c>
    </row>
    <row r="826" spans="1:2">
      <c r="A826">
        <f t="shared" si="12"/>
        <v>825</v>
      </c>
      <c r="B826">
        <v>0.59902900000000003</v>
      </c>
    </row>
    <row r="827" spans="1:2">
      <c r="A827">
        <f t="shared" si="12"/>
        <v>826</v>
      </c>
      <c r="B827">
        <v>0.59546399999999999</v>
      </c>
    </row>
    <row r="828" spans="1:2">
      <c r="A828">
        <f t="shared" si="12"/>
        <v>827</v>
      </c>
      <c r="B828">
        <v>0.59777400000000003</v>
      </c>
    </row>
    <row r="829" spans="1:2">
      <c r="A829">
        <f t="shared" si="12"/>
        <v>828</v>
      </c>
      <c r="B829">
        <v>0.600908</v>
      </c>
    </row>
    <row r="830" spans="1:2">
      <c r="A830">
        <f t="shared" si="12"/>
        <v>829</v>
      </c>
      <c r="B830">
        <v>0.60384099999999996</v>
      </c>
    </row>
    <row r="831" spans="1:2">
      <c r="A831">
        <f t="shared" si="12"/>
        <v>830</v>
      </c>
      <c r="B831">
        <v>0.59469899999999998</v>
      </c>
    </row>
    <row r="832" spans="1:2">
      <c r="A832">
        <f t="shared" si="12"/>
        <v>831</v>
      </c>
      <c r="B832">
        <v>0.59136999999999995</v>
      </c>
    </row>
    <row r="833" spans="1:2">
      <c r="A833">
        <f t="shared" si="12"/>
        <v>832</v>
      </c>
      <c r="B833">
        <v>0.58135700000000001</v>
      </c>
    </row>
    <row r="834" spans="1:2">
      <c r="A834">
        <f t="shared" ref="A834:A897" si="13">1+A833</f>
        <v>833</v>
      </c>
      <c r="B834">
        <v>0.58418099999999995</v>
      </c>
    </row>
    <row r="835" spans="1:2">
      <c r="A835">
        <f t="shared" si="13"/>
        <v>834</v>
      </c>
      <c r="B835">
        <v>0.58703300000000003</v>
      </c>
    </row>
    <row r="836" spans="1:2">
      <c r="A836">
        <f t="shared" si="13"/>
        <v>835</v>
      </c>
      <c r="B836">
        <v>0.58262700000000001</v>
      </c>
    </row>
    <row r="837" spans="1:2">
      <c r="A837">
        <f t="shared" si="13"/>
        <v>836</v>
      </c>
      <c r="B837">
        <v>0.58533999999999997</v>
      </c>
    </row>
    <row r="838" spans="1:2">
      <c r="A838">
        <f t="shared" si="13"/>
        <v>837</v>
      </c>
      <c r="B838">
        <v>0.58112399999999997</v>
      </c>
    </row>
    <row r="839" spans="1:2">
      <c r="A839">
        <f t="shared" si="13"/>
        <v>838</v>
      </c>
      <c r="B839">
        <v>0.58373600000000003</v>
      </c>
    </row>
    <row r="840" spans="1:2">
      <c r="A840">
        <f t="shared" si="13"/>
        <v>839</v>
      </c>
      <c r="B840">
        <v>0.57970999999999995</v>
      </c>
    </row>
    <row r="841" spans="1:2">
      <c r="A841">
        <f t="shared" si="13"/>
        <v>840</v>
      </c>
      <c r="B841">
        <v>0.56983899999999998</v>
      </c>
    </row>
    <row r="842" spans="1:2">
      <c r="A842">
        <f t="shared" si="13"/>
        <v>841</v>
      </c>
      <c r="B842">
        <v>0.56574199999999997</v>
      </c>
    </row>
    <row r="843" spans="1:2">
      <c r="A843">
        <f t="shared" si="13"/>
        <v>842</v>
      </c>
      <c r="B843">
        <v>0.56946799999999997</v>
      </c>
    </row>
    <row r="844" spans="1:2">
      <c r="A844">
        <f t="shared" si="13"/>
        <v>843</v>
      </c>
      <c r="B844">
        <v>0.57249300000000003</v>
      </c>
    </row>
    <row r="845" spans="1:2">
      <c r="A845">
        <f t="shared" si="13"/>
        <v>844</v>
      </c>
      <c r="B845">
        <v>0.56830000000000003</v>
      </c>
    </row>
    <row r="846" spans="1:2">
      <c r="A846">
        <f t="shared" si="13"/>
        <v>845</v>
      </c>
      <c r="B846">
        <v>0.57158799999999998</v>
      </c>
    </row>
    <row r="847" spans="1:2">
      <c r="A847">
        <f t="shared" si="13"/>
        <v>846</v>
      </c>
      <c r="B847">
        <v>0.57418899999999995</v>
      </c>
    </row>
    <row r="848" spans="1:2">
      <c r="A848">
        <f t="shared" si="13"/>
        <v>847</v>
      </c>
      <c r="B848">
        <v>0.56974000000000002</v>
      </c>
    </row>
    <row r="849" spans="1:2">
      <c r="A849">
        <f t="shared" si="13"/>
        <v>848</v>
      </c>
      <c r="B849">
        <v>0.57215499999999997</v>
      </c>
    </row>
    <row r="850" spans="1:2">
      <c r="A850">
        <f t="shared" si="13"/>
        <v>849</v>
      </c>
      <c r="B850">
        <v>0.56794</v>
      </c>
    </row>
    <row r="851" spans="1:2">
      <c r="A851">
        <f t="shared" si="13"/>
        <v>850</v>
      </c>
      <c r="B851">
        <v>0.55702300000000005</v>
      </c>
    </row>
    <row r="852" spans="1:2">
      <c r="A852">
        <f t="shared" si="13"/>
        <v>851</v>
      </c>
      <c r="B852">
        <v>0.53805899999999995</v>
      </c>
    </row>
    <row r="853" spans="1:2">
      <c r="A853">
        <f t="shared" si="13"/>
        <v>852</v>
      </c>
      <c r="B853">
        <v>0.54057999999999995</v>
      </c>
    </row>
    <row r="854" spans="1:2">
      <c r="A854">
        <f t="shared" si="13"/>
        <v>853</v>
      </c>
      <c r="B854">
        <v>0.53650399999999998</v>
      </c>
    </row>
    <row r="855" spans="1:2">
      <c r="A855">
        <f t="shared" si="13"/>
        <v>854</v>
      </c>
      <c r="B855">
        <v>0.53979100000000002</v>
      </c>
    </row>
    <row r="856" spans="1:2">
      <c r="A856">
        <f t="shared" si="13"/>
        <v>855</v>
      </c>
      <c r="B856">
        <v>0.54228299999999996</v>
      </c>
    </row>
    <row r="857" spans="1:2">
      <c r="A857">
        <f t="shared" si="13"/>
        <v>856</v>
      </c>
      <c r="B857">
        <v>0.54483899999999996</v>
      </c>
    </row>
    <row r="858" spans="1:2">
      <c r="A858">
        <f t="shared" si="13"/>
        <v>857</v>
      </c>
      <c r="B858">
        <v>0.54766099999999995</v>
      </c>
    </row>
    <row r="859" spans="1:2">
      <c r="A859">
        <f t="shared" si="13"/>
        <v>858</v>
      </c>
      <c r="B859">
        <v>0.55055399999999999</v>
      </c>
    </row>
    <row r="860" spans="1:2">
      <c r="A860">
        <f t="shared" si="13"/>
        <v>859</v>
      </c>
      <c r="B860">
        <v>0.54575399999999996</v>
      </c>
    </row>
    <row r="861" spans="1:2">
      <c r="A861">
        <f t="shared" si="13"/>
        <v>860</v>
      </c>
      <c r="B861">
        <v>0.54086500000000004</v>
      </c>
    </row>
    <row r="862" spans="1:2">
      <c r="A862">
        <f t="shared" si="13"/>
        <v>861</v>
      </c>
      <c r="B862">
        <v>0.53544499999999995</v>
      </c>
    </row>
    <row r="863" spans="1:2">
      <c r="A863">
        <f t="shared" si="13"/>
        <v>862</v>
      </c>
      <c r="B863">
        <v>0.53816399999999998</v>
      </c>
    </row>
    <row r="864" spans="1:2">
      <c r="A864">
        <f t="shared" si="13"/>
        <v>863</v>
      </c>
      <c r="B864">
        <v>0.53317099999999995</v>
      </c>
    </row>
    <row r="865" spans="1:2">
      <c r="A865">
        <f t="shared" si="13"/>
        <v>864</v>
      </c>
      <c r="B865">
        <v>0.53656300000000001</v>
      </c>
    </row>
    <row r="866" spans="1:2">
      <c r="A866">
        <f t="shared" si="13"/>
        <v>865</v>
      </c>
      <c r="B866">
        <v>0.52368099999999995</v>
      </c>
    </row>
    <row r="867" spans="1:2">
      <c r="A867">
        <f t="shared" si="13"/>
        <v>866</v>
      </c>
      <c r="B867">
        <v>0.51833499999999999</v>
      </c>
    </row>
    <row r="868" spans="1:2">
      <c r="A868">
        <f t="shared" si="13"/>
        <v>867</v>
      </c>
      <c r="B868">
        <v>0.52127900000000005</v>
      </c>
    </row>
    <row r="869" spans="1:2">
      <c r="A869">
        <f t="shared" si="13"/>
        <v>868</v>
      </c>
      <c r="B869">
        <v>0.52331499999999997</v>
      </c>
    </row>
    <row r="870" spans="1:2">
      <c r="A870">
        <f t="shared" si="13"/>
        <v>869</v>
      </c>
      <c r="B870">
        <v>0.52610900000000005</v>
      </c>
    </row>
    <row r="871" spans="1:2">
      <c r="A871">
        <f t="shared" si="13"/>
        <v>870</v>
      </c>
      <c r="B871">
        <v>0.51294200000000001</v>
      </c>
    </row>
    <row r="872" spans="1:2">
      <c r="A872">
        <f t="shared" si="13"/>
        <v>871</v>
      </c>
      <c r="B872">
        <v>0.50761400000000001</v>
      </c>
    </row>
    <row r="873" spans="1:2">
      <c r="A873">
        <f t="shared" si="13"/>
        <v>872</v>
      </c>
      <c r="B873">
        <v>0.51053000000000004</v>
      </c>
    </row>
    <row r="874" spans="1:2">
      <c r="A874">
        <f t="shared" si="13"/>
        <v>873</v>
      </c>
      <c r="B874">
        <v>0.51372600000000002</v>
      </c>
    </row>
    <row r="875" spans="1:2">
      <c r="A875">
        <f t="shared" si="13"/>
        <v>874</v>
      </c>
      <c r="B875">
        <v>0.51596299999999995</v>
      </c>
    </row>
    <row r="876" spans="1:2">
      <c r="A876">
        <f t="shared" si="13"/>
        <v>875</v>
      </c>
      <c r="B876">
        <v>0.50230900000000001</v>
      </c>
    </row>
    <row r="877" spans="1:2">
      <c r="A877">
        <f t="shared" si="13"/>
        <v>876</v>
      </c>
      <c r="B877">
        <v>0.50476299999999996</v>
      </c>
    </row>
    <row r="878" spans="1:2">
      <c r="A878">
        <f t="shared" si="13"/>
        <v>877</v>
      </c>
      <c r="B878">
        <v>0.507822</v>
      </c>
    </row>
    <row r="879" spans="1:2">
      <c r="A879">
        <f t="shared" si="13"/>
        <v>878</v>
      </c>
      <c r="B879">
        <v>0.51049800000000001</v>
      </c>
    </row>
    <row r="880" spans="1:2">
      <c r="A880">
        <f t="shared" si="13"/>
        <v>879</v>
      </c>
      <c r="B880">
        <v>0.51269299999999995</v>
      </c>
    </row>
    <row r="881" spans="1:2">
      <c r="A881">
        <f t="shared" si="13"/>
        <v>880</v>
      </c>
      <c r="B881">
        <v>0.51524999999999999</v>
      </c>
    </row>
    <row r="882" spans="1:2">
      <c r="A882">
        <f t="shared" si="13"/>
        <v>881</v>
      </c>
      <c r="B882">
        <v>0.50137900000000002</v>
      </c>
    </row>
    <row r="883" spans="1:2">
      <c r="A883">
        <f t="shared" si="13"/>
        <v>882</v>
      </c>
      <c r="B883">
        <v>0.503525</v>
      </c>
    </row>
    <row r="884" spans="1:2">
      <c r="A884">
        <f t="shared" si="13"/>
        <v>883</v>
      </c>
      <c r="B884">
        <v>0.50641499999999995</v>
      </c>
    </row>
    <row r="885" spans="1:2">
      <c r="A885">
        <f t="shared" si="13"/>
        <v>884</v>
      </c>
      <c r="B885">
        <v>0.50907899999999995</v>
      </c>
    </row>
    <row r="886" spans="1:2">
      <c r="A886">
        <f t="shared" si="13"/>
        <v>885</v>
      </c>
      <c r="B886">
        <v>0.51185800000000004</v>
      </c>
    </row>
    <row r="887" spans="1:2">
      <c r="A887">
        <f t="shared" si="13"/>
        <v>886</v>
      </c>
      <c r="B887">
        <v>0.51444699999999999</v>
      </c>
    </row>
    <row r="888" spans="1:2">
      <c r="A888">
        <f t="shared" si="13"/>
        <v>887</v>
      </c>
      <c r="B888">
        <v>0.50862099999999999</v>
      </c>
    </row>
    <row r="889" spans="1:2">
      <c r="A889">
        <f t="shared" si="13"/>
        <v>888</v>
      </c>
      <c r="B889">
        <v>0.51073400000000002</v>
      </c>
    </row>
    <row r="890" spans="1:2">
      <c r="A890">
        <f t="shared" si="13"/>
        <v>889</v>
      </c>
      <c r="B890">
        <v>0.51255300000000004</v>
      </c>
    </row>
    <row r="891" spans="1:2">
      <c r="A891">
        <f t="shared" si="13"/>
        <v>890</v>
      </c>
      <c r="B891">
        <v>0.51519400000000004</v>
      </c>
    </row>
    <row r="892" spans="1:2">
      <c r="A892">
        <f t="shared" si="13"/>
        <v>891</v>
      </c>
      <c r="B892">
        <v>0.51772600000000002</v>
      </c>
    </row>
    <row r="893" spans="1:2">
      <c r="A893">
        <f t="shared" si="13"/>
        <v>892</v>
      </c>
      <c r="B893">
        <v>0.51096799999999998</v>
      </c>
    </row>
    <row r="894" spans="1:2">
      <c r="A894">
        <f t="shared" si="13"/>
        <v>893</v>
      </c>
      <c r="B894">
        <v>0.51345600000000002</v>
      </c>
    </row>
    <row r="895" spans="1:2">
      <c r="A895">
        <f t="shared" si="13"/>
        <v>894</v>
      </c>
      <c r="B895">
        <v>0.49799900000000002</v>
      </c>
    </row>
    <row r="896" spans="1:2">
      <c r="A896">
        <f t="shared" si="13"/>
        <v>895</v>
      </c>
      <c r="B896">
        <v>0.50044699999999998</v>
      </c>
    </row>
    <row r="897" spans="1:2">
      <c r="A897">
        <f t="shared" si="13"/>
        <v>896</v>
      </c>
      <c r="B897">
        <v>0.48526200000000003</v>
      </c>
    </row>
    <row r="898" spans="1:2">
      <c r="A898">
        <f t="shared" ref="A898:A961" si="14">1+A897</f>
        <v>897</v>
      </c>
      <c r="B898">
        <v>0.48784899999999998</v>
      </c>
    </row>
    <row r="899" spans="1:2">
      <c r="A899">
        <f t="shared" si="14"/>
        <v>898</v>
      </c>
      <c r="B899">
        <v>0.48944100000000001</v>
      </c>
    </row>
    <row r="900" spans="1:2">
      <c r="A900">
        <f t="shared" si="14"/>
        <v>899</v>
      </c>
      <c r="B900">
        <v>0.48260799999999998</v>
      </c>
    </row>
    <row r="901" spans="1:2">
      <c r="A901">
        <f t="shared" si="14"/>
        <v>900</v>
      </c>
      <c r="B901">
        <v>0.47632099999999999</v>
      </c>
    </row>
    <row r="902" spans="1:2">
      <c r="A902">
        <f t="shared" si="14"/>
        <v>901</v>
      </c>
      <c r="B902">
        <v>0.47886499999999999</v>
      </c>
    </row>
    <row r="903" spans="1:2">
      <c r="A903">
        <f t="shared" si="14"/>
        <v>902</v>
      </c>
      <c r="B903">
        <v>0.47169800000000001</v>
      </c>
    </row>
    <row r="904" spans="1:2">
      <c r="A904">
        <f t="shared" si="14"/>
        <v>903</v>
      </c>
      <c r="B904">
        <v>0.464943</v>
      </c>
    </row>
    <row r="905" spans="1:2">
      <c r="A905">
        <f t="shared" si="14"/>
        <v>904</v>
      </c>
      <c r="B905">
        <v>0.46768300000000002</v>
      </c>
    </row>
    <row r="906" spans="1:2">
      <c r="A906">
        <f t="shared" si="14"/>
        <v>905</v>
      </c>
      <c r="B906">
        <v>0.46061299999999999</v>
      </c>
    </row>
    <row r="907" spans="1:2">
      <c r="A907">
        <f t="shared" si="14"/>
        <v>906</v>
      </c>
      <c r="B907">
        <v>0.46278799999999998</v>
      </c>
    </row>
    <row r="908" spans="1:2">
      <c r="A908">
        <f t="shared" si="14"/>
        <v>907</v>
      </c>
      <c r="B908">
        <v>0.45610000000000001</v>
      </c>
    </row>
    <row r="909" spans="1:2">
      <c r="A909">
        <f t="shared" si="14"/>
        <v>908</v>
      </c>
      <c r="B909">
        <v>0.44800299999999998</v>
      </c>
    </row>
    <row r="910" spans="1:2">
      <c r="A910">
        <f t="shared" si="14"/>
        <v>909</v>
      </c>
      <c r="B910">
        <v>0.44967499999999999</v>
      </c>
    </row>
    <row r="911" spans="1:2">
      <c r="A911">
        <f t="shared" si="14"/>
        <v>910</v>
      </c>
      <c r="B911">
        <v>0.45174900000000001</v>
      </c>
    </row>
    <row r="912" spans="1:2">
      <c r="A912">
        <f t="shared" si="14"/>
        <v>911</v>
      </c>
      <c r="B912">
        <v>0.453712</v>
      </c>
    </row>
    <row r="913" spans="1:2">
      <c r="A913">
        <f t="shared" si="14"/>
        <v>912</v>
      </c>
      <c r="B913">
        <v>0.45591199999999998</v>
      </c>
    </row>
    <row r="914" spans="1:2">
      <c r="A914">
        <f t="shared" si="14"/>
        <v>913</v>
      </c>
      <c r="B914">
        <v>0.458671</v>
      </c>
    </row>
    <row r="915" spans="1:2">
      <c r="A915">
        <f t="shared" si="14"/>
        <v>914</v>
      </c>
      <c r="B915">
        <v>0.46051300000000001</v>
      </c>
    </row>
    <row r="916" spans="1:2">
      <c r="A916">
        <f t="shared" si="14"/>
        <v>915</v>
      </c>
      <c r="B916">
        <v>0.45275599999999999</v>
      </c>
    </row>
    <row r="917" spans="1:2">
      <c r="A917">
        <f t="shared" si="14"/>
        <v>916</v>
      </c>
      <c r="B917">
        <v>0.45512999999999998</v>
      </c>
    </row>
    <row r="918" spans="1:2">
      <c r="A918">
        <f t="shared" si="14"/>
        <v>917</v>
      </c>
      <c r="B918">
        <v>0.45784799999999998</v>
      </c>
    </row>
    <row r="919" spans="1:2">
      <c r="A919">
        <f t="shared" si="14"/>
        <v>918</v>
      </c>
      <c r="B919">
        <v>0.45045000000000002</v>
      </c>
    </row>
    <row r="920" spans="1:2">
      <c r="A920">
        <f t="shared" si="14"/>
        <v>919</v>
      </c>
      <c r="B920">
        <v>0.45257999999999998</v>
      </c>
    </row>
    <row r="921" spans="1:2">
      <c r="A921">
        <f t="shared" si="14"/>
        <v>920</v>
      </c>
      <c r="B921">
        <v>0.45532699999999998</v>
      </c>
    </row>
    <row r="922" spans="1:2">
      <c r="A922">
        <f t="shared" si="14"/>
        <v>921</v>
      </c>
      <c r="B922">
        <v>0.45773599999999998</v>
      </c>
    </row>
    <row r="923" spans="1:2">
      <c r="A923">
        <f t="shared" si="14"/>
        <v>922</v>
      </c>
      <c r="B923">
        <v>0.46040500000000001</v>
      </c>
    </row>
    <row r="924" spans="1:2">
      <c r="A924">
        <f t="shared" si="14"/>
        <v>923</v>
      </c>
      <c r="B924">
        <v>0.46310600000000002</v>
      </c>
    </row>
    <row r="925" spans="1:2">
      <c r="A925">
        <f t="shared" si="14"/>
        <v>924</v>
      </c>
      <c r="B925">
        <v>0.46530899999999997</v>
      </c>
    </row>
    <row r="926" spans="1:2">
      <c r="A926">
        <f t="shared" si="14"/>
        <v>925</v>
      </c>
      <c r="B926">
        <v>0.46782400000000002</v>
      </c>
    </row>
    <row r="927" spans="1:2">
      <c r="A927">
        <f t="shared" si="14"/>
        <v>926</v>
      </c>
      <c r="B927">
        <v>0.45972200000000002</v>
      </c>
    </row>
    <row r="928" spans="1:2">
      <c r="A928">
        <f t="shared" si="14"/>
        <v>927</v>
      </c>
      <c r="B928">
        <v>0.451017</v>
      </c>
    </row>
    <row r="929" spans="1:2">
      <c r="A929">
        <f t="shared" si="14"/>
        <v>928</v>
      </c>
      <c r="B929">
        <v>0.45344299999999998</v>
      </c>
    </row>
    <row r="930" spans="1:2">
      <c r="A930">
        <f t="shared" si="14"/>
        <v>929</v>
      </c>
      <c r="B930">
        <v>0.44515100000000002</v>
      </c>
    </row>
    <row r="931" spans="1:2">
      <c r="A931">
        <f t="shared" si="14"/>
        <v>930</v>
      </c>
      <c r="B931">
        <v>0.44733200000000001</v>
      </c>
    </row>
    <row r="932" spans="1:2">
      <c r="A932">
        <f t="shared" si="14"/>
        <v>931</v>
      </c>
      <c r="B932">
        <v>0.428311</v>
      </c>
    </row>
    <row r="933" spans="1:2">
      <c r="A933">
        <f t="shared" si="14"/>
        <v>932</v>
      </c>
      <c r="B933">
        <v>0.43038500000000002</v>
      </c>
    </row>
    <row r="934" spans="1:2">
      <c r="A934">
        <f t="shared" si="14"/>
        <v>933</v>
      </c>
      <c r="B934">
        <v>0.43196499999999999</v>
      </c>
    </row>
    <row r="935" spans="1:2">
      <c r="A935">
        <f t="shared" si="14"/>
        <v>934</v>
      </c>
      <c r="B935">
        <v>0.43492399999999998</v>
      </c>
    </row>
    <row r="936" spans="1:2">
      <c r="A936">
        <f t="shared" si="14"/>
        <v>935</v>
      </c>
      <c r="B936">
        <v>0.43706299999999998</v>
      </c>
    </row>
    <row r="937" spans="1:2">
      <c r="A937">
        <f t="shared" si="14"/>
        <v>936</v>
      </c>
      <c r="B937">
        <v>0.43941599999999997</v>
      </c>
    </row>
    <row r="938" spans="1:2">
      <c r="A938">
        <f t="shared" si="14"/>
        <v>937</v>
      </c>
      <c r="B938">
        <v>0.44203799999999999</v>
      </c>
    </row>
    <row r="939" spans="1:2">
      <c r="A939">
        <f t="shared" si="14"/>
        <v>938</v>
      </c>
      <c r="B939">
        <v>0.444741</v>
      </c>
    </row>
    <row r="940" spans="1:2">
      <c r="A940">
        <f t="shared" si="14"/>
        <v>939</v>
      </c>
      <c r="B940">
        <v>0.44672800000000001</v>
      </c>
    </row>
    <row r="941" spans="1:2">
      <c r="A941">
        <f t="shared" si="14"/>
        <v>940</v>
      </c>
      <c r="B941">
        <v>0.43775999999999998</v>
      </c>
    </row>
    <row r="942" spans="1:2">
      <c r="A942">
        <f t="shared" si="14"/>
        <v>941</v>
      </c>
      <c r="B942">
        <v>0.42812099999999997</v>
      </c>
    </row>
    <row r="943" spans="1:2">
      <c r="A943">
        <f t="shared" si="14"/>
        <v>942</v>
      </c>
      <c r="B943">
        <v>0.42976700000000001</v>
      </c>
    </row>
    <row r="944" spans="1:2">
      <c r="A944">
        <f t="shared" si="14"/>
        <v>943</v>
      </c>
      <c r="B944">
        <v>0.43171999999999999</v>
      </c>
    </row>
    <row r="945" spans="1:2">
      <c r="A945">
        <f t="shared" si="14"/>
        <v>944</v>
      </c>
      <c r="B945">
        <v>0.43423600000000001</v>
      </c>
    </row>
    <row r="946" spans="1:2">
      <c r="A946">
        <f t="shared" si="14"/>
        <v>945</v>
      </c>
      <c r="B946">
        <v>0.43597999999999998</v>
      </c>
    </row>
    <row r="947" spans="1:2">
      <c r="A947">
        <f t="shared" si="14"/>
        <v>946</v>
      </c>
      <c r="B947">
        <v>0.43819200000000003</v>
      </c>
    </row>
    <row r="948" spans="1:2">
      <c r="A948">
        <f t="shared" si="14"/>
        <v>947</v>
      </c>
      <c r="B948">
        <v>0.44042700000000001</v>
      </c>
    </row>
    <row r="949" spans="1:2">
      <c r="A949">
        <f t="shared" si="14"/>
        <v>948</v>
      </c>
      <c r="B949">
        <v>0.43093399999999998</v>
      </c>
    </row>
    <row r="950" spans="1:2">
      <c r="A950">
        <f t="shared" si="14"/>
        <v>949</v>
      </c>
      <c r="B950">
        <v>0.42090499999999997</v>
      </c>
    </row>
    <row r="951" spans="1:2">
      <c r="A951">
        <f t="shared" si="14"/>
        <v>950</v>
      </c>
      <c r="B951">
        <v>0.411136</v>
      </c>
    </row>
    <row r="952" spans="1:2">
      <c r="A952">
        <f t="shared" si="14"/>
        <v>951</v>
      </c>
      <c r="B952">
        <v>0.41288200000000003</v>
      </c>
    </row>
    <row r="953" spans="1:2">
      <c r="A953">
        <f t="shared" si="14"/>
        <v>952</v>
      </c>
      <c r="B953">
        <v>0.41528199999999998</v>
      </c>
    </row>
    <row r="954" spans="1:2">
      <c r="A954">
        <f t="shared" si="14"/>
        <v>953</v>
      </c>
      <c r="B954">
        <v>0.416518</v>
      </c>
    </row>
    <row r="955" spans="1:2">
      <c r="A955">
        <f t="shared" si="14"/>
        <v>954</v>
      </c>
      <c r="B955">
        <v>0.40626099999999998</v>
      </c>
    </row>
    <row r="956" spans="1:2">
      <c r="A956">
        <f t="shared" si="14"/>
        <v>955</v>
      </c>
      <c r="B956">
        <v>0.40919499999999998</v>
      </c>
    </row>
    <row r="957" spans="1:2">
      <c r="A957">
        <f t="shared" si="14"/>
        <v>956</v>
      </c>
      <c r="B957">
        <v>0.41117399999999998</v>
      </c>
    </row>
    <row r="958" spans="1:2">
      <c r="A958">
        <f t="shared" si="14"/>
        <v>957</v>
      </c>
      <c r="B958">
        <v>0.41312300000000002</v>
      </c>
    </row>
    <row r="959" spans="1:2">
      <c r="A959">
        <f t="shared" si="14"/>
        <v>958</v>
      </c>
      <c r="B959">
        <v>0.41453299999999998</v>
      </c>
    </row>
    <row r="960" spans="1:2">
      <c r="A960">
        <f t="shared" si="14"/>
        <v>959</v>
      </c>
      <c r="B960">
        <v>0.41712700000000003</v>
      </c>
    </row>
    <row r="961" spans="1:2">
      <c r="A961">
        <f t="shared" si="14"/>
        <v>960</v>
      </c>
      <c r="B961">
        <v>0.41897699999999999</v>
      </c>
    </row>
    <row r="962" spans="1:2">
      <c r="A962">
        <f t="shared" ref="A962:A1000" si="15">1+A961</f>
        <v>961</v>
      </c>
      <c r="B962">
        <v>0.42194100000000001</v>
      </c>
    </row>
    <row r="963" spans="1:2">
      <c r="A963">
        <f t="shared" si="15"/>
        <v>962</v>
      </c>
      <c r="B963">
        <v>0.42415199999999997</v>
      </c>
    </row>
    <row r="964" spans="1:2">
      <c r="A964">
        <f t="shared" si="15"/>
        <v>963</v>
      </c>
      <c r="B964">
        <v>0.42606500000000003</v>
      </c>
    </row>
    <row r="965" spans="1:2">
      <c r="A965">
        <f t="shared" si="15"/>
        <v>964</v>
      </c>
      <c r="B965">
        <v>0.42810399999999998</v>
      </c>
    </row>
    <row r="966" spans="1:2">
      <c r="A966">
        <f t="shared" si="15"/>
        <v>965</v>
      </c>
      <c r="B966">
        <v>0.43021599999999999</v>
      </c>
    </row>
    <row r="967" spans="1:2">
      <c r="A967">
        <f t="shared" si="15"/>
        <v>966</v>
      </c>
      <c r="B967">
        <v>0.43229499999999998</v>
      </c>
    </row>
    <row r="968" spans="1:2">
      <c r="A968">
        <f t="shared" si="15"/>
        <v>967</v>
      </c>
      <c r="B968">
        <v>0.43406099999999997</v>
      </c>
    </row>
    <row r="969" spans="1:2">
      <c r="A969">
        <f t="shared" si="15"/>
        <v>968</v>
      </c>
      <c r="B969">
        <v>0.43578600000000001</v>
      </c>
    </row>
    <row r="970" spans="1:2">
      <c r="A970">
        <f t="shared" si="15"/>
        <v>969</v>
      </c>
      <c r="B970">
        <v>0.43825700000000001</v>
      </c>
    </row>
    <row r="971" spans="1:2">
      <c r="A971">
        <f t="shared" si="15"/>
        <v>970</v>
      </c>
      <c r="B971">
        <v>0.44104300000000002</v>
      </c>
    </row>
    <row r="972" spans="1:2">
      <c r="A972">
        <f t="shared" si="15"/>
        <v>971</v>
      </c>
      <c r="B972">
        <v>0.44345899999999999</v>
      </c>
    </row>
    <row r="973" spans="1:2">
      <c r="A973">
        <f t="shared" si="15"/>
        <v>972</v>
      </c>
      <c r="B973">
        <v>0.445434</v>
      </c>
    </row>
    <row r="974" spans="1:2">
      <c r="A974">
        <f t="shared" si="15"/>
        <v>973</v>
      </c>
      <c r="B974">
        <v>0.44736799999999999</v>
      </c>
    </row>
    <row r="975" spans="1:2">
      <c r="A975">
        <f t="shared" si="15"/>
        <v>974</v>
      </c>
      <c r="B975">
        <v>0.44997399999999999</v>
      </c>
    </row>
    <row r="976" spans="1:2">
      <c r="A976">
        <f t="shared" si="15"/>
        <v>975</v>
      </c>
      <c r="B976">
        <v>0.43970700000000001</v>
      </c>
    </row>
    <row r="977" spans="1:2">
      <c r="A977">
        <f t="shared" si="15"/>
        <v>976</v>
      </c>
      <c r="B977">
        <v>0.44200400000000001</v>
      </c>
    </row>
    <row r="978" spans="1:2">
      <c r="A978">
        <f t="shared" si="15"/>
        <v>977</v>
      </c>
      <c r="B978">
        <v>0.44414500000000001</v>
      </c>
    </row>
    <row r="979" spans="1:2">
      <c r="A979">
        <f t="shared" si="15"/>
        <v>978</v>
      </c>
      <c r="B979">
        <v>0.43254900000000002</v>
      </c>
    </row>
    <row r="980" spans="1:2">
      <c r="A980">
        <f t="shared" si="15"/>
        <v>979</v>
      </c>
      <c r="B980">
        <v>0.43478299999999998</v>
      </c>
    </row>
    <row r="981" spans="1:2">
      <c r="A981">
        <f t="shared" si="15"/>
        <v>980</v>
      </c>
      <c r="B981">
        <v>0.43691999999999998</v>
      </c>
    </row>
    <row r="982" spans="1:2">
      <c r="A982">
        <f t="shared" si="15"/>
        <v>981</v>
      </c>
      <c r="B982">
        <v>0.43937900000000002</v>
      </c>
    </row>
    <row r="983" spans="1:2">
      <c r="A983">
        <f t="shared" si="15"/>
        <v>982</v>
      </c>
      <c r="B983">
        <v>0.42782199999999998</v>
      </c>
    </row>
    <row r="984" spans="1:2">
      <c r="A984">
        <f t="shared" si="15"/>
        <v>983</v>
      </c>
      <c r="B984">
        <v>0.42983900000000003</v>
      </c>
    </row>
    <row r="985" spans="1:2">
      <c r="A985">
        <f t="shared" si="15"/>
        <v>984</v>
      </c>
      <c r="B985">
        <v>0.432056</v>
      </c>
    </row>
    <row r="986" spans="1:2">
      <c r="A986">
        <f t="shared" si="15"/>
        <v>985</v>
      </c>
      <c r="B986">
        <v>0.434174</v>
      </c>
    </row>
    <row r="987" spans="1:2">
      <c r="A987">
        <f t="shared" si="15"/>
        <v>986</v>
      </c>
      <c r="B987">
        <v>0.43582199999999999</v>
      </c>
    </row>
    <row r="988" spans="1:2">
      <c r="A988">
        <f t="shared" si="15"/>
        <v>987</v>
      </c>
      <c r="B988">
        <v>0.42342999999999997</v>
      </c>
    </row>
    <row r="989" spans="1:2">
      <c r="A989">
        <f t="shared" si="15"/>
        <v>988</v>
      </c>
      <c r="B989">
        <v>0.41128900000000002</v>
      </c>
    </row>
    <row r="990" spans="1:2">
      <c r="A990">
        <f t="shared" si="15"/>
        <v>989</v>
      </c>
      <c r="B990">
        <v>0.41287000000000001</v>
      </c>
    </row>
    <row r="991" spans="1:2">
      <c r="A991">
        <f t="shared" si="15"/>
        <v>990</v>
      </c>
      <c r="B991">
        <v>0.41541299999999998</v>
      </c>
    </row>
    <row r="992" spans="1:2">
      <c r="A992">
        <f t="shared" si="15"/>
        <v>991</v>
      </c>
      <c r="B992">
        <v>0.403866</v>
      </c>
    </row>
    <row r="993" spans="1:2">
      <c r="A993">
        <f t="shared" si="15"/>
        <v>992</v>
      </c>
      <c r="B993">
        <v>0.40638600000000002</v>
      </c>
    </row>
    <row r="994" spans="1:2">
      <c r="A994">
        <f t="shared" si="15"/>
        <v>993</v>
      </c>
      <c r="B994">
        <v>0.40828199999999998</v>
      </c>
    </row>
    <row r="995" spans="1:2">
      <c r="A995">
        <f t="shared" si="15"/>
        <v>994</v>
      </c>
      <c r="B995">
        <v>0.40995599999999999</v>
      </c>
    </row>
    <row r="996" spans="1:2">
      <c r="A996">
        <f t="shared" si="15"/>
        <v>995</v>
      </c>
      <c r="B996">
        <v>0.41194599999999998</v>
      </c>
    </row>
    <row r="997" spans="1:2">
      <c r="A997">
        <f t="shared" si="15"/>
        <v>996</v>
      </c>
      <c r="B997">
        <v>0.41395599999999999</v>
      </c>
    </row>
    <row r="998" spans="1:2">
      <c r="A998">
        <f t="shared" si="15"/>
        <v>997</v>
      </c>
      <c r="B998">
        <v>0.38638699999999998</v>
      </c>
    </row>
    <row r="999" spans="1:2">
      <c r="A999">
        <f t="shared" si="15"/>
        <v>998</v>
      </c>
      <c r="B999">
        <v>0.38858199999999998</v>
      </c>
    </row>
    <row r="1000" spans="1:2">
      <c r="A1000">
        <f t="shared" si="15"/>
        <v>999</v>
      </c>
      <c r="B1000">
        <v>0.37548799999999999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A0CCB-AE5E-4CE1-9D9E-A70AEA430A99}">
  <dimension ref="A1:B1000"/>
  <sheetViews>
    <sheetView workbookViewId="0"/>
  </sheetViews>
  <sheetFormatPr baseColWidth="10" defaultRowHeight="12.75"/>
  <cols>
    <col min="1" max="3" width="12.140625" customWidth="1"/>
    <col min="4" max="4" width="11.42578125" customWidth="1"/>
  </cols>
  <sheetData>
    <row r="1" spans="1:2" ht="15">
      <c r="A1">
        <v>0</v>
      </c>
      <c r="B1">
        <v>30.036100000000001</v>
      </c>
    </row>
    <row r="2" spans="1:2" ht="15">
      <c r="A2">
        <f t="shared" ref="A2:A65" si="0">1+A1</f>
        <v>1</v>
      </c>
      <c r="B2">
        <v>29.826799999999999</v>
      </c>
    </row>
    <row r="3" spans="1:2" ht="15">
      <c r="A3">
        <f t="shared" si="0"/>
        <v>2</v>
      </c>
      <c r="B3">
        <v>29.6282</v>
      </c>
    </row>
    <row r="4" spans="1:2" ht="15">
      <c r="A4">
        <f t="shared" si="0"/>
        <v>3</v>
      </c>
      <c r="B4">
        <v>29.43</v>
      </c>
    </row>
    <row r="5" spans="1:2" ht="15">
      <c r="A5">
        <f t="shared" si="0"/>
        <v>4</v>
      </c>
      <c r="B5">
        <v>29.231300000000001</v>
      </c>
    </row>
    <row r="6" spans="1:2" ht="15">
      <c r="A6">
        <f t="shared" si="0"/>
        <v>5</v>
      </c>
      <c r="B6">
        <v>29.027999999999999</v>
      </c>
    </row>
    <row r="7" spans="1:2" ht="15">
      <c r="A7">
        <f t="shared" si="0"/>
        <v>6</v>
      </c>
      <c r="B7">
        <v>28.838200000000001</v>
      </c>
    </row>
    <row r="8" spans="1:2" ht="15">
      <c r="A8">
        <f t="shared" si="0"/>
        <v>7</v>
      </c>
      <c r="B8">
        <v>28.645</v>
      </c>
    </row>
    <row r="9" spans="1:2" ht="15">
      <c r="A9">
        <f t="shared" si="0"/>
        <v>8</v>
      </c>
      <c r="B9">
        <v>28.458500000000001</v>
      </c>
    </row>
    <row r="10" spans="1:2" ht="15">
      <c r="A10">
        <f t="shared" si="0"/>
        <v>9</v>
      </c>
      <c r="B10">
        <v>28.274999999999999</v>
      </c>
    </row>
    <row r="11" spans="1:2" ht="15">
      <c r="A11">
        <f t="shared" si="0"/>
        <v>10</v>
      </c>
      <c r="B11">
        <v>28.094799999999999</v>
      </c>
    </row>
    <row r="12" spans="1:2" ht="15">
      <c r="A12">
        <f t="shared" si="0"/>
        <v>11</v>
      </c>
      <c r="B12">
        <v>27.914899999999999</v>
      </c>
    </row>
    <row r="13" spans="1:2" ht="15">
      <c r="A13">
        <f t="shared" si="0"/>
        <v>12</v>
      </c>
      <c r="B13">
        <v>27.7438</v>
      </c>
    </row>
    <row r="14" spans="1:2" ht="15">
      <c r="A14">
        <f t="shared" si="0"/>
        <v>13</v>
      </c>
      <c r="B14">
        <v>27.5749</v>
      </c>
    </row>
    <row r="15" spans="1:2" ht="15">
      <c r="A15">
        <f t="shared" si="0"/>
        <v>14</v>
      </c>
      <c r="B15">
        <v>27.407399999999999</v>
      </c>
    </row>
    <row r="16" spans="1:2" ht="15">
      <c r="A16">
        <f t="shared" si="0"/>
        <v>15</v>
      </c>
      <c r="B16">
        <v>27.2424</v>
      </c>
    </row>
    <row r="17" spans="1:2" ht="15">
      <c r="A17">
        <f t="shared" si="0"/>
        <v>16</v>
      </c>
      <c r="B17">
        <v>27.073399999999999</v>
      </c>
    </row>
    <row r="18" spans="1:2" ht="15">
      <c r="A18">
        <f t="shared" si="0"/>
        <v>17</v>
      </c>
      <c r="B18">
        <v>26.910599999999999</v>
      </c>
    </row>
    <row r="19" spans="1:2" ht="15">
      <c r="A19">
        <f t="shared" si="0"/>
        <v>18</v>
      </c>
      <c r="B19">
        <v>26.754200000000001</v>
      </c>
    </row>
    <row r="20" spans="1:2" ht="15">
      <c r="A20">
        <f t="shared" si="0"/>
        <v>19</v>
      </c>
      <c r="B20">
        <v>26.595500000000001</v>
      </c>
    </row>
    <row r="21" spans="1:2" ht="15">
      <c r="A21">
        <f t="shared" si="0"/>
        <v>20</v>
      </c>
      <c r="B21">
        <v>26.442900000000002</v>
      </c>
    </row>
    <row r="22" spans="1:2" ht="15">
      <c r="A22">
        <f t="shared" si="0"/>
        <v>21</v>
      </c>
      <c r="B22">
        <v>26.291399999999999</v>
      </c>
    </row>
    <row r="23" spans="1:2" ht="15">
      <c r="A23">
        <f t="shared" si="0"/>
        <v>22</v>
      </c>
      <c r="B23">
        <v>26.144300000000001</v>
      </c>
    </row>
    <row r="24" spans="1:2" ht="15">
      <c r="A24">
        <f t="shared" si="0"/>
        <v>23</v>
      </c>
      <c r="B24">
        <v>25.9998</v>
      </c>
    </row>
    <row r="25" spans="1:2" ht="15">
      <c r="A25">
        <f t="shared" si="0"/>
        <v>24</v>
      </c>
      <c r="B25">
        <v>25.861499999999999</v>
      </c>
    </row>
    <row r="26" spans="1:2" ht="15">
      <c r="A26">
        <f t="shared" si="0"/>
        <v>25</v>
      </c>
      <c r="B26">
        <v>25.7179</v>
      </c>
    </row>
    <row r="27" spans="1:2" ht="15">
      <c r="A27">
        <f t="shared" si="0"/>
        <v>26</v>
      </c>
      <c r="B27">
        <v>25.575800000000001</v>
      </c>
    </row>
    <row r="28" spans="1:2" ht="15">
      <c r="A28">
        <f t="shared" si="0"/>
        <v>27</v>
      </c>
      <c r="B28">
        <v>25.4404</v>
      </c>
    </row>
    <row r="29" spans="1:2" ht="15">
      <c r="A29">
        <f t="shared" si="0"/>
        <v>28</v>
      </c>
      <c r="B29">
        <v>25.309200000000001</v>
      </c>
    </row>
    <row r="30" spans="1:2" ht="15">
      <c r="A30">
        <f t="shared" si="0"/>
        <v>29</v>
      </c>
      <c r="B30">
        <v>25.1814</v>
      </c>
    </row>
    <row r="31" spans="1:2" ht="15">
      <c r="A31">
        <f t="shared" si="0"/>
        <v>30</v>
      </c>
      <c r="B31">
        <v>25.047599999999999</v>
      </c>
    </row>
    <row r="32" spans="1:2" ht="15">
      <c r="A32">
        <f t="shared" si="0"/>
        <v>31</v>
      </c>
      <c r="B32">
        <v>24.9161</v>
      </c>
    </row>
    <row r="33" spans="1:2" ht="15">
      <c r="A33">
        <f t="shared" si="0"/>
        <v>32</v>
      </c>
      <c r="B33">
        <v>24.782900000000001</v>
      </c>
    </row>
    <row r="34" spans="1:2" ht="15">
      <c r="A34">
        <f t="shared" si="0"/>
        <v>33</v>
      </c>
      <c r="B34">
        <v>24.654900000000001</v>
      </c>
    </row>
    <row r="35" spans="1:2" ht="15">
      <c r="A35">
        <f t="shared" si="0"/>
        <v>34</v>
      </c>
      <c r="B35">
        <v>24.529699999999998</v>
      </c>
    </row>
    <row r="36" spans="1:2" ht="15">
      <c r="A36">
        <f t="shared" si="0"/>
        <v>35</v>
      </c>
      <c r="B36">
        <v>24.4086</v>
      </c>
    </row>
    <row r="37" spans="1:2" ht="15">
      <c r="A37">
        <f t="shared" si="0"/>
        <v>36</v>
      </c>
      <c r="B37">
        <v>24.2866</v>
      </c>
    </row>
    <row r="38" spans="1:2" ht="15">
      <c r="A38">
        <f t="shared" si="0"/>
        <v>37</v>
      </c>
      <c r="B38">
        <v>24.172799999999999</v>
      </c>
    </row>
    <row r="39" spans="1:2" ht="15">
      <c r="A39">
        <f t="shared" si="0"/>
        <v>38</v>
      </c>
      <c r="B39">
        <v>24.055800000000001</v>
      </c>
    </row>
    <row r="40" spans="1:2" ht="15">
      <c r="A40">
        <f t="shared" si="0"/>
        <v>39</v>
      </c>
      <c r="B40">
        <v>23.938700000000001</v>
      </c>
    </row>
    <row r="41" spans="1:2" ht="15">
      <c r="A41">
        <f t="shared" si="0"/>
        <v>40</v>
      </c>
      <c r="B41">
        <v>23.8248</v>
      </c>
    </row>
    <row r="42" spans="1:2">
      <c r="A42">
        <f t="shared" si="0"/>
        <v>41</v>
      </c>
      <c r="B42">
        <v>23.7181</v>
      </c>
    </row>
    <row r="43" spans="1:2">
      <c r="A43">
        <f t="shared" si="0"/>
        <v>42</v>
      </c>
      <c r="B43">
        <v>23.607600000000001</v>
      </c>
    </row>
    <row r="44" spans="1:2">
      <c r="A44">
        <f t="shared" si="0"/>
        <v>43</v>
      </c>
      <c r="B44">
        <v>23.494499999999999</v>
      </c>
    </row>
    <row r="45" spans="1:2">
      <c r="A45">
        <f t="shared" si="0"/>
        <v>44</v>
      </c>
      <c r="B45">
        <v>23.391400000000001</v>
      </c>
    </row>
    <row r="46" spans="1:2">
      <c r="A46">
        <f t="shared" si="0"/>
        <v>45</v>
      </c>
      <c r="B46">
        <v>23.284099999999999</v>
      </c>
    </row>
    <row r="47" spans="1:2">
      <c r="A47">
        <f t="shared" si="0"/>
        <v>46</v>
      </c>
      <c r="B47">
        <v>23.181999999999999</v>
      </c>
    </row>
    <row r="48" spans="1:2">
      <c r="A48">
        <f t="shared" si="0"/>
        <v>47</v>
      </c>
      <c r="B48">
        <v>23.076599999999999</v>
      </c>
    </row>
    <row r="49" spans="1:2">
      <c r="A49">
        <f t="shared" si="0"/>
        <v>48</v>
      </c>
      <c r="B49">
        <v>22.968900000000001</v>
      </c>
    </row>
    <row r="50" spans="1:2">
      <c r="A50">
        <f t="shared" si="0"/>
        <v>49</v>
      </c>
      <c r="B50">
        <v>22.869199999999999</v>
      </c>
    </row>
    <row r="51" spans="1:2">
      <c r="A51">
        <f t="shared" si="0"/>
        <v>50</v>
      </c>
      <c r="B51">
        <v>22.764399999999998</v>
      </c>
    </row>
    <row r="52" spans="1:2">
      <c r="A52">
        <f t="shared" si="0"/>
        <v>51</v>
      </c>
      <c r="B52">
        <v>22.663699999999999</v>
      </c>
    </row>
    <row r="53" spans="1:2">
      <c r="A53">
        <f t="shared" si="0"/>
        <v>52</v>
      </c>
      <c r="B53">
        <v>22.564399999999999</v>
      </c>
    </row>
    <row r="54" spans="1:2">
      <c r="A54">
        <f t="shared" si="0"/>
        <v>53</v>
      </c>
      <c r="B54">
        <v>22.459499999999998</v>
      </c>
    </row>
    <row r="55" spans="1:2">
      <c r="A55">
        <f t="shared" si="0"/>
        <v>54</v>
      </c>
      <c r="B55">
        <v>22.359100000000002</v>
      </c>
    </row>
    <row r="56" spans="1:2">
      <c r="A56">
        <f t="shared" si="0"/>
        <v>55</v>
      </c>
      <c r="B56">
        <v>22.264800000000001</v>
      </c>
    </row>
    <row r="57" spans="1:2">
      <c r="A57">
        <f t="shared" si="0"/>
        <v>56</v>
      </c>
      <c r="B57">
        <v>22.170999999999999</v>
      </c>
    </row>
    <row r="58" spans="1:2">
      <c r="A58">
        <f t="shared" si="0"/>
        <v>57</v>
      </c>
      <c r="B58">
        <v>22.072600000000001</v>
      </c>
    </row>
    <row r="59" spans="1:2">
      <c r="A59">
        <f t="shared" si="0"/>
        <v>58</v>
      </c>
      <c r="B59">
        <v>21.983000000000001</v>
      </c>
    </row>
    <row r="60" spans="1:2">
      <c r="A60">
        <f t="shared" si="0"/>
        <v>59</v>
      </c>
      <c r="B60">
        <v>21.889900000000001</v>
      </c>
    </row>
    <row r="61" spans="1:2">
      <c r="A61">
        <f t="shared" si="0"/>
        <v>60</v>
      </c>
      <c r="B61">
        <v>21.794699999999999</v>
      </c>
    </row>
    <row r="62" spans="1:2">
      <c r="A62">
        <f t="shared" si="0"/>
        <v>61</v>
      </c>
      <c r="B62">
        <v>21.703700000000001</v>
      </c>
    </row>
    <row r="63" spans="1:2">
      <c r="A63">
        <f t="shared" si="0"/>
        <v>62</v>
      </c>
      <c r="B63">
        <v>21.610800000000001</v>
      </c>
    </row>
    <row r="64" spans="1:2">
      <c r="A64">
        <f t="shared" si="0"/>
        <v>63</v>
      </c>
      <c r="B64">
        <v>21.5199</v>
      </c>
    </row>
    <row r="65" spans="1:2">
      <c r="A65">
        <f t="shared" si="0"/>
        <v>64</v>
      </c>
      <c r="B65">
        <v>21.4314</v>
      </c>
    </row>
    <row r="66" spans="1:2">
      <c r="A66">
        <f t="shared" ref="A66:A129" si="1">1+A65</f>
        <v>65</v>
      </c>
      <c r="B66">
        <v>21.349499999999999</v>
      </c>
    </row>
    <row r="67" spans="1:2">
      <c r="A67">
        <f t="shared" si="1"/>
        <v>66</v>
      </c>
      <c r="B67">
        <v>21.259</v>
      </c>
    </row>
    <row r="68" spans="1:2">
      <c r="A68">
        <f t="shared" si="1"/>
        <v>67</v>
      </c>
      <c r="B68">
        <v>21.171299999999999</v>
      </c>
    </row>
    <row r="69" spans="1:2">
      <c r="A69">
        <f t="shared" si="1"/>
        <v>68</v>
      </c>
      <c r="B69">
        <v>21.0869</v>
      </c>
    </row>
    <row r="70" spans="1:2">
      <c r="A70">
        <f t="shared" si="1"/>
        <v>69</v>
      </c>
      <c r="B70">
        <v>20.998200000000001</v>
      </c>
    </row>
    <row r="71" spans="1:2">
      <c r="A71">
        <f t="shared" si="1"/>
        <v>70</v>
      </c>
      <c r="B71">
        <v>20.913</v>
      </c>
    </row>
    <row r="72" spans="1:2">
      <c r="A72">
        <f t="shared" si="1"/>
        <v>71</v>
      </c>
      <c r="B72">
        <v>20.834</v>
      </c>
    </row>
    <row r="73" spans="1:2">
      <c r="A73">
        <f t="shared" si="1"/>
        <v>72</v>
      </c>
      <c r="B73">
        <v>20.744800000000001</v>
      </c>
    </row>
    <row r="74" spans="1:2">
      <c r="A74">
        <f t="shared" si="1"/>
        <v>73</v>
      </c>
      <c r="B74">
        <v>20.663399999999999</v>
      </c>
    </row>
    <row r="75" spans="1:2">
      <c r="A75">
        <f t="shared" si="1"/>
        <v>74</v>
      </c>
      <c r="B75">
        <v>20.577400000000001</v>
      </c>
    </row>
    <row r="76" spans="1:2">
      <c r="A76">
        <f t="shared" si="1"/>
        <v>75</v>
      </c>
      <c r="B76">
        <v>20.497800000000002</v>
      </c>
    </row>
    <row r="77" spans="1:2">
      <c r="A77">
        <f t="shared" si="1"/>
        <v>76</v>
      </c>
      <c r="B77">
        <v>20.418900000000001</v>
      </c>
    </row>
    <row r="78" spans="1:2">
      <c r="A78">
        <f t="shared" si="1"/>
        <v>77</v>
      </c>
      <c r="B78">
        <v>20.341699999999999</v>
      </c>
    </row>
    <row r="79" spans="1:2">
      <c r="A79">
        <f t="shared" si="1"/>
        <v>78</v>
      </c>
      <c r="B79">
        <v>20.2578</v>
      </c>
    </row>
    <row r="80" spans="1:2">
      <c r="A80">
        <f t="shared" si="1"/>
        <v>79</v>
      </c>
      <c r="B80">
        <v>20.1769</v>
      </c>
    </row>
    <row r="81" spans="1:2">
      <c r="A81">
        <f t="shared" si="1"/>
        <v>80</v>
      </c>
      <c r="B81">
        <v>20.0989</v>
      </c>
    </row>
    <row r="82" spans="1:2">
      <c r="A82">
        <f t="shared" si="1"/>
        <v>81</v>
      </c>
      <c r="B82">
        <v>20.017099999999999</v>
      </c>
    </row>
    <row r="83" spans="1:2">
      <c r="A83">
        <f t="shared" si="1"/>
        <v>82</v>
      </c>
      <c r="B83">
        <v>19.938500000000001</v>
      </c>
    </row>
    <row r="84" spans="1:2">
      <c r="A84">
        <f t="shared" si="1"/>
        <v>83</v>
      </c>
      <c r="B84">
        <v>19.852699999999999</v>
      </c>
    </row>
    <row r="85" spans="1:2">
      <c r="A85">
        <f t="shared" si="1"/>
        <v>84</v>
      </c>
      <c r="B85">
        <v>19.773800000000001</v>
      </c>
    </row>
    <row r="86" spans="1:2">
      <c r="A86">
        <f t="shared" si="1"/>
        <v>85</v>
      </c>
      <c r="B86">
        <v>19.6999</v>
      </c>
    </row>
    <row r="87" spans="1:2">
      <c r="A87">
        <f t="shared" si="1"/>
        <v>86</v>
      </c>
      <c r="B87">
        <v>19.626100000000001</v>
      </c>
    </row>
    <row r="88" spans="1:2">
      <c r="A88">
        <f t="shared" si="1"/>
        <v>87</v>
      </c>
      <c r="B88">
        <v>19.556000000000001</v>
      </c>
    </row>
    <row r="89" spans="1:2">
      <c r="A89">
        <f t="shared" si="1"/>
        <v>88</v>
      </c>
      <c r="B89">
        <v>19.474599999999999</v>
      </c>
    </row>
    <row r="90" spans="1:2">
      <c r="A90">
        <f t="shared" si="1"/>
        <v>89</v>
      </c>
      <c r="B90">
        <v>19.4055</v>
      </c>
    </row>
    <row r="91" spans="1:2">
      <c r="A91">
        <f t="shared" si="1"/>
        <v>90</v>
      </c>
      <c r="B91">
        <v>19.328600000000002</v>
      </c>
    </row>
    <row r="92" spans="1:2">
      <c r="A92">
        <f t="shared" si="1"/>
        <v>91</v>
      </c>
      <c r="B92">
        <v>19.257999999999999</v>
      </c>
    </row>
    <row r="93" spans="1:2">
      <c r="A93">
        <f t="shared" si="1"/>
        <v>92</v>
      </c>
      <c r="B93">
        <v>19.1891</v>
      </c>
    </row>
    <row r="94" spans="1:2">
      <c r="A94">
        <f t="shared" si="1"/>
        <v>93</v>
      </c>
      <c r="B94">
        <v>19.116099999999999</v>
      </c>
    </row>
    <row r="95" spans="1:2">
      <c r="A95">
        <f t="shared" si="1"/>
        <v>94</v>
      </c>
      <c r="B95">
        <v>19.040900000000001</v>
      </c>
    </row>
    <row r="96" spans="1:2">
      <c r="A96">
        <f t="shared" si="1"/>
        <v>95</v>
      </c>
      <c r="B96">
        <v>18.971399999999999</v>
      </c>
    </row>
    <row r="97" spans="1:2">
      <c r="A97">
        <f t="shared" si="1"/>
        <v>96</v>
      </c>
      <c r="B97">
        <v>18.909099999999999</v>
      </c>
    </row>
    <row r="98" spans="1:2">
      <c r="A98">
        <f t="shared" si="1"/>
        <v>97</v>
      </c>
      <c r="B98">
        <v>18.8398</v>
      </c>
    </row>
    <row r="99" spans="1:2">
      <c r="A99">
        <f t="shared" si="1"/>
        <v>98</v>
      </c>
      <c r="B99">
        <v>18.7746</v>
      </c>
    </row>
    <row r="100" spans="1:2">
      <c r="A100">
        <f t="shared" si="1"/>
        <v>99</v>
      </c>
      <c r="B100">
        <v>18.7075</v>
      </c>
    </row>
    <row r="101" spans="1:2">
      <c r="A101">
        <f t="shared" si="1"/>
        <v>100</v>
      </c>
      <c r="B101">
        <v>18.640699999999999</v>
      </c>
    </row>
    <row r="102" spans="1:2">
      <c r="A102">
        <f t="shared" si="1"/>
        <v>101</v>
      </c>
      <c r="B102">
        <v>18.577500000000001</v>
      </c>
    </row>
    <row r="103" spans="1:2">
      <c r="A103">
        <f t="shared" si="1"/>
        <v>102</v>
      </c>
      <c r="B103">
        <v>18.513100000000001</v>
      </c>
    </row>
    <row r="104" spans="1:2">
      <c r="A104">
        <f t="shared" si="1"/>
        <v>103</v>
      </c>
      <c r="B104">
        <v>18.441800000000001</v>
      </c>
    </row>
    <row r="105" spans="1:2">
      <c r="A105">
        <f t="shared" si="1"/>
        <v>104</v>
      </c>
      <c r="B105">
        <v>18.378699999999998</v>
      </c>
    </row>
    <row r="106" spans="1:2">
      <c r="A106">
        <f t="shared" si="1"/>
        <v>105</v>
      </c>
      <c r="B106">
        <v>18.3139</v>
      </c>
    </row>
    <row r="107" spans="1:2">
      <c r="A107">
        <f t="shared" si="1"/>
        <v>106</v>
      </c>
      <c r="B107">
        <v>18.250299999999999</v>
      </c>
    </row>
    <row r="108" spans="1:2">
      <c r="A108">
        <f t="shared" si="1"/>
        <v>107</v>
      </c>
      <c r="B108">
        <v>18.186499999999999</v>
      </c>
    </row>
    <row r="109" spans="1:2">
      <c r="A109">
        <f t="shared" si="1"/>
        <v>108</v>
      </c>
      <c r="B109">
        <v>18.120699999999999</v>
      </c>
    </row>
    <row r="110" spans="1:2">
      <c r="A110">
        <f t="shared" si="1"/>
        <v>109</v>
      </c>
      <c r="B110">
        <v>18.0564</v>
      </c>
    </row>
    <row r="111" spans="1:2">
      <c r="A111">
        <f t="shared" si="1"/>
        <v>110</v>
      </c>
      <c r="B111">
        <v>17.991700000000002</v>
      </c>
    </row>
    <row r="112" spans="1:2">
      <c r="A112">
        <f t="shared" si="1"/>
        <v>111</v>
      </c>
      <c r="B112">
        <v>17.925999999999998</v>
      </c>
    </row>
    <row r="113" spans="1:2">
      <c r="A113">
        <f t="shared" si="1"/>
        <v>112</v>
      </c>
      <c r="B113">
        <v>17.868400000000001</v>
      </c>
    </row>
    <row r="114" spans="1:2">
      <c r="A114">
        <f t="shared" si="1"/>
        <v>113</v>
      </c>
      <c r="B114">
        <v>17.8034</v>
      </c>
    </row>
    <row r="115" spans="1:2">
      <c r="A115">
        <f t="shared" si="1"/>
        <v>114</v>
      </c>
      <c r="B115">
        <v>17.744700000000002</v>
      </c>
    </row>
    <row r="116" spans="1:2">
      <c r="A116">
        <f t="shared" si="1"/>
        <v>115</v>
      </c>
      <c r="B116">
        <v>17.683199999999999</v>
      </c>
    </row>
    <row r="117" spans="1:2">
      <c r="A117">
        <f t="shared" si="1"/>
        <v>116</v>
      </c>
      <c r="B117">
        <v>17.6143</v>
      </c>
    </row>
    <row r="118" spans="1:2">
      <c r="A118">
        <f t="shared" si="1"/>
        <v>117</v>
      </c>
      <c r="B118">
        <v>17.554600000000001</v>
      </c>
    </row>
    <row r="119" spans="1:2">
      <c r="A119">
        <f t="shared" si="1"/>
        <v>118</v>
      </c>
      <c r="B119">
        <v>17.494700000000002</v>
      </c>
    </row>
    <row r="120" spans="1:2">
      <c r="A120">
        <f t="shared" si="1"/>
        <v>119</v>
      </c>
      <c r="B120">
        <v>17.433299999999999</v>
      </c>
    </row>
    <row r="121" spans="1:2">
      <c r="A121">
        <f t="shared" si="1"/>
        <v>120</v>
      </c>
      <c r="B121">
        <v>17.369</v>
      </c>
    </row>
    <row r="122" spans="1:2">
      <c r="A122">
        <f t="shared" si="1"/>
        <v>121</v>
      </c>
      <c r="B122">
        <v>17.3094</v>
      </c>
    </row>
    <row r="123" spans="1:2">
      <c r="A123">
        <f t="shared" si="1"/>
        <v>122</v>
      </c>
      <c r="B123">
        <v>17.2471</v>
      </c>
    </row>
    <row r="124" spans="1:2">
      <c r="A124">
        <f t="shared" si="1"/>
        <v>123</v>
      </c>
      <c r="B124">
        <v>17.191099999999999</v>
      </c>
    </row>
    <row r="125" spans="1:2">
      <c r="A125">
        <f t="shared" si="1"/>
        <v>124</v>
      </c>
      <c r="B125">
        <v>17.1234</v>
      </c>
    </row>
    <row r="126" spans="1:2">
      <c r="A126">
        <f t="shared" si="1"/>
        <v>125</v>
      </c>
      <c r="B126">
        <v>17.064299999999999</v>
      </c>
    </row>
    <row r="127" spans="1:2">
      <c r="A127">
        <f t="shared" si="1"/>
        <v>126</v>
      </c>
      <c r="B127">
        <v>17.005500000000001</v>
      </c>
    </row>
    <row r="128" spans="1:2">
      <c r="A128">
        <f t="shared" si="1"/>
        <v>127</v>
      </c>
      <c r="B128">
        <v>16.947199999999999</v>
      </c>
    </row>
    <row r="129" spans="1:2">
      <c r="A129">
        <f t="shared" si="1"/>
        <v>128</v>
      </c>
      <c r="B129">
        <v>16.894300000000001</v>
      </c>
    </row>
    <row r="130" spans="1:2">
      <c r="A130">
        <f t="shared" ref="A130:A193" si="2">1+A129</f>
        <v>129</v>
      </c>
      <c r="B130">
        <v>16.838899999999999</v>
      </c>
    </row>
    <row r="131" spans="1:2">
      <c r="A131">
        <f t="shared" si="2"/>
        <v>130</v>
      </c>
      <c r="B131">
        <v>16.779</v>
      </c>
    </row>
    <row r="132" spans="1:2">
      <c r="A132">
        <f t="shared" si="2"/>
        <v>131</v>
      </c>
      <c r="B132">
        <v>16.725100000000001</v>
      </c>
    </row>
    <row r="133" spans="1:2">
      <c r="A133">
        <f t="shared" si="2"/>
        <v>132</v>
      </c>
      <c r="B133">
        <v>16.667300000000001</v>
      </c>
    </row>
    <row r="134" spans="1:2">
      <c r="A134">
        <f t="shared" si="2"/>
        <v>133</v>
      </c>
      <c r="B134">
        <v>16.616299999999999</v>
      </c>
    </row>
    <row r="135" spans="1:2">
      <c r="A135">
        <f t="shared" si="2"/>
        <v>134</v>
      </c>
      <c r="B135">
        <v>16.554600000000001</v>
      </c>
    </row>
    <row r="136" spans="1:2">
      <c r="A136">
        <f t="shared" si="2"/>
        <v>135</v>
      </c>
      <c r="B136">
        <v>16.500499999999999</v>
      </c>
    </row>
    <row r="137" spans="1:2">
      <c r="A137">
        <f t="shared" si="2"/>
        <v>136</v>
      </c>
      <c r="B137">
        <v>16.446200000000001</v>
      </c>
    </row>
    <row r="138" spans="1:2">
      <c r="A138">
        <f t="shared" si="2"/>
        <v>137</v>
      </c>
      <c r="B138">
        <v>16.391500000000001</v>
      </c>
    </row>
    <row r="139" spans="1:2">
      <c r="A139">
        <f t="shared" si="2"/>
        <v>138</v>
      </c>
      <c r="B139">
        <v>16.335899999999999</v>
      </c>
    </row>
    <row r="140" spans="1:2">
      <c r="A140">
        <f t="shared" si="2"/>
        <v>139</v>
      </c>
      <c r="B140">
        <v>16.2758</v>
      </c>
    </row>
    <row r="141" spans="1:2">
      <c r="A141">
        <f t="shared" si="2"/>
        <v>140</v>
      </c>
      <c r="B141">
        <v>16.217500000000001</v>
      </c>
    </row>
    <row r="142" spans="1:2">
      <c r="A142">
        <f t="shared" si="2"/>
        <v>141</v>
      </c>
      <c r="B142">
        <v>16.168500000000002</v>
      </c>
    </row>
    <row r="143" spans="1:2">
      <c r="A143">
        <f t="shared" si="2"/>
        <v>142</v>
      </c>
      <c r="B143">
        <v>16.1127</v>
      </c>
    </row>
    <row r="144" spans="1:2">
      <c r="A144">
        <f t="shared" si="2"/>
        <v>143</v>
      </c>
      <c r="B144">
        <v>16.062200000000001</v>
      </c>
    </row>
    <row r="145" spans="1:2">
      <c r="A145">
        <f t="shared" si="2"/>
        <v>144</v>
      </c>
      <c r="B145">
        <v>16.005600000000001</v>
      </c>
    </row>
    <row r="146" spans="1:2">
      <c r="A146">
        <f t="shared" si="2"/>
        <v>145</v>
      </c>
      <c r="B146">
        <v>15.950699999999999</v>
      </c>
    </row>
    <row r="147" spans="1:2">
      <c r="A147">
        <f t="shared" si="2"/>
        <v>146</v>
      </c>
      <c r="B147">
        <v>15.891500000000001</v>
      </c>
    </row>
    <row r="148" spans="1:2">
      <c r="A148">
        <f t="shared" si="2"/>
        <v>147</v>
      </c>
      <c r="B148">
        <v>15.8367</v>
      </c>
    </row>
    <row r="149" spans="1:2">
      <c r="A149">
        <f t="shared" si="2"/>
        <v>148</v>
      </c>
      <c r="B149">
        <v>15.779199999999999</v>
      </c>
    </row>
    <row r="150" spans="1:2">
      <c r="A150">
        <f t="shared" si="2"/>
        <v>149</v>
      </c>
      <c r="B150">
        <v>15.722200000000001</v>
      </c>
    </row>
    <row r="151" spans="1:2">
      <c r="A151">
        <f t="shared" si="2"/>
        <v>150</v>
      </c>
      <c r="B151">
        <v>15.675599999999999</v>
      </c>
    </row>
    <row r="152" spans="1:2">
      <c r="A152">
        <f t="shared" si="2"/>
        <v>151</v>
      </c>
      <c r="B152">
        <v>15.619</v>
      </c>
    </row>
    <row r="153" spans="1:2">
      <c r="A153">
        <f t="shared" si="2"/>
        <v>152</v>
      </c>
      <c r="B153">
        <v>15.5685</v>
      </c>
    </row>
    <row r="154" spans="1:2">
      <c r="A154">
        <f t="shared" si="2"/>
        <v>153</v>
      </c>
      <c r="B154">
        <v>15.514699999999999</v>
      </c>
    </row>
    <row r="155" spans="1:2">
      <c r="A155">
        <f t="shared" si="2"/>
        <v>154</v>
      </c>
      <c r="B155">
        <v>15.4636</v>
      </c>
    </row>
    <row r="156" spans="1:2">
      <c r="A156">
        <f t="shared" si="2"/>
        <v>155</v>
      </c>
      <c r="B156">
        <v>15.416700000000001</v>
      </c>
    </row>
    <row r="157" spans="1:2">
      <c r="A157">
        <f t="shared" si="2"/>
        <v>156</v>
      </c>
      <c r="B157">
        <v>15.366899999999999</v>
      </c>
    </row>
    <row r="158" spans="1:2">
      <c r="A158">
        <f t="shared" si="2"/>
        <v>157</v>
      </c>
      <c r="B158">
        <v>15.316599999999999</v>
      </c>
    </row>
    <row r="159" spans="1:2">
      <c r="A159">
        <f t="shared" si="2"/>
        <v>158</v>
      </c>
      <c r="B159">
        <v>15.2652</v>
      </c>
    </row>
    <row r="160" spans="1:2">
      <c r="A160">
        <f t="shared" si="2"/>
        <v>159</v>
      </c>
      <c r="B160">
        <v>15.213100000000001</v>
      </c>
    </row>
    <row r="161" spans="1:2">
      <c r="A161">
        <f t="shared" si="2"/>
        <v>160</v>
      </c>
      <c r="B161">
        <v>15.1561</v>
      </c>
    </row>
    <row r="162" spans="1:2">
      <c r="A162">
        <f t="shared" si="2"/>
        <v>161</v>
      </c>
      <c r="B162">
        <v>15.102499999999999</v>
      </c>
    </row>
    <row r="163" spans="1:2">
      <c r="A163">
        <f t="shared" si="2"/>
        <v>162</v>
      </c>
      <c r="B163">
        <v>15.0495</v>
      </c>
    </row>
    <row r="164" spans="1:2">
      <c r="A164">
        <f t="shared" si="2"/>
        <v>163</v>
      </c>
      <c r="B164">
        <v>15.0007</v>
      </c>
    </row>
    <row r="165" spans="1:2">
      <c r="A165">
        <f t="shared" si="2"/>
        <v>164</v>
      </c>
      <c r="B165">
        <v>14.951499999999999</v>
      </c>
    </row>
    <row r="166" spans="1:2">
      <c r="A166">
        <f t="shared" si="2"/>
        <v>165</v>
      </c>
      <c r="B166">
        <v>14.904199999999999</v>
      </c>
    </row>
    <row r="167" spans="1:2">
      <c r="A167">
        <f t="shared" si="2"/>
        <v>166</v>
      </c>
      <c r="B167">
        <v>14.860099999999999</v>
      </c>
    </row>
    <row r="168" spans="1:2">
      <c r="A168">
        <f t="shared" si="2"/>
        <v>167</v>
      </c>
      <c r="B168">
        <v>14.8124</v>
      </c>
    </row>
    <row r="169" spans="1:2">
      <c r="A169">
        <f t="shared" si="2"/>
        <v>168</v>
      </c>
      <c r="B169">
        <v>14.7675</v>
      </c>
    </row>
    <row r="170" spans="1:2">
      <c r="A170">
        <f t="shared" si="2"/>
        <v>169</v>
      </c>
      <c r="B170">
        <v>14.7197</v>
      </c>
    </row>
    <row r="171" spans="1:2">
      <c r="A171">
        <f t="shared" si="2"/>
        <v>170</v>
      </c>
      <c r="B171">
        <v>14.6647</v>
      </c>
    </row>
    <row r="172" spans="1:2">
      <c r="A172">
        <f t="shared" si="2"/>
        <v>171</v>
      </c>
      <c r="B172">
        <v>14.6113</v>
      </c>
    </row>
    <row r="173" spans="1:2">
      <c r="A173">
        <f t="shared" si="2"/>
        <v>172</v>
      </c>
      <c r="B173">
        <v>14.558</v>
      </c>
    </row>
    <row r="174" spans="1:2">
      <c r="A174">
        <f t="shared" si="2"/>
        <v>173</v>
      </c>
      <c r="B174">
        <v>14.5068</v>
      </c>
    </row>
    <row r="175" spans="1:2">
      <c r="A175">
        <f t="shared" si="2"/>
        <v>174</v>
      </c>
      <c r="B175">
        <v>14.4617</v>
      </c>
    </row>
    <row r="176" spans="1:2">
      <c r="A176">
        <f t="shared" si="2"/>
        <v>175</v>
      </c>
      <c r="B176">
        <v>14.4139</v>
      </c>
    </row>
    <row r="177" spans="1:2">
      <c r="A177">
        <f t="shared" si="2"/>
        <v>176</v>
      </c>
      <c r="B177">
        <v>14.3703</v>
      </c>
    </row>
    <row r="178" spans="1:2">
      <c r="A178">
        <f t="shared" si="2"/>
        <v>177</v>
      </c>
      <c r="B178">
        <v>14.328799999999999</v>
      </c>
    </row>
    <row r="179" spans="1:2">
      <c r="A179">
        <f t="shared" si="2"/>
        <v>178</v>
      </c>
      <c r="B179">
        <v>14.2742</v>
      </c>
    </row>
    <row r="180" spans="1:2">
      <c r="A180">
        <f t="shared" si="2"/>
        <v>179</v>
      </c>
      <c r="B180">
        <v>14.229799999999999</v>
      </c>
    </row>
    <row r="181" spans="1:2">
      <c r="A181">
        <f t="shared" si="2"/>
        <v>180</v>
      </c>
      <c r="B181">
        <v>14.1745</v>
      </c>
    </row>
    <row r="182" spans="1:2">
      <c r="A182">
        <f t="shared" si="2"/>
        <v>181</v>
      </c>
      <c r="B182">
        <v>14.1297</v>
      </c>
    </row>
    <row r="183" spans="1:2">
      <c r="A183">
        <f t="shared" si="2"/>
        <v>182</v>
      </c>
      <c r="B183">
        <v>14.084</v>
      </c>
    </row>
    <row r="184" spans="1:2">
      <c r="A184">
        <f t="shared" si="2"/>
        <v>183</v>
      </c>
      <c r="B184">
        <v>14.041700000000001</v>
      </c>
    </row>
    <row r="185" spans="1:2">
      <c r="A185">
        <f t="shared" si="2"/>
        <v>184</v>
      </c>
      <c r="B185">
        <v>13.9917</v>
      </c>
    </row>
    <row r="186" spans="1:2">
      <c r="A186">
        <f t="shared" si="2"/>
        <v>185</v>
      </c>
      <c r="B186">
        <v>13.9529</v>
      </c>
    </row>
    <row r="187" spans="1:2">
      <c r="A187">
        <f t="shared" si="2"/>
        <v>186</v>
      </c>
      <c r="B187">
        <v>13.9048</v>
      </c>
    </row>
    <row r="188" spans="1:2">
      <c r="A188">
        <f t="shared" si="2"/>
        <v>187</v>
      </c>
      <c r="B188">
        <v>13.864699999999999</v>
      </c>
    </row>
    <row r="189" spans="1:2">
      <c r="A189">
        <f t="shared" si="2"/>
        <v>188</v>
      </c>
      <c r="B189">
        <v>13.815799999999999</v>
      </c>
    </row>
    <row r="190" spans="1:2">
      <c r="A190">
        <f t="shared" si="2"/>
        <v>189</v>
      </c>
      <c r="B190">
        <v>13.7759</v>
      </c>
    </row>
    <row r="191" spans="1:2">
      <c r="A191">
        <f t="shared" si="2"/>
        <v>190</v>
      </c>
      <c r="B191">
        <v>13.734500000000001</v>
      </c>
    </row>
    <row r="192" spans="1:2">
      <c r="A192">
        <f t="shared" si="2"/>
        <v>191</v>
      </c>
      <c r="B192">
        <v>13.6838</v>
      </c>
    </row>
    <row r="193" spans="1:2">
      <c r="A193">
        <f t="shared" si="2"/>
        <v>192</v>
      </c>
      <c r="B193">
        <v>13.646800000000001</v>
      </c>
    </row>
    <row r="194" spans="1:2">
      <c r="A194">
        <f t="shared" ref="A194:A257" si="3">1+A193</f>
        <v>193</v>
      </c>
      <c r="B194">
        <v>13.599299999999999</v>
      </c>
    </row>
    <row r="195" spans="1:2">
      <c r="A195">
        <f t="shared" si="3"/>
        <v>194</v>
      </c>
      <c r="B195">
        <v>13.555300000000001</v>
      </c>
    </row>
    <row r="196" spans="1:2">
      <c r="A196">
        <f t="shared" si="3"/>
        <v>195</v>
      </c>
      <c r="B196">
        <v>13.5191</v>
      </c>
    </row>
    <row r="197" spans="1:2">
      <c r="A197">
        <f t="shared" si="3"/>
        <v>196</v>
      </c>
      <c r="B197">
        <v>13.470800000000001</v>
      </c>
    </row>
    <row r="198" spans="1:2">
      <c r="A198">
        <f t="shared" si="3"/>
        <v>197</v>
      </c>
      <c r="B198">
        <v>13.426500000000001</v>
      </c>
    </row>
    <row r="199" spans="1:2">
      <c r="A199">
        <f t="shared" si="3"/>
        <v>198</v>
      </c>
      <c r="B199">
        <v>13.3796</v>
      </c>
    </row>
    <row r="200" spans="1:2">
      <c r="A200">
        <f t="shared" si="3"/>
        <v>199</v>
      </c>
      <c r="B200">
        <v>13.3348</v>
      </c>
    </row>
    <row r="201" spans="1:2">
      <c r="A201">
        <f t="shared" si="3"/>
        <v>200</v>
      </c>
      <c r="B201">
        <v>13.2921</v>
      </c>
    </row>
    <row r="202" spans="1:2">
      <c r="A202">
        <f t="shared" si="3"/>
        <v>201</v>
      </c>
      <c r="B202">
        <v>13.253</v>
      </c>
    </row>
    <row r="203" spans="1:2">
      <c r="A203">
        <f t="shared" si="3"/>
        <v>202</v>
      </c>
      <c r="B203">
        <v>13.2127</v>
      </c>
    </row>
    <row r="204" spans="1:2">
      <c r="A204">
        <f t="shared" si="3"/>
        <v>203</v>
      </c>
      <c r="B204">
        <v>13.172000000000001</v>
      </c>
    </row>
    <row r="205" spans="1:2">
      <c r="A205">
        <f t="shared" si="3"/>
        <v>204</v>
      </c>
      <c r="B205">
        <v>13.1205</v>
      </c>
    </row>
    <row r="206" spans="1:2">
      <c r="A206">
        <f t="shared" si="3"/>
        <v>205</v>
      </c>
      <c r="B206">
        <v>13.081</v>
      </c>
    </row>
    <row r="207" spans="1:2">
      <c r="A207">
        <f t="shared" si="3"/>
        <v>206</v>
      </c>
      <c r="B207">
        <v>13.0403</v>
      </c>
    </row>
    <row r="208" spans="1:2">
      <c r="A208">
        <f t="shared" si="3"/>
        <v>207</v>
      </c>
      <c r="B208">
        <v>13.007099999999999</v>
      </c>
    </row>
    <row r="209" spans="1:2">
      <c r="A209">
        <f t="shared" si="3"/>
        <v>208</v>
      </c>
      <c r="B209">
        <v>12.965199999999999</v>
      </c>
    </row>
    <row r="210" spans="1:2">
      <c r="A210">
        <f t="shared" si="3"/>
        <v>209</v>
      </c>
      <c r="B210">
        <v>12.926399999999999</v>
      </c>
    </row>
    <row r="211" spans="1:2">
      <c r="A211">
        <f t="shared" si="3"/>
        <v>210</v>
      </c>
      <c r="B211">
        <v>12.8812</v>
      </c>
    </row>
    <row r="212" spans="1:2">
      <c r="A212">
        <f t="shared" si="3"/>
        <v>211</v>
      </c>
      <c r="B212">
        <v>12.845800000000001</v>
      </c>
    </row>
    <row r="213" spans="1:2">
      <c r="A213">
        <f t="shared" si="3"/>
        <v>212</v>
      </c>
      <c r="B213">
        <v>12.8087</v>
      </c>
    </row>
    <row r="214" spans="1:2">
      <c r="A214">
        <f t="shared" si="3"/>
        <v>213</v>
      </c>
      <c r="B214">
        <v>12.7765</v>
      </c>
    </row>
    <row r="215" spans="1:2">
      <c r="A215">
        <f t="shared" si="3"/>
        <v>214</v>
      </c>
      <c r="B215">
        <v>12.7311</v>
      </c>
    </row>
    <row r="216" spans="1:2">
      <c r="A216">
        <f t="shared" si="3"/>
        <v>215</v>
      </c>
      <c r="B216">
        <v>12.6911</v>
      </c>
    </row>
    <row r="217" spans="1:2">
      <c r="A217">
        <f t="shared" si="3"/>
        <v>216</v>
      </c>
      <c r="B217">
        <v>12.6494</v>
      </c>
    </row>
    <row r="218" spans="1:2">
      <c r="A218">
        <f t="shared" si="3"/>
        <v>217</v>
      </c>
      <c r="B218">
        <v>12.607699999999999</v>
      </c>
    </row>
    <row r="219" spans="1:2">
      <c r="A219">
        <f t="shared" si="3"/>
        <v>218</v>
      </c>
      <c r="B219">
        <v>12.5749</v>
      </c>
    </row>
    <row r="220" spans="1:2">
      <c r="A220">
        <f t="shared" si="3"/>
        <v>219</v>
      </c>
      <c r="B220">
        <v>12.5381</v>
      </c>
    </row>
    <row r="221" spans="1:2">
      <c r="A221">
        <f t="shared" si="3"/>
        <v>220</v>
      </c>
      <c r="B221">
        <v>12.4945</v>
      </c>
    </row>
    <row r="222" spans="1:2">
      <c r="A222">
        <f t="shared" si="3"/>
        <v>221</v>
      </c>
      <c r="B222">
        <v>12.4633</v>
      </c>
    </row>
    <row r="223" spans="1:2">
      <c r="A223">
        <f t="shared" si="3"/>
        <v>222</v>
      </c>
      <c r="B223">
        <v>12.412599999999999</v>
      </c>
    </row>
    <row r="224" spans="1:2">
      <c r="A224">
        <f t="shared" si="3"/>
        <v>223</v>
      </c>
      <c r="B224">
        <v>12.3718</v>
      </c>
    </row>
    <row r="225" spans="1:2">
      <c r="A225">
        <f t="shared" si="3"/>
        <v>224</v>
      </c>
      <c r="B225">
        <v>12.3399</v>
      </c>
    </row>
    <row r="226" spans="1:2">
      <c r="A226">
        <f t="shared" si="3"/>
        <v>225</v>
      </c>
      <c r="B226">
        <v>12.3042</v>
      </c>
    </row>
    <row r="227" spans="1:2">
      <c r="A227">
        <f t="shared" si="3"/>
        <v>226</v>
      </c>
      <c r="B227">
        <v>12.2682</v>
      </c>
    </row>
    <row r="228" spans="1:2">
      <c r="A228">
        <f t="shared" si="3"/>
        <v>227</v>
      </c>
      <c r="B228">
        <v>12.2239</v>
      </c>
    </row>
    <row r="229" spans="1:2">
      <c r="A229">
        <f t="shared" si="3"/>
        <v>228</v>
      </c>
      <c r="B229">
        <v>12.19</v>
      </c>
    </row>
    <row r="230" spans="1:2">
      <c r="A230">
        <f t="shared" si="3"/>
        <v>229</v>
      </c>
      <c r="B230">
        <v>12.1584</v>
      </c>
    </row>
    <row r="231" spans="1:2">
      <c r="A231">
        <f t="shared" si="3"/>
        <v>230</v>
      </c>
      <c r="B231">
        <v>12.1311</v>
      </c>
    </row>
    <row r="232" spans="1:2">
      <c r="A232">
        <f t="shared" si="3"/>
        <v>231</v>
      </c>
      <c r="B232">
        <v>12.0939</v>
      </c>
    </row>
    <row r="233" spans="1:2">
      <c r="A233">
        <f t="shared" si="3"/>
        <v>232</v>
      </c>
      <c r="B233">
        <v>12.056699999999999</v>
      </c>
    </row>
    <row r="234" spans="1:2">
      <c r="A234">
        <f t="shared" si="3"/>
        <v>233</v>
      </c>
      <c r="B234">
        <v>12.0204</v>
      </c>
    </row>
    <row r="235" spans="1:2">
      <c r="A235">
        <f t="shared" si="3"/>
        <v>234</v>
      </c>
      <c r="B235">
        <v>11.978999999999999</v>
      </c>
    </row>
    <row r="236" spans="1:2">
      <c r="A236">
        <f t="shared" si="3"/>
        <v>235</v>
      </c>
      <c r="B236">
        <v>11.9437</v>
      </c>
    </row>
    <row r="237" spans="1:2">
      <c r="A237">
        <f t="shared" si="3"/>
        <v>236</v>
      </c>
      <c r="B237">
        <v>11.9124</v>
      </c>
    </row>
    <row r="238" spans="1:2">
      <c r="A238">
        <f t="shared" si="3"/>
        <v>237</v>
      </c>
      <c r="B238">
        <v>11.8786</v>
      </c>
    </row>
    <row r="239" spans="1:2">
      <c r="A239">
        <f t="shared" si="3"/>
        <v>238</v>
      </c>
      <c r="B239">
        <v>11.8385</v>
      </c>
    </row>
    <row r="240" spans="1:2">
      <c r="A240">
        <f t="shared" si="3"/>
        <v>239</v>
      </c>
      <c r="B240">
        <v>11.7989</v>
      </c>
    </row>
    <row r="241" spans="1:2">
      <c r="A241">
        <f t="shared" si="3"/>
        <v>240</v>
      </c>
      <c r="B241">
        <v>11.7661</v>
      </c>
    </row>
    <row r="242" spans="1:2">
      <c r="A242">
        <f t="shared" si="3"/>
        <v>241</v>
      </c>
      <c r="B242">
        <v>11.733700000000001</v>
      </c>
    </row>
    <row r="243" spans="1:2">
      <c r="A243">
        <f t="shared" si="3"/>
        <v>242</v>
      </c>
      <c r="B243">
        <v>11.6957</v>
      </c>
    </row>
    <row r="244" spans="1:2">
      <c r="A244">
        <f t="shared" si="3"/>
        <v>243</v>
      </c>
      <c r="B244">
        <v>11.6617</v>
      </c>
    </row>
    <row r="245" spans="1:2">
      <c r="A245">
        <f t="shared" si="3"/>
        <v>244</v>
      </c>
      <c r="B245">
        <v>11.6233</v>
      </c>
    </row>
    <row r="246" spans="1:2">
      <c r="A246">
        <f t="shared" si="3"/>
        <v>245</v>
      </c>
      <c r="B246">
        <v>11.5832</v>
      </c>
    </row>
    <row r="247" spans="1:2">
      <c r="A247">
        <f t="shared" si="3"/>
        <v>246</v>
      </c>
      <c r="B247">
        <v>11.548999999999999</v>
      </c>
    </row>
    <row r="248" spans="1:2">
      <c r="A248">
        <f t="shared" si="3"/>
        <v>247</v>
      </c>
      <c r="B248">
        <v>11.515000000000001</v>
      </c>
    </row>
    <row r="249" spans="1:2">
      <c r="A249">
        <f t="shared" si="3"/>
        <v>248</v>
      </c>
      <c r="B249">
        <v>11.484999999999999</v>
      </c>
    </row>
    <row r="250" spans="1:2">
      <c r="A250">
        <f t="shared" si="3"/>
        <v>249</v>
      </c>
      <c r="B250">
        <v>11.4521</v>
      </c>
    </row>
    <row r="251" spans="1:2">
      <c r="A251">
        <f t="shared" si="3"/>
        <v>250</v>
      </c>
      <c r="B251">
        <v>11.4253</v>
      </c>
    </row>
    <row r="252" spans="1:2">
      <c r="A252">
        <f t="shared" si="3"/>
        <v>251</v>
      </c>
      <c r="B252">
        <v>11.394399999999999</v>
      </c>
    </row>
    <row r="253" spans="1:2">
      <c r="A253">
        <f t="shared" si="3"/>
        <v>252</v>
      </c>
      <c r="B253">
        <v>11.3567</v>
      </c>
    </row>
    <row r="254" spans="1:2">
      <c r="A254">
        <f t="shared" si="3"/>
        <v>253</v>
      </c>
      <c r="B254">
        <v>11.3126</v>
      </c>
    </row>
    <row r="255" spans="1:2">
      <c r="A255">
        <f t="shared" si="3"/>
        <v>254</v>
      </c>
      <c r="B255">
        <v>11.2776</v>
      </c>
    </row>
    <row r="256" spans="1:2">
      <c r="A256">
        <f t="shared" si="3"/>
        <v>255</v>
      </c>
      <c r="B256">
        <v>11.2455</v>
      </c>
    </row>
    <row r="257" spans="1:2">
      <c r="A257">
        <f t="shared" si="3"/>
        <v>256</v>
      </c>
      <c r="B257">
        <v>11.2121</v>
      </c>
    </row>
    <row r="258" spans="1:2">
      <c r="A258">
        <f t="shared" ref="A258:A321" si="4">1+A257</f>
        <v>257</v>
      </c>
      <c r="B258">
        <v>11.1724</v>
      </c>
    </row>
    <row r="259" spans="1:2">
      <c r="A259">
        <f t="shared" si="4"/>
        <v>258</v>
      </c>
      <c r="B259">
        <v>11.1351</v>
      </c>
    </row>
    <row r="260" spans="1:2">
      <c r="A260">
        <f t="shared" si="4"/>
        <v>259</v>
      </c>
      <c r="B260">
        <v>11.1044</v>
      </c>
    </row>
    <row r="261" spans="1:2">
      <c r="A261">
        <f t="shared" si="4"/>
        <v>260</v>
      </c>
      <c r="B261">
        <v>11.076599999999999</v>
      </c>
    </row>
    <row r="262" spans="1:2">
      <c r="A262">
        <f t="shared" si="4"/>
        <v>261</v>
      </c>
      <c r="B262">
        <v>11.041399999999999</v>
      </c>
    </row>
    <row r="263" spans="1:2">
      <c r="A263">
        <f t="shared" si="4"/>
        <v>262</v>
      </c>
      <c r="B263">
        <v>11.0046</v>
      </c>
    </row>
    <row r="264" spans="1:2">
      <c r="A264">
        <f t="shared" si="4"/>
        <v>263</v>
      </c>
      <c r="B264">
        <v>10.9674</v>
      </c>
    </row>
    <row r="265" spans="1:2">
      <c r="A265">
        <f t="shared" si="4"/>
        <v>264</v>
      </c>
      <c r="B265">
        <v>10.9397</v>
      </c>
    </row>
    <row r="266" spans="1:2">
      <c r="A266">
        <f t="shared" si="4"/>
        <v>265</v>
      </c>
      <c r="B266">
        <v>10.903700000000001</v>
      </c>
    </row>
    <row r="267" spans="1:2">
      <c r="A267">
        <f t="shared" si="4"/>
        <v>266</v>
      </c>
      <c r="B267">
        <v>10.870100000000001</v>
      </c>
    </row>
    <row r="268" spans="1:2">
      <c r="A268">
        <f t="shared" si="4"/>
        <v>267</v>
      </c>
      <c r="B268">
        <v>10.836</v>
      </c>
    </row>
    <row r="269" spans="1:2">
      <c r="A269">
        <f t="shared" si="4"/>
        <v>268</v>
      </c>
      <c r="B269">
        <v>10.8011</v>
      </c>
    </row>
    <row r="270" spans="1:2">
      <c r="A270">
        <f t="shared" si="4"/>
        <v>269</v>
      </c>
      <c r="B270">
        <v>10.775700000000001</v>
      </c>
    </row>
    <row r="271" spans="1:2">
      <c r="A271">
        <f t="shared" si="4"/>
        <v>270</v>
      </c>
      <c r="B271">
        <v>10.7501</v>
      </c>
    </row>
    <row r="272" spans="1:2">
      <c r="A272">
        <f t="shared" si="4"/>
        <v>271</v>
      </c>
      <c r="B272">
        <v>10.7136</v>
      </c>
    </row>
    <row r="273" spans="1:2">
      <c r="A273">
        <f t="shared" si="4"/>
        <v>272</v>
      </c>
      <c r="B273">
        <v>10.675800000000001</v>
      </c>
    </row>
    <row r="274" spans="1:2">
      <c r="A274">
        <f t="shared" si="4"/>
        <v>273</v>
      </c>
      <c r="B274">
        <v>10.645899999999999</v>
      </c>
    </row>
    <row r="275" spans="1:2">
      <c r="A275">
        <f t="shared" si="4"/>
        <v>274</v>
      </c>
      <c r="B275">
        <v>10.6142</v>
      </c>
    </row>
    <row r="276" spans="1:2">
      <c r="A276">
        <f t="shared" si="4"/>
        <v>275</v>
      </c>
      <c r="B276">
        <v>10.585599999999999</v>
      </c>
    </row>
    <row r="277" spans="1:2">
      <c r="A277">
        <f t="shared" si="4"/>
        <v>276</v>
      </c>
      <c r="B277">
        <v>10.5571</v>
      </c>
    </row>
    <row r="278" spans="1:2">
      <c r="A278">
        <f t="shared" si="4"/>
        <v>277</v>
      </c>
      <c r="B278">
        <v>10.516500000000001</v>
      </c>
    </row>
    <row r="279" spans="1:2">
      <c r="A279">
        <f t="shared" si="4"/>
        <v>278</v>
      </c>
      <c r="B279">
        <v>10.4834</v>
      </c>
    </row>
    <row r="280" spans="1:2">
      <c r="A280">
        <f t="shared" si="4"/>
        <v>279</v>
      </c>
      <c r="B280">
        <v>10.4567</v>
      </c>
    </row>
    <row r="281" spans="1:2">
      <c r="A281">
        <f t="shared" si="4"/>
        <v>280</v>
      </c>
      <c r="B281">
        <v>10.423500000000001</v>
      </c>
    </row>
    <row r="282" spans="1:2">
      <c r="A282">
        <f t="shared" si="4"/>
        <v>281</v>
      </c>
      <c r="B282">
        <v>10.3873</v>
      </c>
    </row>
    <row r="283" spans="1:2">
      <c r="A283">
        <f t="shared" si="4"/>
        <v>282</v>
      </c>
      <c r="B283">
        <v>10.355600000000001</v>
      </c>
    </row>
    <row r="284" spans="1:2">
      <c r="A284">
        <f t="shared" si="4"/>
        <v>283</v>
      </c>
      <c r="B284">
        <v>10.328900000000001</v>
      </c>
    </row>
    <row r="285" spans="1:2">
      <c r="A285">
        <f t="shared" si="4"/>
        <v>284</v>
      </c>
      <c r="B285">
        <v>10.3012</v>
      </c>
    </row>
    <row r="286" spans="1:2">
      <c r="A286">
        <f t="shared" si="4"/>
        <v>285</v>
      </c>
      <c r="B286">
        <v>10.265499999999999</v>
      </c>
    </row>
    <row r="287" spans="1:2">
      <c r="A287">
        <f t="shared" si="4"/>
        <v>286</v>
      </c>
      <c r="B287">
        <v>10.2385</v>
      </c>
    </row>
    <row r="288" spans="1:2">
      <c r="A288">
        <f t="shared" si="4"/>
        <v>287</v>
      </c>
      <c r="B288">
        <v>10.206099999999999</v>
      </c>
    </row>
    <row r="289" spans="1:2">
      <c r="A289">
        <f t="shared" si="4"/>
        <v>288</v>
      </c>
      <c r="B289">
        <v>10.186500000000001</v>
      </c>
    </row>
    <row r="290" spans="1:2">
      <c r="A290">
        <f t="shared" si="4"/>
        <v>289</v>
      </c>
      <c r="B290">
        <v>10.153499999999999</v>
      </c>
    </row>
    <row r="291" spans="1:2">
      <c r="A291">
        <f t="shared" si="4"/>
        <v>290</v>
      </c>
      <c r="B291">
        <v>10.123100000000001</v>
      </c>
    </row>
    <row r="292" spans="1:2">
      <c r="A292">
        <f t="shared" si="4"/>
        <v>291</v>
      </c>
      <c r="B292">
        <v>10.097</v>
      </c>
    </row>
    <row r="293" spans="1:2">
      <c r="A293">
        <f t="shared" si="4"/>
        <v>292</v>
      </c>
      <c r="B293">
        <v>10.0642</v>
      </c>
    </row>
    <row r="294" spans="1:2">
      <c r="A294">
        <f t="shared" si="4"/>
        <v>293</v>
      </c>
      <c r="B294">
        <v>10.0436</v>
      </c>
    </row>
    <row r="295" spans="1:2">
      <c r="A295">
        <f t="shared" si="4"/>
        <v>294</v>
      </c>
      <c r="B295">
        <v>10.014699999999999</v>
      </c>
    </row>
    <row r="296" spans="1:2">
      <c r="A296">
        <f t="shared" si="4"/>
        <v>295</v>
      </c>
      <c r="B296">
        <v>9.9786199999999994</v>
      </c>
    </row>
    <row r="297" spans="1:2">
      <c r="A297">
        <f t="shared" si="4"/>
        <v>296</v>
      </c>
      <c r="B297">
        <v>9.9469200000000004</v>
      </c>
    </row>
    <row r="298" spans="1:2">
      <c r="A298">
        <f t="shared" si="4"/>
        <v>297</v>
      </c>
      <c r="B298">
        <v>9.9162099999999995</v>
      </c>
    </row>
    <row r="299" spans="1:2">
      <c r="A299">
        <f t="shared" si="4"/>
        <v>298</v>
      </c>
      <c r="B299">
        <v>9.8789800000000003</v>
      </c>
    </row>
    <row r="300" spans="1:2">
      <c r="A300">
        <f t="shared" si="4"/>
        <v>299</v>
      </c>
      <c r="B300">
        <v>9.8518299999999996</v>
      </c>
    </row>
    <row r="301" spans="1:2">
      <c r="A301">
        <f t="shared" si="4"/>
        <v>300</v>
      </c>
      <c r="B301">
        <v>9.8227700000000002</v>
      </c>
    </row>
    <row r="302" spans="1:2">
      <c r="A302">
        <f t="shared" si="4"/>
        <v>301</v>
      </c>
      <c r="B302">
        <v>9.7905599999999993</v>
      </c>
    </row>
    <row r="303" spans="1:2">
      <c r="A303">
        <f t="shared" si="4"/>
        <v>302</v>
      </c>
      <c r="B303">
        <v>9.7607800000000005</v>
      </c>
    </row>
    <row r="304" spans="1:2">
      <c r="A304">
        <f t="shared" si="4"/>
        <v>303</v>
      </c>
      <c r="B304">
        <v>9.7263000000000002</v>
      </c>
    </row>
    <row r="305" spans="1:2">
      <c r="A305">
        <f t="shared" si="4"/>
        <v>304</v>
      </c>
      <c r="B305">
        <v>9.7034300000000009</v>
      </c>
    </row>
    <row r="306" spans="1:2">
      <c r="A306">
        <f t="shared" si="4"/>
        <v>305</v>
      </c>
      <c r="B306">
        <v>9.6706900000000005</v>
      </c>
    </row>
    <row r="307" spans="1:2">
      <c r="A307">
        <f t="shared" si="4"/>
        <v>306</v>
      </c>
      <c r="B307">
        <v>9.6358300000000003</v>
      </c>
    </row>
    <row r="308" spans="1:2">
      <c r="A308">
        <f t="shared" si="4"/>
        <v>307</v>
      </c>
      <c r="B308">
        <v>9.6041699999999999</v>
      </c>
    </row>
    <row r="309" spans="1:2">
      <c r="A309">
        <f t="shared" si="4"/>
        <v>308</v>
      </c>
      <c r="B309">
        <v>9.57334</v>
      </c>
    </row>
    <row r="310" spans="1:2">
      <c r="A310">
        <f t="shared" si="4"/>
        <v>309</v>
      </c>
      <c r="B310">
        <v>9.5329599999999992</v>
      </c>
    </row>
    <row r="311" spans="1:2">
      <c r="A311">
        <f t="shared" si="4"/>
        <v>310</v>
      </c>
      <c r="B311">
        <v>9.49939</v>
      </c>
    </row>
    <row r="312" spans="1:2">
      <c r="A312">
        <f t="shared" si="4"/>
        <v>311</v>
      </c>
      <c r="B312">
        <v>9.4714100000000006</v>
      </c>
    </row>
    <row r="313" spans="1:2">
      <c r="A313">
        <f t="shared" si="4"/>
        <v>312</v>
      </c>
      <c r="B313">
        <v>9.4480799999999991</v>
      </c>
    </row>
    <row r="314" spans="1:2">
      <c r="A314">
        <f t="shared" si="4"/>
        <v>313</v>
      </c>
      <c r="B314">
        <v>9.4167500000000004</v>
      </c>
    </row>
    <row r="315" spans="1:2">
      <c r="A315">
        <f t="shared" si="4"/>
        <v>314</v>
      </c>
      <c r="B315">
        <v>9.3864999999999998</v>
      </c>
    </row>
    <row r="316" spans="1:2">
      <c r="A316">
        <f t="shared" si="4"/>
        <v>315</v>
      </c>
      <c r="B316">
        <v>9.3482099999999999</v>
      </c>
    </row>
    <row r="317" spans="1:2">
      <c r="A317">
        <f t="shared" si="4"/>
        <v>316</v>
      </c>
      <c r="B317">
        <v>9.3073099999999993</v>
      </c>
    </row>
    <row r="318" spans="1:2">
      <c r="A318">
        <f t="shared" si="4"/>
        <v>317</v>
      </c>
      <c r="B318">
        <v>9.2748100000000004</v>
      </c>
    </row>
    <row r="319" spans="1:2">
      <c r="A319">
        <f t="shared" si="4"/>
        <v>318</v>
      </c>
      <c r="B319">
        <v>9.2400300000000009</v>
      </c>
    </row>
    <row r="320" spans="1:2">
      <c r="A320">
        <f t="shared" si="4"/>
        <v>319</v>
      </c>
      <c r="B320">
        <v>9.2052899999999998</v>
      </c>
    </row>
    <row r="321" spans="1:2">
      <c r="A321">
        <f t="shared" si="4"/>
        <v>320</v>
      </c>
      <c r="B321">
        <v>9.1695100000000007</v>
      </c>
    </row>
    <row r="322" spans="1:2">
      <c r="A322">
        <f t="shared" ref="A322:A385" si="5">1+A321</f>
        <v>321</v>
      </c>
      <c r="B322">
        <v>9.1385299999999994</v>
      </c>
    </row>
    <row r="323" spans="1:2">
      <c r="A323">
        <f t="shared" si="5"/>
        <v>322</v>
      </c>
      <c r="B323">
        <v>9.1094200000000001</v>
      </c>
    </row>
    <row r="324" spans="1:2">
      <c r="A324">
        <f t="shared" si="5"/>
        <v>323</v>
      </c>
      <c r="B324">
        <v>9.0824300000000004</v>
      </c>
    </row>
    <row r="325" spans="1:2">
      <c r="A325">
        <f t="shared" si="5"/>
        <v>324</v>
      </c>
      <c r="B325">
        <v>9.0593800000000009</v>
      </c>
    </row>
    <row r="326" spans="1:2">
      <c r="A326">
        <f t="shared" si="5"/>
        <v>325</v>
      </c>
      <c r="B326">
        <v>9.0242900000000006</v>
      </c>
    </row>
    <row r="327" spans="1:2">
      <c r="A327">
        <f t="shared" si="5"/>
        <v>326</v>
      </c>
      <c r="B327">
        <v>8.9967699999999997</v>
      </c>
    </row>
    <row r="328" spans="1:2">
      <c r="A328">
        <f t="shared" si="5"/>
        <v>327</v>
      </c>
      <c r="B328">
        <v>8.9671400000000006</v>
      </c>
    </row>
    <row r="329" spans="1:2">
      <c r="A329">
        <f t="shared" si="5"/>
        <v>328</v>
      </c>
      <c r="B329">
        <v>8.9413</v>
      </c>
    </row>
    <row r="330" spans="1:2">
      <c r="A330">
        <f t="shared" si="5"/>
        <v>329</v>
      </c>
      <c r="B330">
        <v>8.9143500000000007</v>
      </c>
    </row>
    <row r="331" spans="1:2">
      <c r="A331">
        <f t="shared" si="5"/>
        <v>330</v>
      </c>
      <c r="B331">
        <v>8.8789899999999999</v>
      </c>
    </row>
    <row r="332" spans="1:2">
      <c r="A332">
        <f t="shared" si="5"/>
        <v>331</v>
      </c>
      <c r="B332">
        <v>8.8455300000000001</v>
      </c>
    </row>
    <row r="333" spans="1:2">
      <c r="A333">
        <f t="shared" si="5"/>
        <v>332</v>
      </c>
      <c r="B333">
        <v>8.8224</v>
      </c>
    </row>
    <row r="334" spans="1:2">
      <c r="A334">
        <f t="shared" si="5"/>
        <v>333</v>
      </c>
      <c r="B334">
        <v>8.7961200000000002</v>
      </c>
    </row>
    <row r="335" spans="1:2">
      <c r="A335">
        <f t="shared" si="5"/>
        <v>334</v>
      </c>
      <c r="B335">
        <v>8.7760599999999993</v>
      </c>
    </row>
    <row r="336" spans="1:2">
      <c r="A336">
        <f t="shared" si="5"/>
        <v>335</v>
      </c>
      <c r="B336">
        <v>8.75413</v>
      </c>
    </row>
    <row r="337" spans="1:2">
      <c r="A337">
        <f t="shared" si="5"/>
        <v>336</v>
      </c>
      <c r="B337">
        <v>8.7271099999999997</v>
      </c>
    </row>
    <row r="338" spans="1:2">
      <c r="A338">
        <f t="shared" si="5"/>
        <v>337</v>
      </c>
      <c r="B338">
        <v>8.6966199999999994</v>
      </c>
    </row>
    <row r="339" spans="1:2">
      <c r="A339">
        <f t="shared" si="5"/>
        <v>338</v>
      </c>
      <c r="B339">
        <v>8.67394</v>
      </c>
    </row>
    <row r="340" spans="1:2">
      <c r="A340">
        <f t="shared" si="5"/>
        <v>339</v>
      </c>
      <c r="B340">
        <v>8.6431500000000003</v>
      </c>
    </row>
    <row r="341" spans="1:2">
      <c r="A341">
        <f t="shared" si="5"/>
        <v>340</v>
      </c>
      <c r="B341">
        <v>8.6196199999999994</v>
      </c>
    </row>
    <row r="342" spans="1:2">
      <c r="A342">
        <f t="shared" si="5"/>
        <v>341</v>
      </c>
      <c r="B342">
        <v>8.5933799999999998</v>
      </c>
    </row>
    <row r="343" spans="1:2">
      <c r="A343">
        <f t="shared" si="5"/>
        <v>342</v>
      </c>
      <c r="B343">
        <v>8.57254</v>
      </c>
    </row>
    <row r="344" spans="1:2">
      <c r="A344">
        <f t="shared" si="5"/>
        <v>343</v>
      </c>
      <c r="B344">
        <v>8.5527999999999995</v>
      </c>
    </row>
    <row r="345" spans="1:2">
      <c r="A345">
        <f t="shared" si="5"/>
        <v>344</v>
      </c>
      <c r="B345">
        <v>8.5298599999999993</v>
      </c>
    </row>
    <row r="346" spans="1:2">
      <c r="A346">
        <f t="shared" si="5"/>
        <v>345</v>
      </c>
      <c r="B346">
        <v>8.5096799999999995</v>
      </c>
    </row>
    <row r="347" spans="1:2">
      <c r="A347">
        <f t="shared" si="5"/>
        <v>346</v>
      </c>
      <c r="B347">
        <v>8.4804899999999996</v>
      </c>
    </row>
    <row r="348" spans="1:2">
      <c r="A348">
        <f t="shared" si="5"/>
        <v>347</v>
      </c>
      <c r="B348">
        <v>8.4454700000000003</v>
      </c>
    </row>
    <row r="349" spans="1:2">
      <c r="A349">
        <f t="shared" si="5"/>
        <v>348</v>
      </c>
      <c r="B349">
        <v>8.4245900000000002</v>
      </c>
    </row>
    <row r="350" spans="1:2">
      <c r="A350">
        <f t="shared" si="5"/>
        <v>349</v>
      </c>
      <c r="B350">
        <v>8.4020499999999991</v>
      </c>
    </row>
    <row r="351" spans="1:2">
      <c r="A351">
        <f t="shared" si="5"/>
        <v>350</v>
      </c>
      <c r="B351">
        <v>8.3797499999999996</v>
      </c>
    </row>
    <row r="352" spans="1:2">
      <c r="A352">
        <f t="shared" si="5"/>
        <v>351</v>
      </c>
      <c r="B352">
        <v>8.3453499999999998</v>
      </c>
    </row>
    <row r="353" spans="1:2">
      <c r="A353">
        <f t="shared" si="5"/>
        <v>352</v>
      </c>
      <c r="B353">
        <v>8.3253199999999996</v>
      </c>
    </row>
    <row r="354" spans="1:2">
      <c r="A354">
        <f t="shared" si="5"/>
        <v>353</v>
      </c>
      <c r="B354">
        <v>8.2940299999999993</v>
      </c>
    </row>
    <row r="355" spans="1:2">
      <c r="A355">
        <f t="shared" si="5"/>
        <v>354</v>
      </c>
      <c r="B355">
        <v>8.2638499999999997</v>
      </c>
    </row>
    <row r="356" spans="1:2">
      <c r="A356">
        <f t="shared" si="5"/>
        <v>355</v>
      </c>
      <c r="B356">
        <v>8.2528400000000008</v>
      </c>
    </row>
    <row r="357" spans="1:2">
      <c r="A357">
        <f t="shared" si="5"/>
        <v>356</v>
      </c>
      <c r="B357">
        <v>8.2244700000000002</v>
      </c>
    </row>
    <row r="358" spans="1:2">
      <c r="A358">
        <f t="shared" si="5"/>
        <v>357</v>
      </c>
      <c r="B358">
        <v>8.1929300000000005</v>
      </c>
    </row>
    <row r="359" spans="1:2">
      <c r="A359">
        <f t="shared" si="5"/>
        <v>358</v>
      </c>
      <c r="B359">
        <v>8.1720400000000009</v>
      </c>
    </row>
    <row r="360" spans="1:2">
      <c r="A360">
        <f t="shared" si="5"/>
        <v>359</v>
      </c>
      <c r="B360">
        <v>8.1552799999999994</v>
      </c>
    </row>
    <row r="361" spans="1:2">
      <c r="A361">
        <f t="shared" si="5"/>
        <v>360</v>
      </c>
      <c r="B361">
        <v>8.1301199999999998</v>
      </c>
    </row>
    <row r="362" spans="1:2">
      <c r="A362">
        <f t="shared" si="5"/>
        <v>361</v>
      </c>
      <c r="B362">
        <v>8.11219</v>
      </c>
    </row>
    <row r="363" spans="1:2">
      <c r="A363">
        <f t="shared" si="5"/>
        <v>362</v>
      </c>
      <c r="B363">
        <v>8.0922999999999998</v>
      </c>
    </row>
    <row r="364" spans="1:2">
      <c r="A364">
        <f t="shared" si="5"/>
        <v>363</v>
      </c>
      <c r="B364">
        <v>8.0647000000000002</v>
      </c>
    </row>
    <row r="365" spans="1:2">
      <c r="A365">
        <f t="shared" si="5"/>
        <v>364</v>
      </c>
      <c r="B365">
        <v>8.0462699999999998</v>
      </c>
    </row>
    <row r="366" spans="1:2">
      <c r="A366">
        <f t="shared" si="5"/>
        <v>365</v>
      </c>
      <c r="B366">
        <v>8.0255899999999993</v>
      </c>
    </row>
    <row r="367" spans="1:2">
      <c r="A367">
        <f t="shared" si="5"/>
        <v>366</v>
      </c>
      <c r="B367">
        <v>8.0002200000000006</v>
      </c>
    </row>
    <row r="368" spans="1:2">
      <c r="A368">
        <f t="shared" si="5"/>
        <v>367</v>
      </c>
      <c r="B368">
        <v>7.9833299999999996</v>
      </c>
    </row>
    <row r="369" spans="1:2">
      <c r="A369">
        <f t="shared" si="5"/>
        <v>368</v>
      </c>
      <c r="B369">
        <v>7.9574199999999999</v>
      </c>
    </row>
    <row r="370" spans="1:2">
      <c r="A370">
        <f t="shared" si="5"/>
        <v>369</v>
      </c>
      <c r="B370">
        <v>7.9294599999999997</v>
      </c>
    </row>
    <row r="371" spans="1:2">
      <c r="A371">
        <f t="shared" si="5"/>
        <v>370</v>
      </c>
      <c r="B371">
        <v>7.9063100000000004</v>
      </c>
    </row>
    <row r="372" spans="1:2">
      <c r="A372">
        <f t="shared" si="5"/>
        <v>371</v>
      </c>
      <c r="B372">
        <v>7.8846499999999997</v>
      </c>
    </row>
    <row r="373" spans="1:2">
      <c r="A373">
        <f t="shared" si="5"/>
        <v>372</v>
      </c>
      <c r="B373">
        <v>7.8610800000000003</v>
      </c>
    </row>
    <row r="374" spans="1:2">
      <c r="A374">
        <f t="shared" si="5"/>
        <v>373</v>
      </c>
      <c r="B374">
        <v>7.8379599999999998</v>
      </c>
    </row>
    <row r="375" spans="1:2">
      <c r="A375">
        <f t="shared" si="5"/>
        <v>374</v>
      </c>
      <c r="B375">
        <v>7.8263999999999996</v>
      </c>
    </row>
    <row r="376" spans="1:2">
      <c r="A376">
        <f t="shared" si="5"/>
        <v>375</v>
      </c>
      <c r="B376">
        <v>7.8032300000000001</v>
      </c>
    </row>
    <row r="377" spans="1:2">
      <c r="A377">
        <f t="shared" si="5"/>
        <v>376</v>
      </c>
      <c r="B377">
        <v>7.7832600000000003</v>
      </c>
    </row>
    <row r="378" spans="1:2">
      <c r="A378">
        <f t="shared" si="5"/>
        <v>377</v>
      </c>
      <c r="B378">
        <v>7.7601100000000001</v>
      </c>
    </row>
    <row r="379" spans="1:2">
      <c r="A379">
        <f t="shared" si="5"/>
        <v>378</v>
      </c>
      <c r="B379">
        <v>7.7418399999999998</v>
      </c>
    </row>
    <row r="380" spans="1:2">
      <c r="A380">
        <f t="shared" si="5"/>
        <v>379</v>
      </c>
      <c r="B380">
        <v>7.7227899999999998</v>
      </c>
    </row>
    <row r="381" spans="1:2">
      <c r="A381">
        <f t="shared" si="5"/>
        <v>380</v>
      </c>
      <c r="B381">
        <v>7.6962200000000003</v>
      </c>
    </row>
    <row r="382" spans="1:2">
      <c r="A382">
        <f t="shared" si="5"/>
        <v>381</v>
      </c>
      <c r="B382">
        <v>7.6783099999999997</v>
      </c>
    </row>
    <row r="383" spans="1:2">
      <c r="A383">
        <f t="shared" si="5"/>
        <v>382</v>
      </c>
      <c r="B383">
        <v>7.6535900000000003</v>
      </c>
    </row>
    <row r="384" spans="1:2">
      <c r="A384">
        <f t="shared" si="5"/>
        <v>383</v>
      </c>
      <c r="B384">
        <v>7.6353</v>
      </c>
    </row>
    <row r="385" spans="1:2">
      <c r="A385">
        <f t="shared" si="5"/>
        <v>384</v>
      </c>
      <c r="B385">
        <v>7.6159499999999998</v>
      </c>
    </row>
    <row r="386" spans="1:2">
      <c r="A386">
        <f t="shared" ref="A386:A449" si="6">1+A385</f>
        <v>385</v>
      </c>
      <c r="B386">
        <v>7.5851800000000003</v>
      </c>
    </row>
    <row r="387" spans="1:2">
      <c r="A387">
        <f t="shared" si="6"/>
        <v>386</v>
      </c>
      <c r="B387">
        <v>7.5604399999999998</v>
      </c>
    </row>
    <row r="388" spans="1:2">
      <c r="A388">
        <f t="shared" si="6"/>
        <v>387</v>
      </c>
      <c r="B388">
        <v>7.5403700000000002</v>
      </c>
    </row>
    <row r="389" spans="1:2">
      <c r="A389">
        <f t="shared" si="6"/>
        <v>388</v>
      </c>
      <c r="B389">
        <v>7.5050499999999998</v>
      </c>
    </row>
    <row r="390" spans="1:2">
      <c r="A390">
        <f t="shared" si="6"/>
        <v>389</v>
      </c>
      <c r="B390">
        <v>7.4871499999999997</v>
      </c>
    </row>
    <row r="391" spans="1:2">
      <c r="A391">
        <f t="shared" si="6"/>
        <v>390</v>
      </c>
      <c r="B391">
        <v>7.4616499999999997</v>
      </c>
    </row>
    <row r="392" spans="1:2">
      <c r="A392">
        <f t="shared" si="6"/>
        <v>391</v>
      </c>
      <c r="B392">
        <v>7.4405999999999999</v>
      </c>
    </row>
    <row r="393" spans="1:2">
      <c r="A393">
        <f t="shared" si="6"/>
        <v>392</v>
      </c>
      <c r="B393">
        <v>7.4146999999999998</v>
      </c>
    </row>
    <row r="394" spans="1:2">
      <c r="A394">
        <f t="shared" si="6"/>
        <v>393</v>
      </c>
      <c r="B394">
        <v>7.3965500000000004</v>
      </c>
    </row>
    <row r="395" spans="1:2">
      <c r="A395">
        <f t="shared" si="6"/>
        <v>394</v>
      </c>
      <c r="B395">
        <v>7.3688599999999997</v>
      </c>
    </row>
    <row r="396" spans="1:2">
      <c r="A396">
        <f t="shared" si="6"/>
        <v>395</v>
      </c>
      <c r="B396">
        <v>7.3477499999999996</v>
      </c>
    </row>
    <row r="397" spans="1:2">
      <c r="A397">
        <f t="shared" si="6"/>
        <v>396</v>
      </c>
      <c r="B397">
        <v>7.3281999999999998</v>
      </c>
    </row>
    <row r="398" spans="1:2">
      <c r="A398">
        <f t="shared" si="6"/>
        <v>397</v>
      </c>
      <c r="B398">
        <v>7.30525</v>
      </c>
    </row>
    <row r="399" spans="1:2">
      <c r="A399">
        <f t="shared" si="6"/>
        <v>398</v>
      </c>
      <c r="B399">
        <v>7.2779699999999998</v>
      </c>
    </row>
    <row r="400" spans="1:2">
      <c r="A400">
        <f t="shared" si="6"/>
        <v>399</v>
      </c>
      <c r="B400">
        <v>7.2463899999999999</v>
      </c>
    </row>
    <row r="401" spans="1:2">
      <c r="A401">
        <f t="shared" si="6"/>
        <v>400</v>
      </c>
      <c r="B401">
        <v>7.2301700000000002</v>
      </c>
    </row>
    <row r="402" spans="1:2">
      <c r="A402">
        <f t="shared" si="6"/>
        <v>401</v>
      </c>
      <c r="B402">
        <v>7.2100900000000001</v>
      </c>
    </row>
    <row r="403" spans="1:2">
      <c r="A403">
        <f t="shared" si="6"/>
        <v>402</v>
      </c>
      <c r="B403">
        <v>7.1945899999999998</v>
      </c>
    </row>
    <row r="404" spans="1:2">
      <c r="A404">
        <f t="shared" si="6"/>
        <v>403</v>
      </c>
      <c r="B404">
        <v>7.1749499999999999</v>
      </c>
    </row>
    <row r="405" spans="1:2">
      <c r="A405">
        <f t="shared" si="6"/>
        <v>404</v>
      </c>
      <c r="B405">
        <v>7.1476899999999999</v>
      </c>
    </row>
    <row r="406" spans="1:2">
      <c r="A406">
        <f t="shared" si="6"/>
        <v>405</v>
      </c>
      <c r="B406">
        <v>7.1408500000000004</v>
      </c>
    </row>
    <row r="407" spans="1:2">
      <c r="A407">
        <f t="shared" si="6"/>
        <v>406</v>
      </c>
      <c r="B407">
        <v>7.1136699999999999</v>
      </c>
    </row>
    <row r="408" spans="1:2">
      <c r="A408">
        <f t="shared" si="6"/>
        <v>407</v>
      </c>
      <c r="B408">
        <v>7.0999800000000004</v>
      </c>
    </row>
    <row r="409" spans="1:2">
      <c r="A409">
        <f t="shared" si="6"/>
        <v>408</v>
      </c>
      <c r="B409">
        <v>7.0678799999999997</v>
      </c>
    </row>
    <row r="410" spans="1:2">
      <c r="A410">
        <f t="shared" si="6"/>
        <v>409</v>
      </c>
      <c r="B410">
        <v>7.0459100000000001</v>
      </c>
    </row>
    <row r="411" spans="1:2">
      <c r="A411">
        <f t="shared" si="6"/>
        <v>410</v>
      </c>
      <c r="B411">
        <v>7.0143000000000004</v>
      </c>
    </row>
    <row r="412" spans="1:2">
      <c r="A412">
        <f t="shared" si="6"/>
        <v>411</v>
      </c>
      <c r="B412">
        <v>6.9887300000000003</v>
      </c>
    </row>
    <row r="413" spans="1:2">
      <c r="A413">
        <f t="shared" si="6"/>
        <v>412</v>
      </c>
      <c r="B413">
        <v>6.9766399999999997</v>
      </c>
    </row>
    <row r="414" spans="1:2">
      <c r="A414">
        <f t="shared" si="6"/>
        <v>413</v>
      </c>
      <c r="B414">
        <v>6.95228</v>
      </c>
    </row>
    <row r="415" spans="1:2">
      <c r="A415">
        <f t="shared" si="6"/>
        <v>414</v>
      </c>
      <c r="B415">
        <v>6.9279500000000001</v>
      </c>
    </row>
    <row r="416" spans="1:2">
      <c r="A416">
        <f t="shared" si="6"/>
        <v>415</v>
      </c>
      <c r="B416">
        <v>6.9071600000000002</v>
      </c>
    </row>
    <row r="417" spans="1:2">
      <c r="A417">
        <f t="shared" si="6"/>
        <v>416</v>
      </c>
      <c r="B417">
        <v>6.8934199999999999</v>
      </c>
    </row>
    <row r="418" spans="1:2">
      <c r="A418">
        <f t="shared" si="6"/>
        <v>417</v>
      </c>
      <c r="B418">
        <v>6.8871700000000002</v>
      </c>
    </row>
    <row r="419" spans="1:2">
      <c r="A419">
        <f t="shared" si="6"/>
        <v>418</v>
      </c>
      <c r="B419">
        <v>6.87643</v>
      </c>
    </row>
    <row r="420" spans="1:2">
      <c r="A420">
        <f t="shared" si="6"/>
        <v>419</v>
      </c>
      <c r="B420">
        <v>6.8608599999999997</v>
      </c>
    </row>
    <row r="421" spans="1:2">
      <c r="A421">
        <f t="shared" si="6"/>
        <v>420</v>
      </c>
      <c r="B421">
        <v>6.84551</v>
      </c>
    </row>
    <row r="422" spans="1:2">
      <c r="A422">
        <f t="shared" si="6"/>
        <v>421</v>
      </c>
      <c r="B422">
        <v>6.82681</v>
      </c>
    </row>
    <row r="423" spans="1:2">
      <c r="A423">
        <f t="shared" si="6"/>
        <v>422</v>
      </c>
      <c r="B423">
        <v>6.8144900000000002</v>
      </c>
    </row>
    <row r="424" spans="1:2">
      <c r="A424">
        <f t="shared" si="6"/>
        <v>423</v>
      </c>
      <c r="B424">
        <v>6.7900600000000004</v>
      </c>
    </row>
    <row r="425" spans="1:2">
      <c r="A425">
        <f t="shared" si="6"/>
        <v>424</v>
      </c>
      <c r="B425">
        <v>6.7674399999999997</v>
      </c>
    </row>
    <row r="426" spans="1:2">
      <c r="A426">
        <f t="shared" si="6"/>
        <v>425</v>
      </c>
      <c r="B426">
        <v>6.7569900000000001</v>
      </c>
    </row>
    <row r="427" spans="1:2">
      <c r="A427">
        <f t="shared" si="6"/>
        <v>426</v>
      </c>
      <c r="B427">
        <v>6.7425899999999999</v>
      </c>
    </row>
    <row r="428" spans="1:2">
      <c r="A428">
        <f t="shared" si="6"/>
        <v>427</v>
      </c>
      <c r="B428">
        <v>6.7267400000000004</v>
      </c>
    </row>
    <row r="429" spans="1:2">
      <c r="A429">
        <f t="shared" si="6"/>
        <v>428</v>
      </c>
      <c r="B429">
        <v>6.7064599999999999</v>
      </c>
    </row>
    <row r="430" spans="1:2">
      <c r="A430">
        <f t="shared" si="6"/>
        <v>429</v>
      </c>
      <c r="B430">
        <v>6.6852999999999998</v>
      </c>
    </row>
    <row r="431" spans="1:2">
      <c r="A431">
        <f t="shared" si="6"/>
        <v>430</v>
      </c>
      <c r="B431">
        <v>6.6670299999999996</v>
      </c>
    </row>
    <row r="432" spans="1:2">
      <c r="A432">
        <f t="shared" si="6"/>
        <v>431</v>
      </c>
      <c r="B432">
        <v>6.6596500000000001</v>
      </c>
    </row>
    <row r="433" spans="1:2">
      <c r="A433">
        <f t="shared" si="6"/>
        <v>432</v>
      </c>
      <c r="B433">
        <v>6.6495800000000003</v>
      </c>
    </row>
    <row r="434" spans="1:2">
      <c r="A434">
        <f t="shared" si="6"/>
        <v>433</v>
      </c>
      <c r="B434">
        <v>6.6403999999999996</v>
      </c>
    </row>
    <row r="435" spans="1:2">
      <c r="A435">
        <f t="shared" si="6"/>
        <v>434</v>
      </c>
      <c r="B435">
        <v>6.6179199999999998</v>
      </c>
    </row>
    <row r="436" spans="1:2">
      <c r="A436">
        <f t="shared" si="6"/>
        <v>435</v>
      </c>
      <c r="B436">
        <v>6.6086099999999997</v>
      </c>
    </row>
    <row r="437" spans="1:2">
      <c r="A437">
        <f t="shared" si="6"/>
        <v>436</v>
      </c>
      <c r="B437">
        <v>6.6009599999999997</v>
      </c>
    </row>
    <row r="438" spans="1:2">
      <c r="A438">
        <f t="shared" si="6"/>
        <v>437</v>
      </c>
      <c r="B438">
        <v>6.57484</v>
      </c>
    </row>
    <row r="439" spans="1:2">
      <c r="A439">
        <f t="shared" si="6"/>
        <v>438</v>
      </c>
      <c r="B439">
        <v>6.5606999999999998</v>
      </c>
    </row>
    <row r="440" spans="1:2">
      <c r="A440">
        <f t="shared" si="6"/>
        <v>439</v>
      </c>
      <c r="B440">
        <v>6.5357599999999998</v>
      </c>
    </row>
    <row r="441" spans="1:2">
      <c r="A441">
        <f t="shared" si="6"/>
        <v>440</v>
      </c>
      <c r="B441">
        <v>6.5150899999999998</v>
      </c>
    </row>
    <row r="442" spans="1:2">
      <c r="A442">
        <f t="shared" si="6"/>
        <v>441</v>
      </c>
      <c r="B442">
        <v>6.5033799999999999</v>
      </c>
    </row>
    <row r="443" spans="1:2">
      <c r="A443">
        <f t="shared" si="6"/>
        <v>442</v>
      </c>
      <c r="B443">
        <v>6.4761699999999998</v>
      </c>
    </row>
    <row r="444" spans="1:2">
      <c r="A444">
        <f t="shared" si="6"/>
        <v>443</v>
      </c>
      <c r="B444">
        <v>6.4606000000000003</v>
      </c>
    </row>
    <row r="445" spans="1:2">
      <c r="A445">
        <f t="shared" si="6"/>
        <v>444</v>
      </c>
      <c r="B445">
        <v>6.4379499999999998</v>
      </c>
    </row>
    <row r="446" spans="1:2">
      <c r="A446">
        <f t="shared" si="6"/>
        <v>445</v>
      </c>
      <c r="B446">
        <v>6.4277300000000004</v>
      </c>
    </row>
    <row r="447" spans="1:2">
      <c r="A447">
        <f t="shared" si="6"/>
        <v>446</v>
      </c>
      <c r="B447">
        <v>6.4096599999999997</v>
      </c>
    </row>
    <row r="448" spans="1:2">
      <c r="A448">
        <f t="shared" si="6"/>
        <v>447</v>
      </c>
      <c r="B448">
        <v>6.4003500000000004</v>
      </c>
    </row>
    <row r="449" spans="1:2">
      <c r="A449">
        <f t="shared" si="6"/>
        <v>448</v>
      </c>
      <c r="B449">
        <v>6.3869800000000003</v>
      </c>
    </row>
    <row r="450" spans="1:2">
      <c r="A450">
        <f t="shared" ref="A450:A513" si="7">1+A449</f>
        <v>449</v>
      </c>
      <c r="B450">
        <v>6.3765099999999997</v>
      </c>
    </row>
    <row r="451" spans="1:2">
      <c r="A451">
        <f t="shared" si="7"/>
        <v>450</v>
      </c>
      <c r="B451">
        <v>6.3684700000000003</v>
      </c>
    </row>
    <row r="452" spans="1:2">
      <c r="A452">
        <f t="shared" si="7"/>
        <v>451</v>
      </c>
      <c r="B452">
        <v>6.3444399999999996</v>
      </c>
    </row>
    <row r="453" spans="1:2">
      <c r="A453">
        <f t="shared" si="7"/>
        <v>452</v>
      </c>
      <c r="B453">
        <v>6.3289</v>
      </c>
    </row>
    <row r="454" spans="1:2">
      <c r="A454">
        <f t="shared" si="7"/>
        <v>453</v>
      </c>
      <c r="B454">
        <v>6.30396</v>
      </c>
    </row>
    <row r="455" spans="1:2">
      <c r="A455">
        <f t="shared" si="7"/>
        <v>454</v>
      </c>
      <c r="B455">
        <v>6.28627</v>
      </c>
    </row>
    <row r="456" spans="1:2">
      <c r="A456">
        <f t="shared" si="7"/>
        <v>455</v>
      </c>
      <c r="B456">
        <v>6.2662500000000003</v>
      </c>
    </row>
    <row r="457" spans="1:2">
      <c r="A457">
        <f t="shared" si="7"/>
        <v>456</v>
      </c>
      <c r="B457">
        <v>6.2393900000000002</v>
      </c>
    </row>
    <row r="458" spans="1:2">
      <c r="A458">
        <f t="shared" si="7"/>
        <v>457</v>
      </c>
      <c r="B458">
        <v>6.2261199999999999</v>
      </c>
    </row>
    <row r="459" spans="1:2">
      <c r="A459">
        <f t="shared" si="7"/>
        <v>458</v>
      </c>
      <c r="B459">
        <v>6.2082100000000002</v>
      </c>
    </row>
    <row r="460" spans="1:2">
      <c r="A460">
        <f t="shared" si="7"/>
        <v>459</v>
      </c>
      <c r="B460">
        <v>6.1855599999999997</v>
      </c>
    </row>
    <row r="461" spans="1:2">
      <c r="A461">
        <f t="shared" si="7"/>
        <v>460</v>
      </c>
      <c r="B461">
        <v>6.18032</v>
      </c>
    </row>
    <row r="462" spans="1:2">
      <c r="A462">
        <f t="shared" si="7"/>
        <v>461</v>
      </c>
      <c r="B462">
        <v>6.1636100000000003</v>
      </c>
    </row>
    <row r="463" spans="1:2">
      <c r="A463">
        <f t="shared" si="7"/>
        <v>462</v>
      </c>
      <c r="B463">
        <v>6.1523199999999996</v>
      </c>
    </row>
    <row r="464" spans="1:2">
      <c r="A464">
        <f t="shared" si="7"/>
        <v>463</v>
      </c>
      <c r="B464">
        <v>6.1154999999999999</v>
      </c>
    </row>
    <row r="465" spans="1:2">
      <c r="A465">
        <f t="shared" si="7"/>
        <v>464</v>
      </c>
      <c r="B465">
        <v>6.11252</v>
      </c>
    </row>
    <row r="466" spans="1:2">
      <c r="A466">
        <f t="shared" si="7"/>
        <v>465</v>
      </c>
      <c r="B466">
        <v>6.0917000000000003</v>
      </c>
    </row>
    <row r="467" spans="1:2">
      <c r="A467">
        <f t="shared" si="7"/>
        <v>466</v>
      </c>
      <c r="B467">
        <v>6.0927499999999997</v>
      </c>
    </row>
    <row r="468" spans="1:2">
      <c r="A468">
        <f t="shared" si="7"/>
        <v>467</v>
      </c>
      <c r="B468">
        <v>6.0769200000000003</v>
      </c>
    </row>
    <row r="469" spans="1:2">
      <c r="A469">
        <f t="shared" si="7"/>
        <v>468</v>
      </c>
      <c r="B469">
        <v>6.0577199999999998</v>
      </c>
    </row>
    <row r="470" spans="1:2">
      <c r="A470">
        <f t="shared" si="7"/>
        <v>469</v>
      </c>
      <c r="B470">
        <v>6.04291</v>
      </c>
    </row>
    <row r="471" spans="1:2">
      <c r="A471">
        <f t="shared" si="7"/>
        <v>470</v>
      </c>
      <c r="B471">
        <v>6.0309200000000001</v>
      </c>
    </row>
    <row r="472" spans="1:2">
      <c r="A472">
        <f t="shared" si="7"/>
        <v>471</v>
      </c>
      <c r="B472">
        <v>6.0143199999999997</v>
      </c>
    </row>
    <row r="473" spans="1:2">
      <c r="A473">
        <f t="shared" si="7"/>
        <v>472</v>
      </c>
      <c r="B473">
        <v>6.0032100000000002</v>
      </c>
    </row>
    <row r="474" spans="1:2">
      <c r="A474">
        <f t="shared" si="7"/>
        <v>473</v>
      </c>
      <c r="B474">
        <v>5.9926399999999997</v>
      </c>
    </row>
    <row r="475" spans="1:2">
      <c r="A475">
        <f t="shared" si="7"/>
        <v>474</v>
      </c>
      <c r="B475">
        <v>5.9719300000000004</v>
      </c>
    </row>
    <row r="476" spans="1:2">
      <c r="A476">
        <f t="shared" si="7"/>
        <v>475</v>
      </c>
      <c r="B476">
        <v>5.9635499999999997</v>
      </c>
    </row>
    <row r="477" spans="1:2">
      <c r="A477">
        <f t="shared" si="7"/>
        <v>476</v>
      </c>
      <c r="B477">
        <v>5.9587399999999997</v>
      </c>
    </row>
    <row r="478" spans="1:2">
      <c r="A478">
        <f t="shared" si="7"/>
        <v>477</v>
      </c>
      <c r="B478">
        <v>5.9348799999999997</v>
      </c>
    </row>
    <row r="479" spans="1:2">
      <c r="A479">
        <f t="shared" si="7"/>
        <v>478</v>
      </c>
      <c r="B479">
        <v>5.9296899999999999</v>
      </c>
    </row>
    <row r="480" spans="1:2">
      <c r="A480">
        <f t="shared" si="7"/>
        <v>479</v>
      </c>
      <c r="B480">
        <v>5.9029999999999996</v>
      </c>
    </row>
    <row r="481" spans="1:2">
      <c r="A481">
        <f t="shared" si="7"/>
        <v>480</v>
      </c>
      <c r="B481">
        <v>5.87927</v>
      </c>
    </row>
    <row r="482" spans="1:2">
      <c r="A482">
        <f t="shared" si="7"/>
        <v>481</v>
      </c>
      <c r="B482">
        <v>5.8597599999999996</v>
      </c>
    </row>
    <row r="483" spans="1:2">
      <c r="A483">
        <f t="shared" si="7"/>
        <v>482</v>
      </c>
      <c r="B483">
        <v>5.8400299999999996</v>
      </c>
    </row>
    <row r="484" spans="1:2">
      <c r="A484">
        <f t="shared" si="7"/>
        <v>483</v>
      </c>
      <c r="B484">
        <v>5.8157800000000002</v>
      </c>
    </row>
    <row r="485" spans="1:2">
      <c r="A485">
        <f t="shared" si="7"/>
        <v>484</v>
      </c>
      <c r="B485">
        <v>5.8028700000000004</v>
      </c>
    </row>
    <row r="486" spans="1:2">
      <c r="A486">
        <f t="shared" si="7"/>
        <v>485</v>
      </c>
      <c r="B486">
        <v>5.7832299999999996</v>
      </c>
    </row>
    <row r="487" spans="1:2">
      <c r="A487">
        <f t="shared" si="7"/>
        <v>486</v>
      </c>
      <c r="B487">
        <v>5.7577999999999996</v>
      </c>
    </row>
    <row r="488" spans="1:2">
      <c r="A488">
        <f t="shared" si="7"/>
        <v>487</v>
      </c>
      <c r="B488">
        <v>5.7468300000000001</v>
      </c>
    </row>
    <row r="489" spans="1:2">
      <c r="A489">
        <f t="shared" si="7"/>
        <v>488</v>
      </c>
      <c r="B489">
        <v>5.7396599999999998</v>
      </c>
    </row>
    <row r="490" spans="1:2">
      <c r="A490">
        <f t="shared" si="7"/>
        <v>489</v>
      </c>
      <c r="B490">
        <v>5.7271700000000001</v>
      </c>
    </row>
    <row r="491" spans="1:2">
      <c r="A491">
        <f t="shared" si="7"/>
        <v>490</v>
      </c>
      <c r="B491">
        <v>5.7147300000000003</v>
      </c>
    </row>
    <row r="492" spans="1:2">
      <c r="A492">
        <f t="shared" si="7"/>
        <v>491</v>
      </c>
      <c r="B492">
        <v>5.7034500000000001</v>
      </c>
    </row>
    <row r="493" spans="1:2">
      <c r="A493">
        <f t="shared" si="7"/>
        <v>492</v>
      </c>
      <c r="B493">
        <v>5.6781199999999998</v>
      </c>
    </row>
    <row r="494" spans="1:2">
      <c r="A494">
        <f t="shared" si="7"/>
        <v>493</v>
      </c>
      <c r="B494">
        <v>5.6663300000000003</v>
      </c>
    </row>
    <row r="495" spans="1:2">
      <c r="A495">
        <f t="shared" si="7"/>
        <v>494</v>
      </c>
      <c r="B495">
        <v>5.6274499999999996</v>
      </c>
    </row>
    <row r="496" spans="1:2">
      <c r="A496">
        <f t="shared" si="7"/>
        <v>495</v>
      </c>
      <c r="B496">
        <v>5.6168399999999998</v>
      </c>
    </row>
    <row r="497" spans="1:2">
      <c r="A497">
        <f t="shared" si="7"/>
        <v>496</v>
      </c>
      <c r="B497">
        <v>5.6097099999999998</v>
      </c>
    </row>
    <row r="498" spans="1:2">
      <c r="A498">
        <f t="shared" si="7"/>
        <v>497</v>
      </c>
      <c r="B498">
        <v>5.5855499999999996</v>
      </c>
    </row>
    <row r="499" spans="1:2">
      <c r="A499">
        <f t="shared" si="7"/>
        <v>498</v>
      </c>
      <c r="B499">
        <v>5.5752699999999997</v>
      </c>
    </row>
    <row r="500" spans="1:2">
      <c r="A500">
        <f t="shared" si="7"/>
        <v>499</v>
      </c>
      <c r="B500">
        <v>5.5506500000000001</v>
      </c>
    </row>
    <row r="501" spans="1:2">
      <c r="A501">
        <f t="shared" si="7"/>
        <v>500</v>
      </c>
      <c r="B501">
        <v>5.5418099999999999</v>
      </c>
    </row>
    <row r="502" spans="1:2">
      <c r="A502">
        <f t="shared" si="7"/>
        <v>501</v>
      </c>
      <c r="B502">
        <v>5.5283699999999998</v>
      </c>
    </row>
    <row r="503" spans="1:2">
      <c r="A503">
        <f t="shared" si="7"/>
        <v>502</v>
      </c>
      <c r="B503">
        <v>5.5063000000000004</v>
      </c>
    </row>
    <row r="504" spans="1:2">
      <c r="A504">
        <f t="shared" si="7"/>
        <v>503</v>
      </c>
      <c r="B504">
        <v>5.4835799999999999</v>
      </c>
    </row>
    <row r="505" spans="1:2">
      <c r="A505">
        <f t="shared" si="7"/>
        <v>504</v>
      </c>
      <c r="B505">
        <v>5.4520099999999996</v>
      </c>
    </row>
    <row r="506" spans="1:2">
      <c r="A506">
        <f t="shared" si="7"/>
        <v>505</v>
      </c>
      <c r="B506">
        <v>5.43527</v>
      </c>
    </row>
    <row r="507" spans="1:2">
      <c r="A507">
        <f t="shared" si="7"/>
        <v>506</v>
      </c>
      <c r="B507">
        <v>5.3998999999999997</v>
      </c>
    </row>
    <row r="508" spans="1:2">
      <c r="A508">
        <f t="shared" si="7"/>
        <v>507</v>
      </c>
      <c r="B508">
        <v>5.3876099999999996</v>
      </c>
    </row>
    <row r="509" spans="1:2">
      <c r="A509">
        <f t="shared" si="7"/>
        <v>508</v>
      </c>
      <c r="B509">
        <v>5.3817399999999997</v>
      </c>
    </row>
    <row r="510" spans="1:2">
      <c r="A510">
        <f t="shared" si="7"/>
        <v>509</v>
      </c>
      <c r="B510">
        <v>5.3818299999999999</v>
      </c>
    </row>
    <row r="511" spans="1:2">
      <c r="A511">
        <f t="shared" si="7"/>
        <v>510</v>
      </c>
      <c r="B511">
        <v>5.3728499999999997</v>
      </c>
    </row>
    <row r="512" spans="1:2">
      <c r="A512">
        <f t="shared" si="7"/>
        <v>511</v>
      </c>
      <c r="B512">
        <v>5.3609099999999996</v>
      </c>
    </row>
    <row r="513" spans="1:2">
      <c r="A513">
        <f t="shared" si="7"/>
        <v>512</v>
      </c>
      <c r="B513">
        <v>5.3530499999999996</v>
      </c>
    </row>
    <row r="514" spans="1:2">
      <c r="A514">
        <f t="shared" ref="A514:A577" si="8">1+A513</f>
        <v>513</v>
      </c>
      <c r="B514">
        <v>5.3307500000000001</v>
      </c>
    </row>
    <row r="515" spans="1:2">
      <c r="A515">
        <f t="shared" si="8"/>
        <v>514</v>
      </c>
      <c r="B515">
        <v>5.3135599999999998</v>
      </c>
    </row>
    <row r="516" spans="1:2">
      <c r="A516">
        <f t="shared" si="8"/>
        <v>515</v>
      </c>
      <c r="B516">
        <v>5.3008800000000003</v>
      </c>
    </row>
    <row r="517" spans="1:2">
      <c r="A517">
        <f t="shared" si="8"/>
        <v>516</v>
      </c>
      <c r="B517">
        <v>5.2902800000000001</v>
      </c>
    </row>
    <row r="518" spans="1:2">
      <c r="A518">
        <f t="shared" si="8"/>
        <v>517</v>
      </c>
      <c r="B518">
        <v>5.2680800000000003</v>
      </c>
    </row>
    <row r="519" spans="1:2">
      <c r="A519">
        <f t="shared" si="8"/>
        <v>518</v>
      </c>
      <c r="B519">
        <v>5.2576599999999996</v>
      </c>
    </row>
    <row r="520" spans="1:2">
      <c r="A520">
        <f t="shared" si="8"/>
        <v>519</v>
      </c>
      <c r="B520">
        <v>5.2452500000000004</v>
      </c>
    </row>
    <row r="521" spans="1:2">
      <c r="A521">
        <f t="shared" si="8"/>
        <v>520</v>
      </c>
      <c r="B521">
        <v>5.2267299999999999</v>
      </c>
    </row>
    <row r="522" spans="1:2">
      <c r="A522">
        <f t="shared" si="8"/>
        <v>521</v>
      </c>
      <c r="B522">
        <v>5.21624</v>
      </c>
    </row>
    <row r="523" spans="1:2">
      <c r="A523">
        <f t="shared" si="8"/>
        <v>522</v>
      </c>
      <c r="B523">
        <v>5.1905999999999999</v>
      </c>
    </row>
    <row r="524" spans="1:2">
      <c r="A524">
        <f t="shared" si="8"/>
        <v>523</v>
      </c>
      <c r="B524">
        <v>5.1626700000000003</v>
      </c>
    </row>
    <row r="525" spans="1:2">
      <c r="A525">
        <f t="shared" si="8"/>
        <v>524</v>
      </c>
      <c r="B525">
        <v>5.1530800000000001</v>
      </c>
    </row>
    <row r="526" spans="1:2">
      <c r="A526">
        <f t="shared" si="8"/>
        <v>525</v>
      </c>
      <c r="B526">
        <v>5.1495199999999999</v>
      </c>
    </row>
    <row r="527" spans="1:2">
      <c r="A527">
        <f t="shared" si="8"/>
        <v>526</v>
      </c>
      <c r="B527">
        <v>5.1284000000000001</v>
      </c>
    </row>
    <row r="528" spans="1:2">
      <c r="A528">
        <f t="shared" si="8"/>
        <v>527</v>
      </c>
      <c r="B528">
        <v>5.1249799999999999</v>
      </c>
    </row>
    <row r="529" spans="1:2">
      <c r="A529">
        <f t="shared" si="8"/>
        <v>528</v>
      </c>
      <c r="B529">
        <v>5.1098800000000004</v>
      </c>
    </row>
    <row r="530" spans="1:2">
      <c r="A530">
        <f t="shared" si="8"/>
        <v>529</v>
      </c>
      <c r="B530">
        <v>5.09138</v>
      </c>
    </row>
    <row r="531" spans="1:2">
      <c r="A531">
        <f t="shared" si="8"/>
        <v>530</v>
      </c>
      <c r="B531">
        <v>5.0834099999999998</v>
      </c>
    </row>
    <row r="532" spans="1:2">
      <c r="A532">
        <f t="shared" si="8"/>
        <v>531</v>
      </c>
      <c r="B532">
        <v>5.0720000000000001</v>
      </c>
    </row>
    <row r="533" spans="1:2">
      <c r="A533">
        <f t="shared" si="8"/>
        <v>532</v>
      </c>
      <c r="B533">
        <v>5.0654700000000004</v>
      </c>
    </row>
    <row r="534" spans="1:2">
      <c r="A534">
        <f t="shared" si="8"/>
        <v>533</v>
      </c>
      <c r="B534">
        <v>5.0563200000000004</v>
      </c>
    </row>
    <row r="535" spans="1:2">
      <c r="A535">
        <f t="shared" si="8"/>
        <v>534</v>
      </c>
      <c r="B535">
        <v>5.0391700000000004</v>
      </c>
    </row>
    <row r="536" spans="1:2">
      <c r="A536">
        <f t="shared" si="8"/>
        <v>535</v>
      </c>
      <c r="B536">
        <v>5.0306899999999999</v>
      </c>
    </row>
    <row r="537" spans="1:2">
      <c r="A537">
        <f t="shared" si="8"/>
        <v>536</v>
      </c>
      <c r="B537">
        <v>5.0197900000000004</v>
      </c>
    </row>
    <row r="538" spans="1:2">
      <c r="A538">
        <f t="shared" si="8"/>
        <v>537</v>
      </c>
      <c r="B538">
        <v>5.0066199999999998</v>
      </c>
    </row>
    <row r="539" spans="1:2">
      <c r="A539">
        <f t="shared" si="8"/>
        <v>538</v>
      </c>
      <c r="B539">
        <v>5.00129</v>
      </c>
    </row>
    <row r="540" spans="1:2">
      <c r="A540">
        <f t="shared" si="8"/>
        <v>539</v>
      </c>
      <c r="B540">
        <v>4.9983500000000003</v>
      </c>
    </row>
    <row r="541" spans="1:2">
      <c r="A541">
        <f t="shared" si="8"/>
        <v>540</v>
      </c>
      <c r="B541">
        <v>4.9886499999999998</v>
      </c>
    </row>
    <row r="542" spans="1:2">
      <c r="A542">
        <f t="shared" si="8"/>
        <v>541</v>
      </c>
      <c r="B542">
        <v>4.9799499999999997</v>
      </c>
    </row>
    <row r="543" spans="1:2">
      <c r="A543">
        <f t="shared" si="8"/>
        <v>542</v>
      </c>
      <c r="B543">
        <v>4.9707400000000002</v>
      </c>
    </row>
    <row r="544" spans="1:2">
      <c r="A544">
        <f t="shared" si="8"/>
        <v>543</v>
      </c>
      <c r="B544">
        <v>4.95953</v>
      </c>
    </row>
    <row r="545" spans="1:2">
      <c r="A545">
        <f t="shared" si="8"/>
        <v>544</v>
      </c>
      <c r="B545">
        <v>4.9501099999999996</v>
      </c>
    </row>
    <row r="546" spans="1:2">
      <c r="A546">
        <f t="shared" si="8"/>
        <v>545</v>
      </c>
      <c r="B546">
        <v>4.9466999999999999</v>
      </c>
    </row>
    <row r="547" spans="1:2">
      <c r="A547">
        <f t="shared" si="8"/>
        <v>546</v>
      </c>
      <c r="B547">
        <v>4.92936</v>
      </c>
    </row>
    <row r="548" spans="1:2">
      <c r="A548">
        <f t="shared" si="8"/>
        <v>547</v>
      </c>
      <c r="B548">
        <v>4.9199099999999998</v>
      </c>
    </row>
    <row r="549" spans="1:2">
      <c r="A549">
        <f t="shared" si="8"/>
        <v>548</v>
      </c>
      <c r="B549">
        <v>4.9134000000000002</v>
      </c>
    </row>
    <row r="550" spans="1:2">
      <c r="A550">
        <f t="shared" si="8"/>
        <v>549</v>
      </c>
      <c r="B550">
        <v>4.9072899999999997</v>
      </c>
    </row>
    <row r="551" spans="1:2">
      <c r="A551">
        <f t="shared" si="8"/>
        <v>550</v>
      </c>
      <c r="B551">
        <v>4.8930899999999999</v>
      </c>
    </row>
    <row r="552" spans="1:2">
      <c r="A552">
        <f t="shared" si="8"/>
        <v>551</v>
      </c>
      <c r="B552">
        <v>4.8850800000000003</v>
      </c>
    </row>
    <row r="553" spans="1:2">
      <c r="A553">
        <f t="shared" si="8"/>
        <v>552</v>
      </c>
      <c r="B553">
        <v>4.8709199999999999</v>
      </c>
    </row>
    <row r="554" spans="1:2">
      <c r="A554">
        <f t="shared" si="8"/>
        <v>553</v>
      </c>
      <c r="B554">
        <v>4.8698499999999996</v>
      </c>
    </row>
    <row r="555" spans="1:2">
      <c r="A555">
        <f t="shared" si="8"/>
        <v>554</v>
      </c>
      <c r="B555">
        <v>4.8431300000000004</v>
      </c>
    </row>
    <row r="556" spans="1:2">
      <c r="A556">
        <f t="shared" si="8"/>
        <v>555</v>
      </c>
      <c r="B556">
        <v>4.8361799999999997</v>
      </c>
    </row>
    <row r="557" spans="1:2">
      <c r="A557">
        <f t="shared" si="8"/>
        <v>556</v>
      </c>
      <c r="B557">
        <v>4.8337899999999996</v>
      </c>
    </row>
    <row r="558" spans="1:2">
      <c r="A558">
        <f t="shared" si="8"/>
        <v>557</v>
      </c>
      <c r="B558">
        <v>4.8242500000000001</v>
      </c>
    </row>
    <row r="559" spans="1:2">
      <c r="A559">
        <f t="shared" si="8"/>
        <v>558</v>
      </c>
      <c r="B559">
        <v>4.8071000000000002</v>
      </c>
    </row>
    <row r="560" spans="1:2">
      <c r="A560">
        <f t="shared" si="8"/>
        <v>559</v>
      </c>
      <c r="B560">
        <v>4.7877299999999998</v>
      </c>
    </row>
    <row r="561" spans="1:2">
      <c r="A561">
        <f t="shared" si="8"/>
        <v>560</v>
      </c>
      <c r="B561">
        <v>4.7618400000000003</v>
      </c>
    </row>
    <row r="562" spans="1:2">
      <c r="A562">
        <f t="shared" si="8"/>
        <v>561</v>
      </c>
      <c r="B562">
        <v>4.7444699999999997</v>
      </c>
    </row>
    <row r="563" spans="1:2">
      <c r="A563">
        <f t="shared" si="8"/>
        <v>562</v>
      </c>
      <c r="B563">
        <v>4.7255399999999996</v>
      </c>
    </row>
    <row r="564" spans="1:2">
      <c r="A564">
        <f t="shared" si="8"/>
        <v>563</v>
      </c>
      <c r="B564">
        <v>4.7102899999999996</v>
      </c>
    </row>
    <row r="565" spans="1:2">
      <c r="A565">
        <f t="shared" si="8"/>
        <v>564</v>
      </c>
      <c r="B565">
        <v>4.6946099999999999</v>
      </c>
    </row>
    <row r="566" spans="1:2">
      <c r="A566">
        <f t="shared" si="8"/>
        <v>565</v>
      </c>
      <c r="B566">
        <v>4.6853100000000003</v>
      </c>
    </row>
    <row r="567" spans="1:2">
      <c r="A567">
        <f t="shared" si="8"/>
        <v>566</v>
      </c>
      <c r="B567">
        <v>4.6703299999999999</v>
      </c>
    </row>
    <row r="568" spans="1:2">
      <c r="A568">
        <f t="shared" si="8"/>
        <v>567</v>
      </c>
      <c r="B568">
        <v>4.6614800000000001</v>
      </c>
    </row>
    <row r="569" spans="1:2">
      <c r="A569">
        <f t="shared" si="8"/>
        <v>568</v>
      </c>
      <c r="B569">
        <v>4.65015</v>
      </c>
    </row>
    <row r="570" spans="1:2">
      <c r="A570">
        <f t="shared" si="8"/>
        <v>569</v>
      </c>
      <c r="B570">
        <v>4.6327299999999996</v>
      </c>
    </row>
    <row r="571" spans="1:2">
      <c r="A571">
        <f t="shared" si="8"/>
        <v>570</v>
      </c>
      <c r="B571">
        <v>4.6285699999999999</v>
      </c>
    </row>
    <row r="572" spans="1:2">
      <c r="A572">
        <f t="shared" si="8"/>
        <v>571</v>
      </c>
      <c r="B572">
        <v>4.6199599999999998</v>
      </c>
    </row>
    <row r="573" spans="1:2">
      <c r="A573">
        <f t="shared" si="8"/>
        <v>572</v>
      </c>
      <c r="B573">
        <v>4.6048099999999996</v>
      </c>
    </row>
    <row r="574" spans="1:2">
      <c r="A574">
        <f t="shared" si="8"/>
        <v>573</v>
      </c>
      <c r="B574">
        <v>4.5902900000000004</v>
      </c>
    </row>
    <row r="575" spans="1:2">
      <c r="A575">
        <f t="shared" si="8"/>
        <v>574</v>
      </c>
      <c r="B575">
        <v>4.5689500000000001</v>
      </c>
    </row>
    <row r="576" spans="1:2">
      <c r="A576">
        <f t="shared" si="8"/>
        <v>575</v>
      </c>
      <c r="B576">
        <v>4.5644499999999999</v>
      </c>
    </row>
    <row r="577" spans="1:2">
      <c r="A577">
        <f t="shared" si="8"/>
        <v>576</v>
      </c>
      <c r="B577">
        <v>4.56602</v>
      </c>
    </row>
    <row r="578" spans="1:2">
      <c r="A578">
        <f t="shared" ref="A578:A641" si="9">1+A577</f>
        <v>577</v>
      </c>
      <c r="B578">
        <v>4.5688899999999997</v>
      </c>
    </row>
    <row r="579" spans="1:2">
      <c r="A579">
        <f t="shared" si="9"/>
        <v>578</v>
      </c>
      <c r="B579">
        <v>4.5559599999999998</v>
      </c>
    </row>
    <row r="580" spans="1:2">
      <c r="A580">
        <f t="shared" si="9"/>
        <v>579</v>
      </c>
      <c r="B580">
        <v>4.5448399999999998</v>
      </c>
    </row>
    <row r="581" spans="1:2">
      <c r="A581">
        <f t="shared" si="9"/>
        <v>580</v>
      </c>
      <c r="B581">
        <v>4.5377599999999996</v>
      </c>
    </row>
    <row r="582" spans="1:2">
      <c r="A582">
        <f t="shared" si="9"/>
        <v>581</v>
      </c>
      <c r="B582">
        <v>4.5215699999999996</v>
      </c>
    </row>
    <row r="583" spans="1:2">
      <c r="A583">
        <f t="shared" si="9"/>
        <v>582</v>
      </c>
      <c r="B583">
        <v>4.5078899999999997</v>
      </c>
    </row>
    <row r="584" spans="1:2">
      <c r="A584">
        <f t="shared" si="9"/>
        <v>583</v>
      </c>
      <c r="B584">
        <v>4.4909100000000004</v>
      </c>
    </row>
    <row r="585" spans="1:2">
      <c r="A585">
        <f t="shared" si="9"/>
        <v>584</v>
      </c>
      <c r="B585">
        <v>4.4830300000000003</v>
      </c>
    </row>
    <row r="586" spans="1:2">
      <c r="A586">
        <f t="shared" si="9"/>
        <v>585</v>
      </c>
      <c r="B586">
        <v>4.4722099999999996</v>
      </c>
    </row>
    <row r="587" spans="1:2">
      <c r="A587">
        <f t="shared" si="9"/>
        <v>586</v>
      </c>
      <c r="B587">
        <v>4.4610399999999997</v>
      </c>
    </row>
    <row r="588" spans="1:2">
      <c r="A588">
        <f t="shared" si="9"/>
        <v>587</v>
      </c>
      <c r="B588">
        <v>4.4481000000000002</v>
      </c>
    </row>
    <row r="589" spans="1:2">
      <c r="A589">
        <f t="shared" si="9"/>
        <v>588</v>
      </c>
      <c r="B589">
        <v>4.4422100000000002</v>
      </c>
    </row>
    <row r="590" spans="1:2">
      <c r="A590">
        <f t="shared" si="9"/>
        <v>589</v>
      </c>
      <c r="B590">
        <v>4.4335800000000001</v>
      </c>
    </row>
    <row r="591" spans="1:2">
      <c r="A591">
        <f t="shared" si="9"/>
        <v>590</v>
      </c>
      <c r="B591">
        <v>4.4248099999999999</v>
      </c>
    </row>
    <row r="592" spans="1:2">
      <c r="A592">
        <f t="shared" si="9"/>
        <v>591</v>
      </c>
      <c r="B592">
        <v>4.4096000000000002</v>
      </c>
    </row>
    <row r="593" spans="1:2">
      <c r="A593">
        <f t="shared" si="9"/>
        <v>592</v>
      </c>
      <c r="B593">
        <v>4.39506</v>
      </c>
    </row>
    <row r="594" spans="1:2">
      <c r="A594">
        <f t="shared" si="9"/>
        <v>593</v>
      </c>
      <c r="B594">
        <v>4.3981300000000001</v>
      </c>
    </row>
    <row r="595" spans="1:2">
      <c r="A595">
        <f t="shared" si="9"/>
        <v>594</v>
      </c>
      <c r="B595">
        <v>4.37622</v>
      </c>
    </row>
    <row r="596" spans="1:2">
      <c r="A596">
        <f t="shared" si="9"/>
        <v>595</v>
      </c>
      <c r="B596">
        <v>4.3610699999999998</v>
      </c>
    </row>
    <row r="597" spans="1:2">
      <c r="A597">
        <f t="shared" si="9"/>
        <v>596</v>
      </c>
      <c r="B597">
        <v>4.3527699999999996</v>
      </c>
    </row>
    <row r="598" spans="1:2">
      <c r="A598">
        <f t="shared" si="9"/>
        <v>597</v>
      </c>
      <c r="B598">
        <v>4.3467399999999996</v>
      </c>
    </row>
    <row r="599" spans="1:2">
      <c r="A599">
        <f t="shared" si="9"/>
        <v>598</v>
      </c>
      <c r="B599">
        <v>4.3460799999999997</v>
      </c>
    </row>
    <row r="600" spans="1:2">
      <c r="A600">
        <f t="shared" si="9"/>
        <v>599</v>
      </c>
      <c r="B600">
        <v>4.3303000000000003</v>
      </c>
    </row>
    <row r="601" spans="1:2">
      <c r="A601">
        <f t="shared" si="9"/>
        <v>600</v>
      </c>
      <c r="B601">
        <v>4.33908</v>
      </c>
    </row>
    <row r="602" spans="1:2">
      <c r="A602">
        <f t="shared" si="9"/>
        <v>601</v>
      </c>
      <c r="B602">
        <v>4.3367500000000003</v>
      </c>
    </row>
    <row r="603" spans="1:2">
      <c r="A603">
        <f t="shared" si="9"/>
        <v>602</v>
      </c>
      <c r="B603">
        <v>4.3288000000000002</v>
      </c>
    </row>
    <row r="604" spans="1:2">
      <c r="A604">
        <f t="shared" si="9"/>
        <v>603</v>
      </c>
      <c r="B604">
        <v>4.3126100000000003</v>
      </c>
    </row>
    <row r="605" spans="1:2">
      <c r="A605">
        <f t="shared" si="9"/>
        <v>604</v>
      </c>
      <c r="B605">
        <v>4.3117299999999998</v>
      </c>
    </row>
    <row r="606" spans="1:2">
      <c r="A606">
        <f t="shared" si="9"/>
        <v>605</v>
      </c>
      <c r="B606">
        <v>4.27881</v>
      </c>
    </row>
    <row r="607" spans="1:2">
      <c r="A607">
        <f t="shared" si="9"/>
        <v>606</v>
      </c>
      <c r="B607">
        <v>4.2767200000000001</v>
      </c>
    </row>
    <row r="608" spans="1:2">
      <c r="A608">
        <f t="shared" si="9"/>
        <v>607</v>
      </c>
      <c r="B608">
        <v>4.2584299999999997</v>
      </c>
    </row>
    <row r="609" spans="1:2">
      <c r="A609">
        <f t="shared" si="9"/>
        <v>608</v>
      </c>
      <c r="B609">
        <v>4.2528699999999997</v>
      </c>
    </row>
    <row r="610" spans="1:2">
      <c r="A610">
        <f t="shared" si="9"/>
        <v>609</v>
      </c>
      <c r="B610">
        <v>4.23543</v>
      </c>
    </row>
    <row r="611" spans="1:2">
      <c r="A611">
        <f t="shared" si="9"/>
        <v>610</v>
      </c>
      <c r="B611">
        <v>4.2289099999999999</v>
      </c>
    </row>
    <row r="612" spans="1:2">
      <c r="A612">
        <f t="shared" si="9"/>
        <v>611</v>
      </c>
      <c r="B612">
        <v>4.2226900000000001</v>
      </c>
    </row>
    <row r="613" spans="1:2">
      <c r="A613">
        <f t="shared" si="9"/>
        <v>612</v>
      </c>
      <c r="B613">
        <v>4.2140700000000004</v>
      </c>
    </row>
    <row r="614" spans="1:2">
      <c r="A614">
        <f t="shared" si="9"/>
        <v>613</v>
      </c>
      <c r="B614">
        <v>4.19468</v>
      </c>
    </row>
    <row r="615" spans="1:2">
      <c r="A615">
        <f t="shared" si="9"/>
        <v>614</v>
      </c>
      <c r="B615">
        <v>4.18675</v>
      </c>
    </row>
    <row r="616" spans="1:2">
      <c r="A616">
        <f t="shared" si="9"/>
        <v>615</v>
      </c>
      <c r="B616">
        <v>4.17788</v>
      </c>
    </row>
    <row r="617" spans="1:2">
      <c r="A617">
        <f t="shared" si="9"/>
        <v>616</v>
      </c>
      <c r="B617">
        <v>4.1692099999999996</v>
      </c>
    </row>
    <row r="618" spans="1:2">
      <c r="A618">
        <f t="shared" si="9"/>
        <v>617</v>
      </c>
      <c r="B618">
        <v>4.1579699999999997</v>
      </c>
    </row>
    <row r="619" spans="1:2">
      <c r="A619">
        <f t="shared" si="9"/>
        <v>618</v>
      </c>
      <c r="B619">
        <v>4.1599500000000003</v>
      </c>
    </row>
    <row r="620" spans="1:2">
      <c r="A620">
        <f t="shared" si="9"/>
        <v>619</v>
      </c>
      <c r="B620">
        <v>4.1641500000000002</v>
      </c>
    </row>
    <row r="621" spans="1:2">
      <c r="A621">
        <f t="shared" si="9"/>
        <v>620</v>
      </c>
      <c r="B621">
        <v>4.1537100000000002</v>
      </c>
    </row>
    <row r="622" spans="1:2">
      <c r="A622">
        <f t="shared" si="9"/>
        <v>621</v>
      </c>
      <c r="B622">
        <v>4.1499699999999997</v>
      </c>
    </row>
    <row r="623" spans="1:2">
      <c r="A623">
        <f t="shared" si="9"/>
        <v>622</v>
      </c>
      <c r="B623">
        <v>4.1379599999999996</v>
      </c>
    </row>
    <row r="624" spans="1:2">
      <c r="A624">
        <f t="shared" si="9"/>
        <v>623</v>
      </c>
      <c r="B624">
        <v>4.1217800000000002</v>
      </c>
    </row>
    <row r="625" spans="1:2">
      <c r="A625">
        <f t="shared" si="9"/>
        <v>624</v>
      </c>
      <c r="B625">
        <v>4.1182100000000004</v>
      </c>
    </row>
    <row r="626" spans="1:2">
      <c r="A626">
        <f t="shared" si="9"/>
        <v>625</v>
      </c>
      <c r="B626">
        <v>4.1036299999999999</v>
      </c>
    </row>
    <row r="627" spans="1:2">
      <c r="A627">
        <f t="shared" si="9"/>
        <v>626</v>
      </c>
      <c r="B627">
        <v>4.0937099999999997</v>
      </c>
    </row>
    <row r="628" spans="1:2">
      <c r="A628">
        <f t="shared" si="9"/>
        <v>627</v>
      </c>
      <c r="B628">
        <v>4.0729600000000001</v>
      </c>
    </row>
    <row r="629" spans="1:2">
      <c r="A629">
        <f t="shared" si="9"/>
        <v>628</v>
      </c>
      <c r="B629">
        <v>4.0632999999999999</v>
      </c>
    </row>
    <row r="630" spans="1:2">
      <c r="A630">
        <f t="shared" si="9"/>
        <v>629</v>
      </c>
      <c r="B630">
        <v>4.0495099999999997</v>
      </c>
    </row>
    <row r="631" spans="1:2">
      <c r="A631">
        <f t="shared" si="9"/>
        <v>630</v>
      </c>
      <c r="B631">
        <v>4.0345000000000004</v>
      </c>
    </row>
    <row r="632" spans="1:2">
      <c r="A632">
        <f t="shared" si="9"/>
        <v>631</v>
      </c>
      <c r="B632">
        <v>4.0240900000000002</v>
      </c>
    </row>
    <row r="633" spans="1:2">
      <c r="A633">
        <f t="shared" si="9"/>
        <v>632</v>
      </c>
      <c r="B633">
        <v>4.0181300000000002</v>
      </c>
    </row>
    <row r="634" spans="1:2">
      <c r="A634">
        <f t="shared" si="9"/>
        <v>633</v>
      </c>
      <c r="B634">
        <v>4.0072799999999997</v>
      </c>
    </row>
    <row r="635" spans="1:2">
      <c r="A635">
        <f t="shared" si="9"/>
        <v>634</v>
      </c>
      <c r="B635">
        <v>3.9832200000000002</v>
      </c>
    </row>
    <row r="636" spans="1:2">
      <c r="A636">
        <f t="shared" si="9"/>
        <v>635</v>
      </c>
      <c r="B636">
        <v>3.9753599999999998</v>
      </c>
    </row>
    <row r="637" spans="1:2">
      <c r="A637">
        <f t="shared" si="9"/>
        <v>636</v>
      </c>
      <c r="B637">
        <v>3.9558200000000001</v>
      </c>
    </row>
    <row r="638" spans="1:2">
      <c r="A638">
        <f t="shared" si="9"/>
        <v>637</v>
      </c>
      <c r="B638">
        <v>3.94252</v>
      </c>
    </row>
    <row r="639" spans="1:2">
      <c r="A639">
        <f t="shared" si="9"/>
        <v>638</v>
      </c>
      <c r="B639">
        <v>3.93845</v>
      </c>
    </row>
    <row r="640" spans="1:2">
      <c r="A640">
        <f t="shared" si="9"/>
        <v>639</v>
      </c>
      <c r="B640">
        <v>3.9423300000000001</v>
      </c>
    </row>
    <row r="641" spans="1:2">
      <c r="A641">
        <f t="shared" si="9"/>
        <v>640</v>
      </c>
      <c r="B641">
        <v>3.9362699999999999</v>
      </c>
    </row>
    <row r="642" spans="1:2">
      <c r="A642">
        <f t="shared" ref="A642:A705" si="10">1+A641</f>
        <v>641</v>
      </c>
      <c r="B642">
        <v>3.93215</v>
      </c>
    </row>
    <row r="643" spans="1:2">
      <c r="A643">
        <f t="shared" si="10"/>
        <v>642</v>
      </c>
      <c r="B643">
        <v>3.9121899999999998</v>
      </c>
    </row>
    <row r="644" spans="1:2">
      <c r="A644">
        <f t="shared" si="10"/>
        <v>643</v>
      </c>
      <c r="B644">
        <v>3.9139200000000001</v>
      </c>
    </row>
    <row r="645" spans="1:2">
      <c r="A645">
        <f t="shared" si="10"/>
        <v>644</v>
      </c>
      <c r="B645">
        <v>3.8860800000000002</v>
      </c>
    </row>
    <row r="646" spans="1:2">
      <c r="A646">
        <f t="shared" si="10"/>
        <v>645</v>
      </c>
      <c r="B646">
        <v>3.8710499999999999</v>
      </c>
    </row>
    <row r="647" spans="1:2">
      <c r="A647">
        <f t="shared" si="10"/>
        <v>646</v>
      </c>
      <c r="B647">
        <v>3.8659500000000002</v>
      </c>
    </row>
    <row r="648" spans="1:2">
      <c r="A648">
        <f t="shared" si="10"/>
        <v>647</v>
      </c>
      <c r="B648">
        <v>3.8649499999999999</v>
      </c>
    </row>
    <row r="649" spans="1:2">
      <c r="A649">
        <f t="shared" si="10"/>
        <v>648</v>
      </c>
      <c r="B649">
        <v>3.8676400000000002</v>
      </c>
    </row>
    <row r="650" spans="1:2">
      <c r="A650">
        <f t="shared" si="10"/>
        <v>649</v>
      </c>
      <c r="B650">
        <v>3.8550499999999999</v>
      </c>
    </row>
    <row r="651" spans="1:2">
      <c r="A651">
        <f t="shared" si="10"/>
        <v>650</v>
      </c>
      <c r="B651">
        <v>3.8544100000000001</v>
      </c>
    </row>
    <row r="652" spans="1:2">
      <c r="A652">
        <f t="shared" si="10"/>
        <v>651</v>
      </c>
      <c r="B652">
        <v>3.8527200000000001</v>
      </c>
    </row>
    <row r="653" spans="1:2">
      <c r="A653">
        <f t="shared" si="10"/>
        <v>652</v>
      </c>
      <c r="B653">
        <v>3.8417500000000002</v>
      </c>
    </row>
    <row r="654" spans="1:2">
      <c r="A654">
        <f t="shared" si="10"/>
        <v>653</v>
      </c>
      <c r="B654">
        <v>3.83711</v>
      </c>
    </row>
    <row r="655" spans="1:2">
      <c r="A655">
        <f t="shared" si="10"/>
        <v>654</v>
      </c>
      <c r="B655">
        <v>3.8170899999999999</v>
      </c>
    </row>
    <row r="656" spans="1:2">
      <c r="A656">
        <f t="shared" si="10"/>
        <v>655</v>
      </c>
      <c r="B656">
        <v>3.8052600000000001</v>
      </c>
    </row>
    <row r="657" spans="1:2">
      <c r="A657">
        <f t="shared" si="10"/>
        <v>656</v>
      </c>
      <c r="B657">
        <v>3.8033999999999999</v>
      </c>
    </row>
    <row r="658" spans="1:2">
      <c r="A658">
        <f t="shared" si="10"/>
        <v>657</v>
      </c>
      <c r="B658">
        <v>3.8058900000000002</v>
      </c>
    </row>
    <row r="659" spans="1:2">
      <c r="A659">
        <f t="shared" si="10"/>
        <v>658</v>
      </c>
      <c r="B659">
        <v>3.79189</v>
      </c>
    </row>
    <row r="660" spans="1:2">
      <c r="A660">
        <f t="shared" si="10"/>
        <v>659</v>
      </c>
      <c r="B660">
        <v>3.7770000000000001</v>
      </c>
    </row>
    <row r="661" spans="1:2">
      <c r="A661">
        <f t="shared" si="10"/>
        <v>660</v>
      </c>
      <c r="B661">
        <v>3.7642699999999998</v>
      </c>
    </row>
    <row r="662" spans="1:2">
      <c r="A662">
        <f t="shared" si="10"/>
        <v>661</v>
      </c>
      <c r="B662">
        <v>3.75238</v>
      </c>
    </row>
    <row r="663" spans="1:2">
      <c r="A663">
        <f t="shared" si="10"/>
        <v>662</v>
      </c>
      <c r="B663">
        <v>3.7288600000000001</v>
      </c>
    </row>
    <row r="664" spans="1:2">
      <c r="A664">
        <f t="shared" si="10"/>
        <v>663</v>
      </c>
      <c r="B664">
        <v>3.7239499999999999</v>
      </c>
    </row>
    <row r="665" spans="1:2">
      <c r="A665">
        <f t="shared" si="10"/>
        <v>664</v>
      </c>
      <c r="B665">
        <v>3.7175199999999999</v>
      </c>
    </row>
    <row r="666" spans="1:2">
      <c r="A666">
        <f t="shared" si="10"/>
        <v>665</v>
      </c>
      <c r="B666">
        <v>3.7078199999999999</v>
      </c>
    </row>
    <row r="667" spans="1:2">
      <c r="A667">
        <f t="shared" si="10"/>
        <v>666</v>
      </c>
      <c r="B667">
        <v>3.6847699999999999</v>
      </c>
    </row>
    <row r="668" spans="1:2">
      <c r="A668">
        <f t="shared" si="10"/>
        <v>667</v>
      </c>
      <c r="B668">
        <v>3.67293</v>
      </c>
    </row>
    <row r="669" spans="1:2">
      <c r="A669">
        <f t="shared" si="10"/>
        <v>668</v>
      </c>
      <c r="B669">
        <v>3.6747700000000001</v>
      </c>
    </row>
    <row r="670" spans="1:2">
      <c r="A670">
        <f t="shared" si="10"/>
        <v>669</v>
      </c>
      <c r="B670">
        <v>3.66248</v>
      </c>
    </row>
    <row r="671" spans="1:2">
      <c r="A671">
        <f t="shared" si="10"/>
        <v>670</v>
      </c>
      <c r="B671">
        <v>3.6452</v>
      </c>
    </row>
    <row r="672" spans="1:2">
      <c r="A672">
        <f t="shared" si="10"/>
        <v>671</v>
      </c>
      <c r="B672">
        <v>3.6126399999999999</v>
      </c>
    </row>
    <row r="673" spans="1:2">
      <c r="A673">
        <f t="shared" si="10"/>
        <v>672</v>
      </c>
      <c r="B673">
        <v>3.6134300000000001</v>
      </c>
    </row>
    <row r="674" spans="1:2">
      <c r="A674">
        <f t="shared" si="10"/>
        <v>673</v>
      </c>
      <c r="B674">
        <v>3.6027900000000002</v>
      </c>
    </row>
    <row r="675" spans="1:2">
      <c r="A675">
        <f t="shared" si="10"/>
        <v>674</v>
      </c>
      <c r="B675">
        <v>3.5874299999999999</v>
      </c>
    </row>
    <row r="676" spans="1:2">
      <c r="A676">
        <f t="shared" si="10"/>
        <v>675</v>
      </c>
      <c r="B676">
        <v>3.57789</v>
      </c>
    </row>
    <row r="677" spans="1:2">
      <c r="A677">
        <f t="shared" si="10"/>
        <v>676</v>
      </c>
      <c r="B677">
        <v>3.5580599999999998</v>
      </c>
    </row>
    <row r="678" spans="1:2">
      <c r="A678">
        <f t="shared" si="10"/>
        <v>677</v>
      </c>
      <c r="B678">
        <v>3.5415100000000002</v>
      </c>
    </row>
    <row r="679" spans="1:2">
      <c r="A679">
        <f t="shared" si="10"/>
        <v>678</v>
      </c>
      <c r="B679">
        <v>3.5344899999999999</v>
      </c>
    </row>
    <row r="680" spans="1:2">
      <c r="A680">
        <f t="shared" si="10"/>
        <v>679</v>
      </c>
      <c r="B680">
        <v>3.52651</v>
      </c>
    </row>
    <row r="681" spans="1:2">
      <c r="A681">
        <f t="shared" si="10"/>
        <v>680</v>
      </c>
      <c r="B681">
        <v>3.51573</v>
      </c>
    </row>
    <row r="682" spans="1:2">
      <c r="A682">
        <f t="shared" si="10"/>
        <v>681</v>
      </c>
      <c r="B682">
        <v>3.5058699999999998</v>
      </c>
    </row>
    <row r="683" spans="1:2">
      <c r="A683">
        <f t="shared" si="10"/>
        <v>682</v>
      </c>
      <c r="B683">
        <v>3.50542</v>
      </c>
    </row>
    <row r="684" spans="1:2">
      <c r="A684">
        <f t="shared" si="10"/>
        <v>683</v>
      </c>
      <c r="B684">
        <v>3.4933399999999999</v>
      </c>
    </row>
    <row r="685" spans="1:2">
      <c r="A685">
        <f t="shared" si="10"/>
        <v>684</v>
      </c>
      <c r="B685">
        <v>3.4883700000000002</v>
      </c>
    </row>
    <row r="686" spans="1:2">
      <c r="A686">
        <f t="shared" si="10"/>
        <v>685</v>
      </c>
      <c r="B686">
        <v>3.4765700000000002</v>
      </c>
    </row>
    <row r="687" spans="1:2">
      <c r="A687">
        <f t="shared" si="10"/>
        <v>686</v>
      </c>
      <c r="B687">
        <v>3.47559</v>
      </c>
    </row>
    <row r="688" spans="1:2">
      <c r="A688">
        <f t="shared" si="10"/>
        <v>687</v>
      </c>
      <c r="B688">
        <v>3.4553400000000001</v>
      </c>
    </row>
    <row r="689" spans="1:2">
      <c r="A689">
        <f t="shared" si="10"/>
        <v>688</v>
      </c>
      <c r="B689">
        <v>3.4577200000000001</v>
      </c>
    </row>
    <row r="690" spans="1:2">
      <c r="A690">
        <f t="shared" si="10"/>
        <v>689</v>
      </c>
      <c r="B690">
        <v>3.45004</v>
      </c>
    </row>
    <row r="691" spans="1:2">
      <c r="A691">
        <f t="shared" si="10"/>
        <v>690</v>
      </c>
      <c r="B691">
        <v>3.44217</v>
      </c>
    </row>
    <row r="692" spans="1:2">
      <c r="A692">
        <f t="shared" si="10"/>
        <v>691</v>
      </c>
      <c r="B692">
        <v>3.4349099999999999</v>
      </c>
    </row>
    <row r="693" spans="1:2">
      <c r="A693">
        <f t="shared" si="10"/>
        <v>692</v>
      </c>
      <c r="B693">
        <v>3.4323399999999999</v>
      </c>
    </row>
    <row r="694" spans="1:2">
      <c r="A694">
        <f t="shared" si="10"/>
        <v>693</v>
      </c>
      <c r="B694">
        <v>3.4152999999999998</v>
      </c>
    </row>
    <row r="695" spans="1:2">
      <c r="A695">
        <f t="shared" si="10"/>
        <v>694</v>
      </c>
      <c r="B695">
        <v>3.4163000000000001</v>
      </c>
    </row>
    <row r="696" spans="1:2">
      <c r="A696">
        <f t="shared" si="10"/>
        <v>695</v>
      </c>
      <c r="B696">
        <v>3.4077899999999999</v>
      </c>
    </row>
    <row r="697" spans="1:2">
      <c r="A697">
        <f t="shared" si="10"/>
        <v>696</v>
      </c>
      <c r="B697">
        <v>3.4046799999999999</v>
      </c>
    </row>
    <row r="698" spans="1:2">
      <c r="A698">
        <f t="shared" si="10"/>
        <v>697</v>
      </c>
      <c r="B698">
        <v>3.4003299999999999</v>
      </c>
    </row>
    <row r="699" spans="1:2">
      <c r="A699">
        <f t="shared" si="10"/>
        <v>698</v>
      </c>
      <c r="B699">
        <v>3.4118499999999998</v>
      </c>
    </row>
    <row r="700" spans="1:2">
      <c r="A700">
        <f t="shared" si="10"/>
        <v>699</v>
      </c>
      <c r="B700">
        <v>3.3872300000000002</v>
      </c>
    </row>
    <row r="701" spans="1:2">
      <c r="A701">
        <f t="shared" si="10"/>
        <v>700</v>
      </c>
      <c r="B701">
        <v>3.3670399999999998</v>
      </c>
    </row>
    <row r="702" spans="1:2">
      <c r="A702">
        <f t="shared" si="10"/>
        <v>701</v>
      </c>
      <c r="B702">
        <v>3.35405</v>
      </c>
    </row>
    <row r="703" spans="1:2">
      <c r="A703">
        <f t="shared" si="10"/>
        <v>702</v>
      </c>
      <c r="B703">
        <v>3.3613200000000001</v>
      </c>
    </row>
    <row r="704" spans="1:2">
      <c r="A704">
        <f t="shared" si="10"/>
        <v>703</v>
      </c>
      <c r="B704">
        <v>3.3543799999999999</v>
      </c>
    </row>
    <row r="705" spans="1:2">
      <c r="A705">
        <f t="shared" si="10"/>
        <v>704</v>
      </c>
      <c r="B705">
        <v>3.3428300000000002</v>
      </c>
    </row>
    <row r="706" spans="1:2">
      <c r="A706">
        <f t="shared" ref="A706:A769" si="11">1+A705</f>
        <v>705</v>
      </c>
      <c r="B706">
        <v>3.3409200000000001</v>
      </c>
    </row>
    <row r="707" spans="1:2">
      <c r="A707">
        <f t="shared" si="11"/>
        <v>706</v>
      </c>
      <c r="B707">
        <v>3.3495400000000002</v>
      </c>
    </row>
    <row r="708" spans="1:2">
      <c r="A708">
        <f t="shared" si="11"/>
        <v>707</v>
      </c>
      <c r="B708">
        <v>3.3240699999999999</v>
      </c>
    </row>
    <row r="709" spans="1:2">
      <c r="A709">
        <f t="shared" si="11"/>
        <v>708</v>
      </c>
      <c r="B709">
        <v>3.3275199999999998</v>
      </c>
    </row>
    <row r="710" spans="1:2">
      <c r="A710">
        <f t="shared" si="11"/>
        <v>709</v>
      </c>
      <c r="B710">
        <v>3.3285499999999999</v>
      </c>
    </row>
    <row r="711" spans="1:2">
      <c r="A711">
        <f t="shared" si="11"/>
        <v>710</v>
      </c>
      <c r="B711">
        <v>3.32436</v>
      </c>
    </row>
    <row r="712" spans="1:2">
      <c r="A712">
        <f t="shared" si="11"/>
        <v>711</v>
      </c>
      <c r="B712">
        <v>3.3143099999999999</v>
      </c>
    </row>
    <row r="713" spans="1:2">
      <c r="A713">
        <f t="shared" si="11"/>
        <v>712</v>
      </c>
      <c r="B713">
        <v>3.3041499999999999</v>
      </c>
    </row>
    <row r="714" spans="1:2">
      <c r="A714">
        <f t="shared" si="11"/>
        <v>713</v>
      </c>
      <c r="B714">
        <v>3.30985</v>
      </c>
    </row>
    <row r="715" spans="1:2">
      <c r="A715">
        <f t="shared" si="11"/>
        <v>714</v>
      </c>
      <c r="B715">
        <v>3.3062200000000002</v>
      </c>
    </row>
    <row r="716" spans="1:2">
      <c r="A716">
        <f t="shared" si="11"/>
        <v>715</v>
      </c>
      <c r="B716">
        <v>3.2915999999999999</v>
      </c>
    </row>
    <row r="717" spans="1:2">
      <c r="A717">
        <f t="shared" si="11"/>
        <v>716</v>
      </c>
      <c r="B717">
        <v>3.2818399999999999</v>
      </c>
    </row>
    <row r="718" spans="1:2">
      <c r="A718">
        <f t="shared" si="11"/>
        <v>717</v>
      </c>
      <c r="B718">
        <v>3.26688</v>
      </c>
    </row>
    <row r="719" spans="1:2">
      <c r="A719">
        <f t="shared" si="11"/>
        <v>718</v>
      </c>
      <c r="B719">
        <v>3.2649900000000001</v>
      </c>
    </row>
    <row r="720" spans="1:2">
      <c r="A720">
        <f t="shared" si="11"/>
        <v>719</v>
      </c>
      <c r="B720">
        <v>3.25936</v>
      </c>
    </row>
    <row r="721" spans="1:2">
      <c r="A721">
        <f t="shared" si="11"/>
        <v>720</v>
      </c>
      <c r="B721">
        <v>3.2539699999999998</v>
      </c>
    </row>
    <row r="722" spans="1:2">
      <c r="A722">
        <f t="shared" si="11"/>
        <v>721</v>
      </c>
      <c r="B722">
        <v>3.2427800000000002</v>
      </c>
    </row>
    <row r="723" spans="1:2">
      <c r="A723">
        <f t="shared" si="11"/>
        <v>722</v>
      </c>
      <c r="B723">
        <v>3.2223700000000002</v>
      </c>
    </row>
    <row r="724" spans="1:2">
      <c r="A724">
        <f t="shared" si="11"/>
        <v>723</v>
      </c>
      <c r="B724">
        <v>3.2079599999999999</v>
      </c>
    </row>
    <row r="725" spans="1:2">
      <c r="A725">
        <f t="shared" si="11"/>
        <v>724</v>
      </c>
      <c r="B725">
        <v>3.2006999999999999</v>
      </c>
    </row>
    <row r="726" spans="1:2">
      <c r="A726">
        <f t="shared" si="11"/>
        <v>725</v>
      </c>
      <c r="B726">
        <v>3.1917499999999999</v>
      </c>
    </row>
    <row r="727" spans="1:2">
      <c r="A727">
        <f t="shared" si="11"/>
        <v>726</v>
      </c>
      <c r="B727">
        <v>3.1813500000000001</v>
      </c>
    </row>
    <row r="728" spans="1:2">
      <c r="A728">
        <f t="shared" si="11"/>
        <v>727</v>
      </c>
      <c r="B728">
        <v>3.1753900000000002</v>
      </c>
    </row>
    <row r="729" spans="1:2">
      <c r="A729">
        <f t="shared" si="11"/>
        <v>728</v>
      </c>
      <c r="B729">
        <v>3.1853199999999999</v>
      </c>
    </row>
    <row r="730" spans="1:2">
      <c r="A730">
        <f t="shared" si="11"/>
        <v>729</v>
      </c>
      <c r="B730">
        <v>3.1594000000000002</v>
      </c>
    </row>
    <row r="731" spans="1:2">
      <c r="A731">
        <f t="shared" si="11"/>
        <v>730</v>
      </c>
      <c r="B731">
        <v>3.1530900000000002</v>
      </c>
    </row>
    <row r="732" spans="1:2">
      <c r="A732">
        <f t="shared" si="11"/>
        <v>731</v>
      </c>
      <c r="B732">
        <v>3.15462</v>
      </c>
    </row>
    <row r="733" spans="1:2">
      <c r="A733">
        <f t="shared" si="11"/>
        <v>732</v>
      </c>
      <c r="B733">
        <v>3.1517300000000001</v>
      </c>
    </row>
    <row r="734" spans="1:2">
      <c r="A734">
        <f t="shared" si="11"/>
        <v>733</v>
      </c>
      <c r="B734">
        <v>3.1539299999999999</v>
      </c>
    </row>
    <row r="735" spans="1:2">
      <c r="A735">
        <f t="shared" si="11"/>
        <v>734</v>
      </c>
      <c r="B735">
        <v>3.1228199999999999</v>
      </c>
    </row>
    <row r="736" spans="1:2">
      <c r="A736">
        <f t="shared" si="11"/>
        <v>735</v>
      </c>
      <c r="B736">
        <v>3.12107</v>
      </c>
    </row>
    <row r="737" spans="1:2">
      <c r="A737">
        <f t="shared" si="11"/>
        <v>736</v>
      </c>
      <c r="B737">
        <v>3.0982699999999999</v>
      </c>
    </row>
    <row r="738" spans="1:2">
      <c r="A738">
        <f t="shared" si="11"/>
        <v>737</v>
      </c>
      <c r="B738">
        <v>3.09016</v>
      </c>
    </row>
    <row r="739" spans="1:2">
      <c r="A739">
        <f t="shared" si="11"/>
        <v>738</v>
      </c>
      <c r="B739">
        <v>3.0777299999999999</v>
      </c>
    </row>
    <row r="740" spans="1:2">
      <c r="A740">
        <f t="shared" si="11"/>
        <v>739</v>
      </c>
      <c r="B740">
        <v>3.0779700000000001</v>
      </c>
    </row>
    <row r="741" spans="1:2">
      <c r="A741">
        <f t="shared" si="11"/>
        <v>740</v>
      </c>
      <c r="B741">
        <v>3.06914</v>
      </c>
    </row>
    <row r="742" spans="1:2">
      <c r="A742">
        <f t="shared" si="11"/>
        <v>741</v>
      </c>
      <c r="B742">
        <v>3.05186</v>
      </c>
    </row>
    <row r="743" spans="1:2">
      <c r="A743">
        <f t="shared" si="11"/>
        <v>742</v>
      </c>
      <c r="B743">
        <v>3.02949</v>
      </c>
    </row>
    <row r="744" spans="1:2">
      <c r="A744">
        <f t="shared" si="11"/>
        <v>743</v>
      </c>
      <c r="B744">
        <v>3.0303</v>
      </c>
    </row>
    <row r="745" spans="1:2">
      <c r="A745">
        <f t="shared" si="11"/>
        <v>744</v>
      </c>
      <c r="B745">
        <v>3.03207</v>
      </c>
    </row>
    <row r="746" spans="1:2">
      <c r="A746">
        <f t="shared" si="11"/>
        <v>745</v>
      </c>
      <c r="B746">
        <v>3.0354000000000001</v>
      </c>
    </row>
    <row r="747" spans="1:2">
      <c r="A747">
        <f t="shared" si="11"/>
        <v>746</v>
      </c>
      <c r="B747">
        <v>3.0322100000000001</v>
      </c>
    </row>
    <row r="748" spans="1:2">
      <c r="A748">
        <f t="shared" si="11"/>
        <v>747</v>
      </c>
      <c r="B748">
        <v>3.0219100000000001</v>
      </c>
    </row>
    <row r="749" spans="1:2">
      <c r="A749">
        <f t="shared" si="11"/>
        <v>748</v>
      </c>
      <c r="B749">
        <v>3.0176500000000002</v>
      </c>
    </row>
    <row r="750" spans="1:2">
      <c r="A750">
        <f t="shared" si="11"/>
        <v>749</v>
      </c>
      <c r="B750">
        <v>2.9908000000000001</v>
      </c>
    </row>
    <row r="751" spans="1:2">
      <c r="A751">
        <f t="shared" si="11"/>
        <v>750</v>
      </c>
      <c r="B751">
        <v>2.9850099999999999</v>
      </c>
    </row>
    <row r="752" spans="1:2">
      <c r="A752">
        <f t="shared" si="11"/>
        <v>751</v>
      </c>
      <c r="B752">
        <v>2.98767</v>
      </c>
    </row>
    <row r="753" spans="1:2">
      <c r="A753">
        <f t="shared" si="11"/>
        <v>752</v>
      </c>
      <c r="B753">
        <v>2.9728699999999999</v>
      </c>
    </row>
    <row r="754" spans="1:2">
      <c r="A754">
        <f t="shared" si="11"/>
        <v>753</v>
      </c>
      <c r="B754">
        <v>2.9681099999999998</v>
      </c>
    </row>
    <row r="755" spans="1:2">
      <c r="A755">
        <f t="shared" si="11"/>
        <v>754</v>
      </c>
      <c r="B755">
        <v>2.9640300000000002</v>
      </c>
    </row>
    <row r="756" spans="1:2">
      <c r="A756">
        <f t="shared" si="11"/>
        <v>755</v>
      </c>
      <c r="B756">
        <v>2.9485999999999999</v>
      </c>
    </row>
    <row r="757" spans="1:2">
      <c r="A757">
        <f t="shared" si="11"/>
        <v>756</v>
      </c>
      <c r="B757">
        <v>2.9380000000000002</v>
      </c>
    </row>
    <row r="758" spans="1:2">
      <c r="A758">
        <f t="shared" si="11"/>
        <v>757</v>
      </c>
      <c r="B758">
        <v>2.9408099999999999</v>
      </c>
    </row>
    <row r="759" spans="1:2">
      <c r="A759">
        <f t="shared" si="11"/>
        <v>758</v>
      </c>
      <c r="B759">
        <v>2.9167000000000001</v>
      </c>
    </row>
    <row r="760" spans="1:2">
      <c r="A760">
        <f t="shared" si="11"/>
        <v>759</v>
      </c>
      <c r="B760">
        <v>2.9066299999999998</v>
      </c>
    </row>
    <row r="761" spans="1:2">
      <c r="A761">
        <f t="shared" si="11"/>
        <v>760</v>
      </c>
      <c r="B761">
        <v>2.9050199999999999</v>
      </c>
    </row>
    <row r="762" spans="1:2">
      <c r="A762">
        <f t="shared" si="11"/>
        <v>761</v>
      </c>
      <c r="B762">
        <v>2.8914800000000001</v>
      </c>
    </row>
    <row r="763" spans="1:2">
      <c r="A763">
        <f t="shared" si="11"/>
        <v>762</v>
      </c>
      <c r="B763">
        <v>2.8651300000000002</v>
      </c>
    </row>
    <row r="764" spans="1:2">
      <c r="A764">
        <f t="shared" si="11"/>
        <v>763</v>
      </c>
      <c r="B764">
        <v>2.8507199999999999</v>
      </c>
    </row>
    <row r="765" spans="1:2">
      <c r="A765">
        <f t="shared" si="11"/>
        <v>764</v>
      </c>
      <c r="B765">
        <v>2.85615</v>
      </c>
    </row>
    <row r="766" spans="1:2">
      <c r="A766">
        <f t="shared" si="11"/>
        <v>765</v>
      </c>
      <c r="B766">
        <v>2.8327900000000001</v>
      </c>
    </row>
    <row r="767" spans="1:2">
      <c r="A767">
        <f t="shared" si="11"/>
        <v>766</v>
      </c>
      <c r="B767">
        <v>2.8272400000000002</v>
      </c>
    </row>
    <row r="768" spans="1:2">
      <c r="A768">
        <f t="shared" si="11"/>
        <v>767</v>
      </c>
      <c r="B768">
        <v>2.8300200000000002</v>
      </c>
    </row>
    <row r="769" spans="1:2">
      <c r="A769">
        <f t="shared" si="11"/>
        <v>768</v>
      </c>
      <c r="B769">
        <v>2.8189600000000001</v>
      </c>
    </row>
    <row r="770" spans="1:2">
      <c r="A770">
        <f t="shared" ref="A770:A833" si="12">1+A769</f>
        <v>769</v>
      </c>
      <c r="B770">
        <v>2.8157100000000002</v>
      </c>
    </row>
    <row r="771" spans="1:2">
      <c r="A771">
        <f t="shared" si="12"/>
        <v>770</v>
      </c>
      <c r="B771">
        <v>2.8127900000000001</v>
      </c>
    </row>
    <row r="772" spans="1:2">
      <c r="A772">
        <f t="shared" si="12"/>
        <v>771</v>
      </c>
      <c r="B772">
        <v>2.8079499999999999</v>
      </c>
    </row>
    <row r="773" spans="1:2">
      <c r="A773">
        <f t="shared" si="12"/>
        <v>772</v>
      </c>
      <c r="B773">
        <v>2.8084799999999999</v>
      </c>
    </row>
    <row r="774" spans="1:2">
      <c r="A774">
        <f t="shared" si="12"/>
        <v>773</v>
      </c>
      <c r="B774">
        <v>2.80715</v>
      </c>
    </row>
    <row r="775" spans="1:2">
      <c r="A775">
        <f t="shared" si="12"/>
        <v>774</v>
      </c>
      <c r="B775">
        <v>2.7992900000000001</v>
      </c>
    </row>
    <row r="776" spans="1:2">
      <c r="A776">
        <f t="shared" si="12"/>
        <v>775</v>
      </c>
      <c r="B776">
        <v>2.7795700000000001</v>
      </c>
    </row>
    <row r="777" spans="1:2">
      <c r="A777">
        <f t="shared" si="12"/>
        <v>776</v>
      </c>
      <c r="B777">
        <v>2.7708300000000001</v>
      </c>
    </row>
    <row r="778" spans="1:2">
      <c r="A778">
        <f t="shared" si="12"/>
        <v>777</v>
      </c>
      <c r="B778">
        <v>2.7841300000000002</v>
      </c>
    </row>
    <row r="779" spans="1:2">
      <c r="A779">
        <f t="shared" si="12"/>
        <v>778</v>
      </c>
      <c r="B779">
        <v>2.7531500000000002</v>
      </c>
    </row>
    <row r="780" spans="1:2">
      <c r="A780">
        <f t="shared" si="12"/>
        <v>779</v>
      </c>
      <c r="B780">
        <v>2.7393999999999998</v>
      </c>
    </row>
    <row r="781" spans="1:2">
      <c r="A781">
        <f t="shared" si="12"/>
        <v>780</v>
      </c>
      <c r="B781">
        <v>2.7299899999999999</v>
      </c>
    </row>
    <row r="782" spans="1:2">
      <c r="A782">
        <f t="shared" si="12"/>
        <v>781</v>
      </c>
      <c r="B782">
        <v>2.7054100000000001</v>
      </c>
    </row>
    <row r="783" spans="1:2">
      <c r="A783">
        <f t="shared" si="12"/>
        <v>782</v>
      </c>
      <c r="B783">
        <v>2.7055500000000001</v>
      </c>
    </row>
    <row r="784" spans="1:2">
      <c r="A784">
        <f t="shared" si="12"/>
        <v>783</v>
      </c>
      <c r="B784">
        <v>2.7126000000000001</v>
      </c>
    </row>
    <row r="785" spans="1:2">
      <c r="A785">
        <f t="shared" si="12"/>
        <v>784</v>
      </c>
      <c r="B785">
        <v>2.7053199999999999</v>
      </c>
    </row>
    <row r="786" spans="1:2">
      <c r="A786">
        <f t="shared" si="12"/>
        <v>785</v>
      </c>
      <c r="B786">
        <v>2.6884899999999998</v>
      </c>
    </row>
    <row r="787" spans="1:2">
      <c r="A787">
        <f t="shared" si="12"/>
        <v>786</v>
      </c>
      <c r="B787">
        <v>2.66432</v>
      </c>
    </row>
    <row r="788" spans="1:2">
      <c r="A788">
        <f t="shared" si="12"/>
        <v>787</v>
      </c>
      <c r="B788">
        <v>2.6501199999999998</v>
      </c>
    </row>
    <row r="789" spans="1:2">
      <c r="A789">
        <f t="shared" si="12"/>
        <v>788</v>
      </c>
      <c r="B789">
        <v>2.6117599999999999</v>
      </c>
    </row>
    <row r="790" spans="1:2">
      <c r="A790">
        <f t="shared" si="12"/>
        <v>789</v>
      </c>
      <c r="B790">
        <v>2.5941000000000001</v>
      </c>
    </row>
    <row r="791" spans="1:2">
      <c r="A791">
        <f t="shared" si="12"/>
        <v>790</v>
      </c>
      <c r="B791">
        <v>2.5845199999999999</v>
      </c>
    </row>
    <row r="792" spans="1:2">
      <c r="A792">
        <f t="shared" si="12"/>
        <v>791</v>
      </c>
      <c r="B792">
        <v>2.5781800000000001</v>
      </c>
    </row>
    <row r="793" spans="1:2">
      <c r="A793">
        <f t="shared" si="12"/>
        <v>792</v>
      </c>
      <c r="B793">
        <v>2.5595599999999998</v>
      </c>
    </row>
    <row r="794" spans="1:2">
      <c r="A794">
        <f t="shared" si="12"/>
        <v>793</v>
      </c>
      <c r="B794">
        <v>2.5362100000000001</v>
      </c>
    </row>
    <row r="795" spans="1:2">
      <c r="A795">
        <f t="shared" si="12"/>
        <v>794</v>
      </c>
      <c r="B795">
        <v>2.5352700000000001</v>
      </c>
    </row>
    <row r="796" spans="1:2">
      <c r="A796">
        <f t="shared" si="12"/>
        <v>795</v>
      </c>
      <c r="B796">
        <v>2.5150399999999999</v>
      </c>
    </row>
    <row r="797" spans="1:2">
      <c r="A797">
        <f t="shared" si="12"/>
        <v>796</v>
      </c>
      <c r="B797">
        <v>2.5186199999999999</v>
      </c>
    </row>
    <row r="798" spans="1:2">
      <c r="A798">
        <f t="shared" si="12"/>
        <v>797</v>
      </c>
      <c r="B798">
        <v>2.4994800000000001</v>
      </c>
    </row>
    <row r="799" spans="1:2">
      <c r="A799">
        <f t="shared" si="12"/>
        <v>798</v>
      </c>
      <c r="B799">
        <v>2.5081000000000002</v>
      </c>
    </row>
    <row r="800" spans="1:2">
      <c r="A800">
        <f t="shared" si="12"/>
        <v>799</v>
      </c>
      <c r="B800">
        <v>2.5021</v>
      </c>
    </row>
    <row r="801" spans="1:2">
      <c r="A801">
        <f t="shared" si="12"/>
        <v>800</v>
      </c>
      <c r="B801">
        <v>2.5019800000000001</v>
      </c>
    </row>
    <row r="802" spans="1:2">
      <c r="A802">
        <f t="shared" si="12"/>
        <v>801</v>
      </c>
      <c r="B802">
        <v>2.4771399999999999</v>
      </c>
    </row>
    <row r="803" spans="1:2">
      <c r="A803">
        <f t="shared" si="12"/>
        <v>802</v>
      </c>
      <c r="B803">
        <v>2.4713099999999999</v>
      </c>
    </row>
    <row r="804" spans="1:2">
      <c r="A804">
        <f t="shared" si="12"/>
        <v>803</v>
      </c>
      <c r="B804">
        <v>2.4589300000000001</v>
      </c>
    </row>
    <row r="805" spans="1:2">
      <c r="A805">
        <f t="shared" si="12"/>
        <v>804</v>
      </c>
      <c r="B805">
        <v>2.4540199999999999</v>
      </c>
    </row>
    <row r="806" spans="1:2">
      <c r="A806">
        <f t="shared" si="12"/>
        <v>805</v>
      </c>
      <c r="B806">
        <v>2.4388899999999998</v>
      </c>
    </row>
    <row r="807" spans="1:2">
      <c r="A807">
        <f t="shared" si="12"/>
        <v>806</v>
      </c>
      <c r="B807">
        <v>2.4269500000000002</v>
      </c>
    </row>
    <row r="808" spans="1:2">
      <c r="A808">
        <f t="shared" si="12"/>
        <v>807</v>
      </c>
      <c r="B808">
        <v>2.4194</v>
      </c>
    </row>
    <row r="809" spans="1:2">
      <c r="A809">
        <f t="shared" si="12"/>
        <v>808</v>
      </c>
      <c r="B809">
        <v>2.3987699999999998</v>
      </c>
    </row>
    <row r="810" spans="1:2">
      <c r="A810">
        <f t="shared" si="12"/>
        <v>809</v>
      </c>
      <c r="B810">
        <v>2.38293</v>
      </c>
    </row>
    <row r="811" spans="1:2">
      <c r="A811">
        <f t="shared" si="12"/>
        <v>810</v>
      </c>
      <c r="B811">
        <v>2.3899499999999998</v>
      </c>
    </row>
    <row r="812" spans="1:2">
      <c r="A812">
        <f t="shared" si="12"/>
        <v>811</v>
      </c>
      <c r="B812">
        <v>2.3961100000000002</v>
      </c>
    </row>
    <row r="813" spans="1:2">
      <c r="A813">
        <f t="shared" si="12"/>
        <v>812</v>
      </c>
      <c r="B813">
        <v>2.3812199999999999</v>
      </c>
    </row>
    <row r="814" spans="1:2">
      <c r="A814">
        <f t="shared" si="12"/>
        <v>813</v>
      </c>
      <c r="B814">
        <v>2.37181</v>
      </c>
    </row>
    <row r="815" spans="1:2">
      <c r="A815">
        <f t="shared" si="12"/>
        <v>814</v>
      </c>
      <c r="B815">
        <v>2.3628300000000002</v>
      </c>
    </row>
    <row r="816" spans="1:2">
      <c r="A816">
        <f t="shared" si="12"/>
        <v>815</v>
      </c>
      <c r="B816">
        <v>2.3473600000000001</v>
      </c>
    </row>
    <row r="817" spans="1:2">
      <c r="A817">
        <f t="shared" si="12"/>
        <v>816</v>
      </c>
      <c r="B817">
        <v>2.3330700000000002</v>
      </c>
    </row>
    <row r="818" spans="1:2">
      <c r="A818">
        <f t="shared" si="12"/>
        <v>817</v>
      </c>
      <c r="B818">
        <v>2.33351</v>
      </c>
    </row>
    <row r="819" spans="1:2">
      <c r="A819">
        <f t="shared" si="12"/>
        <v>818</v>
      </c>
      <c r="B819">
        <v>2.3195000000000001</v>
      </c>
    </row>
    <row r="820" spans="1:2">
      <c r="A820">
        <f t="shared" si="12"/>
        <v>819</v>
      </c>
      <c r="B820">
        <v>2.3072400000000002</v>
      </c>
    </row>
    <row r="821" spans="1:2">
      <c r="A821">
        <f t="shared" si="12"/>
        <v>820</v>
      </c>
      <c r="B821">
        <v>2.3122099999999999</v>
      </c>
    </row>
    <row r="822" spans="1:2">
      <c r="A822">
        <f t="shared" si="12"/>
        <v>821</v>
      </c>
      <c r="B822">
        <v>2.3077399999999999</v>
      </c>
    </row>
    <row r="823" spans="1:2">
      <c r="A823">
        <f t="shared" si="12"/>
        <v>822</v>
      </c>
      <c r="B823">
        <v>2.30349</v>
      </c>
    </row>
    <row r="824" spans="1:2">
      <c r="A824">
        <f t="shared" si="12"/>
        <v>823</v>
      </c>
      <c r="B824">
        <v>2.25712</v>
      </c>
    </row>
    <row r="825" spans="1:2">
      <c r="A825">
        <f t="shared" si="12"/>
        <v>824</v>
      </c>
      <c r="B825">
        <v>2.2630400000000002</v>
      </c>
    </row>
    <row r="826" spans="1:2">
      <c r="A826">
        <f t="shared" si="12"/>
        <v>825</v>
      </c>
      <c r="B826">
        <v>2.2580499999999999</v>
      </c>
    </row>
    <row r="827" spans="1:2">
      <c r="A827">
        <f t="shared" si="12"/>
        <v>826</v>
      </c>
      <c r="B827">
        <v>2.2502599999999999</v>
      </c>
    </row>
    <row r="828" spans="1:2">
      <c r="A828">
        <f t="shared" si="12"/>
        <v>827</v>
      </c>
      <c r="B828">
        <v>2.25875</v>
      </c>
    </row>
    <row r="829" spans="1:2">
      <c r="A829">
        <f t="shared" si="12"/>
        <v>828</v>
      </c>
      <c r="B829">
        <v>2.2524199999999999</v>
      </c>
    </row>
    <row r="830" spans="1:2">
      <c r="A830">
        <f t="shared" si="12"/>
        <v>829</v>
      </c>
      <c r="B830">
        <v>2.2569300000000001</v>
      </c>
    </row>
    <row r="831" spans="1:2">
      <c r="A831">
        <f t="shared" si="12"/>
        <v>830</v>
      </c>
      <c r="B831">
        <v>2.2343299999999999</v>
      </c>
    </row>
    <row r="832" spans="1:2">
      <c r="A832">
        <f t="shared" si="12"/>
        <v>831</v>
      </c>
      <c r="B832">
        <v>2.22167</v>
      </c>
    </row>
    <row r="833" spans="1:2">
      <c r="A833">
        <f t="shared" si="12"/>
        <v>832</v>
      </c>
      <c r="B833">
        <v>2.2083200000000001</v>
      </c>
    </row>
    <row r="834" spans="1:2">
      <c r="A834">
        <f t="shared" ref="A834:A897" si="13">1+A833</f>
        <v>833</v>
      </c>
      <c r="B834">
        <v>2.2130000000000001</v>
      </c>
    </row>
    <row r="835" spans="1:2">
      <c r="A835">
        <f t="shared" si="13"/>
        <v>834</v>
      </c>
      <c r="B835">
        <v>2.18065</v>
      </c>
    </row>
    <row r="836" spans="1:2">
      <c r="A836">
        <f t="shared" si="13"/>
        <v>835</v>
      </c>
      <c r="B836">
        <v>2.1579100000000002</v>
      </c>
    </row>
    <row r="837" spans="1:2">
      <c r="A837">
        <f t="shared" si="13"/>
        <v>836</v>
      </c>
      <c r="B837">
        <v>2.1550600000000002</v>
      </c>
    </row>
    <row r="838" spans="1:2">
      <c r="A838">
        <f t="shared" si="13"/>
        <v>837</v>
      </c>
      <c r="B838">
        <v>2.1448200000000002</v>
      </c>
    </row>
    <row r="839" spans="1:2">
      <c r="A839">
        <f t="shared" si="13"/>
        <v>838</v>
      </c>
      <c r="B839">
        <v>2.1228699999999998</v>
      </c>
    </row>
    <row r="840" spans="1:2">
      <c r="A840">
        <f t="shared" si="13"/>
        <v>839</v>
      </c>
      <c r="B840">
        <v>2.1136300000000001</v>
      </c>
    </row>
    <row r="841" spans="1:2">
      <c r="A841">
        <f t="shared" si="13"/>
        <v>840</v>
      </c>
      <c r="B841">
        <v>2.0952600000000001</v>
      </c>
    </row>
    <row r="842" spans="1:2">
      <c r="A842">
        <f t="shared" si="13"/>
        <v>841</v>
      </c>
      <c r="B842">
        <v>2.09232</v>
      </c>
    </row>
    <row r="843" spans="1:2">
      <c r="A843">
        <f t="shared" si="13"/>
        <v>842</v>
      </c>
      <c r="B843">
        <v>2.08649</v>
      </c>
    </row>
    <row r="844" spans="1:2">
      <c r="A844">
        <f t="shared" si="13"/>
        <v>843</v>
      </c>
      <c r="B844">
        <v>2.0972499999999998</v>
      </c>
    </row>
    <row r="845" spans="1:2">
      <c r="A845">
        <f t="shared" si="13"/>
        <v>844</v>
      </c>
      <c r="B845">
        <v>2.0873499999999998</v>
      </c>
    </row>
    <row r="846" spans="1:2">
      <c r="A846">
        <f t="shared" si="13"/>
        <v>845</v>
      </c>
      <c r="B846">
        <v>2.09267</v>
      </c>
    </row>
    <row r="847" spans="1:2">
      <c r="A847">
        <f t="shared" si="13"/>
        <v>846</v>
      </c>
      <c r="B847">
        <v>2.1017999999999999</v>
      </c>
    </row>
    <row r="848" spans="1:2">
      <c r="A848">
        <f t="shared" si="13"/>
        <v>847</v>
      </c>
      <c r="B848">
        <v>2.0777100000000002</v>
      </c>
    </row>
    <row r="849" spans="1:2">
      <c r="A849">
        <f t="shared" si="13"/>
        <v>848</v>
      </c>
      <c r="B849">
        <v>2.0730300000000002</v>
      </c>
    </row>
    <row r="850" spans="1:2">
      <c r="A850">
        <f t="shared" si="13"/>
        <v>849</v>
      </c>
      <c r="B850">
        <v>2.0697199999999998</v>
      </c>
    </row>
    <row r="851" spans="1:2">
      <c r="A851">
        <f t="shared" si="13"/>
        <v>850</v>
      </c>
      <c r="B851">
        <v>2.0482300000000002</v>
      </c>
    </row>
    <row r="852" spans="1:2">
      <c r="A852">
        <f t="shared" si="13"/>
        <v>851</v>
      </c>
      <c r="B852">
        <v>2.0167999999999999</v>
      </c>
    </row>
    <row r="853" spans="1:2">
      <c r="A853">
        <f t="shared" si="13"/>
        <v>852</v>
      </c>
      <c r="B853">
        <v>2.0194999999999999</v>
      </c>
    </row>
    <row r="854" spans="1:2">
      <c r="A854">
        <f t="shared" si="13"/>
        <v>853</v>
      </c>
      <c r="B854">
        <v>1.99708</v>
      </c>
    </row>
    <row r="855" spans="1:2">
      <c r="A855">
        <f t="shared" si="13"/>
        <v>854</v>
      </c>
      <c r="B855">
        <v>2.0026600000000001</v>
      </c>
    </row>
    <row r="856" spans="1:2">
      <c r="A856">
        <f t="shared" si="13"/>
        <v>855</v>
      </c>
      <c r="B856">
        <v>2.0047799999999998</v>
      </c>
    </row>
    <row r="857" spans="1:2">
      <c r="A857">
        <f t="shared" si="13"/>
        <v>856</v>
      </c>
      <c r="B857">
        <v>2.0072100000000002</v>
      </c>
    </row>
    <row r="858" spans="1:2">
      <c r="A858">
        <f t="shared" si="13"/>
        <v>857</v>
      </c>
      <c r="B858">
        <v>1.98963</v>
      </c>
    </row>
    <row r="859" spans="1:2">
      <c r="A859">
        <f t="shared" si="13"/>
        <v>858</v>
      </c>
      <c r="B859">
        <v>1.986</v>
      </c>
    </row>
    <row r="860" spans="1:2">
      <c r="A860">
        <f t="shared" si="13"/>
        <v>859</v>
      </c>
      <c r="B860">
        <v>1.9676800000000001</v>
      </c>
    </row>
    <row r="861" spans="1:2">
      <c r="A861">
        <f t="shared" si="13"/>
        <v>860</v>
      </c>
      <c r="B861">
        <v>1.9555499999999999</v>
      </c>
    </row>
    <row r="862" spans="1:2">
      <c r="A862">
        <f t="shared" si="13"/>
        <v>861</v>
      </c>
      <c r="B862">
        <v>1.9276800000000001</v>
      </c>
    </row>
    <row r="863" spans="1:2">
      <c r="A863">
        <f t="shared" si="13"/>
        <v>862</v>
      </c>
      <c r="B863">
        <v>1.9229400000000001</v>
      </c>
    </row>
    <row r="864" spans="1:2">
      <c r="A864">
        <f t="shared" si="13"/>
        <v>863</v>
      </c>
      <c r="B864">
        <v>1.91055</v>
      </c>
    </row>
    <row r="865" spans="1:2">
      <c r="A865">
        <f t="shared" si="13"/>
        <v>864</v>
      </c>
      <c r="B865">
        <v>1.8935999999999999</v>
      </c>
    </row>
    <row r="866" spans="1:2">
      <c r="A866">
        <f t="shared" si="13"/>
        <v>865</v>
      </c>
      <c r="B866">
        <v>1.8874899999999999</v>
      </c>
    </row>
    <row r="867" spans="1:2">
      <c r="A867">
        <f t="shared" si="13"/>
        <v>866</v>
      </c>
      <c r="B867">
        <v>1.8815999999999999</v>
      </c>
    </row>
    <row r="868" spans="1:2">
      <c r="A868">
        <f t="shared" si="13"/>
        <v>867</v>
      </c>
      <c r="B868">
        <v>1.8846799999999999</v>
      </c>
    </row>
    <row r="869" spans="1:2">
      <c r="A869">
        <f t="shared" si="13"/>
        <v>868</v>
      </c>
      <c r="B869">
        <v>1.8773</v>
      </c>
    </row>
    <row r="870" spans="1:2">
      <c r="A870">
        <f t="shared" si="13"/>
        <v>869</v>
      </c>
      <c r="B870">
        <v>1.87995</v>
      </c>
    </row>
    <row r="871" spans="1:2">
      <c r="A871">
        <f t="shared" si="13"/>
        <v>870</v>
      </c>
      <c r="B871">
        <v>1.8515699999999999</v>
      </c>
    </row>
    <row r="872" spans="1:2">
      <c r="A872">
        <f t="shared" si="13"/>
        <v>871</v>
      </c>
      <c r="B872">
        <v>1.84592</v>
      </c>
    </row>
    <row r="873" spans="1:2">
      <c r="A873">
        <f t="shared" si="13"/>
        <v>872</v>
      </c>
      <c r="B873">
        <v>1.82613</v>
      </c>
    </row>
    <row r="874" spans="1:2">
      <c r="A874">
        <f t="shared" si="13"/>
        <v>873</v>
      </c>
      <c r="B874">
        <v>1.8221099999999999</v>
      </c>
    </row>
    <row r="875" spans="1:2">
      <c r="A875">
        <f t="shared" si="13"/>
        <v>874</v>
      </c>
      <c r="B875">
        <v>1.80718</v>
      </c>
    </row>
    <row r="876" spans="1:2">
      <c r="A876">
        <f t="shared" si="13"/>
        <v>875</v>
      </c>
      <c r="B876">
        <v>1.7854399999999999</v>
      </c>
    </row>
    <row r="877" spans="1:2">
      <c r="A877">
        <f t="shared" si="13"/>
        <v>876</v>
      </c>
      <c r="B877">
        <v>1.7866899999999999</v>
      </c>
    </row>
    <row r="878" spans="1:2">
      <c r="A878">
        <f t="shared" si="13"/>
        <v>877</v>
      </c>
      <c r="B878">
        <v>1.7975399999999999</v>
      </c>
    </row>
    <row r="879" spans="1:2">
      <c r="A879">
        <f t="shared" si="13"/>
        <v>878</v>
      </c>
      <c r="B879">
        <v>1.79138</v>
      </c>
    </row>
    <row r="880" spans="1:2">
      <c r="A880">
        <f t="shared" si="13"/>
        <v>879</v>
      </c>
      <c r="B880">
        <v>1.7679400000000001</v>
      </c>
    </row>
    <row r="881" spans="1:2">
      <c r="A881">
        <f t="shared" si="13"/>
        <v>880</v>
      </c>
      <c r="B881">
        <v>1.7609900000000001</v>
      </c>
    </row>
    <row r="882" spans="1:2">
      <c r="A882">
        <f t="shared" si="13"/>
        <v>881</v>
      </c>
      <c r="B882">
        <v>1.73899</v>
      </c>
    </row>
    <row r="883" spans="1:2">
      <c r="A883">
        <f t="shared" si="13"/>
        <v>882</v>
      </c>
      <c r="B883">
        <v>1.7384999999999999</v>
      </c>
    </row>
    <row r="884" spans="1:2">
      <c r="A884">
        <f t="shared" si="13"/>
        <v>883</v>
      </c>
      <c r="B884">
        <v>1.7403999999999999</v>
      </c>
    </row>
    <row r="885" spans="1:2">
      <c r="A885">
        <f t="shared" si="13"/>
        <v>884</v>
      </c>
      <c r="B885">
        <v>1.74922</v>
      </c>
    </row>
    <row r="886" spans="1:2">
      <c r="A886">
        <f t="shared" si="13"/>
        <v>885</v>
      </c>
      <c r="B886">
        <v>1.7347699999999999</v>
      </c>
    </row>
    <row r="887" spans="1:2">
      <c r="A887">
        <f t="shared" si="13"/>
        <v>886</v>
      </c>
      <c r="B887">
        <v>1.73539</v>
      </c>
    </row>
    <row r="888" spans="1:2">
      <c r="A888">
        <f t="shared" si="13"/>
        <v>887</v>
      </c>
      <c r="B888">
        <v>1.72801</v>
      </c>
    </row>
    <row r="889" spans="1:2">
      <c r="A889">
        <f t="shared" si="13"/>
        <v>888</v>
      </c>
      <c r="B889">
        <v>1.72716</v>
      </c>
    </row>
    <row r="890" spans="1:2">
      <c r="A890">
        <f t="shared" si="13"/>
        <v>889</v>
      </c>
      <c r="B890">
        <v>1.73309</v>
      </c>
    </row>
    <row r="891" spans="1:2">
      <c r="A891">
        <f t="shared" si="13"/>
        <v>890</v>
      </c>
      <c r="B891">
        <v>1.74169</v>
      </c>
    </row>
    <row r="892" spans="1:2">
      <c r="A892">
        <f t="shared" si="13"/>
        <v>891</v>
      </c>
      <c r="B892">
        <v>1.7250099999999999</v>
      </c>
    </row>
    <row r="893" spans="1:2">
      <c r="A893">
        <f t="shared" si="13"/>
        <v>892</v>
      </c>
      <c r="B893">
        <v>1.7234100000000001</v>
      </c>
    </row>
    <row r="894" spans="1:2">
      <c r="A894">
        <f t="shared" si="13"/>
        <v>893</v>
      </c>
      <c r="B894">
        <v>1.7231099999999999</v>
      </c>
    </row>
    <row r="895" spans="1:2">
      <c r="A895">
        <f t="shared" si="13"/>
        <v>894</v>
      </c>
      <c r="B895">
        <v>1.70523</v>
      </c>
    </row>
    <row r="896" spans="1:2">
      <c r="A896">
        <f t="shared" si="13"/>
        <v>895</v>
      </c>
      <c r="B896">
        <v>1.7133</v>
      </c>
    </row>
    <row r="897" spans="1:2">
      <c r="A897">
        <f t="shared" si="13"/>
        <v>896</v>
      </c>
      <c r="B897">
        <v>1.70533</v>
      </c>
    </row>
    <row r="898" spans="1:2">
      <c r="A898">
        <f t="shared" ref="A898:A961" si="14">1+A897</f>
        <v>897</v>
      </c>
      <c r="B898">
        <v>1.70583</v>
      </c>
    </row>
    <row r="899" spans="1:2">
      <c r="A899">
        <f t="shared" si="14"/>
        <v>898</v>
      </c>
      <c r="B899">
        <v>1.70261</v>
      </c>
    </row>
    <row r="900" spans="1:2">
      <c r="A900">
        <f t="shared" si="14"/>
        <v>899</v>
      </c>
      <c r="B900">
        <v>1.7016100000000001</v>
      </c>
    </row>
    <row r="901" spans="1:2">
      <c r="A901">
        <f t="shared" si="14"/>
        <v>900</v>
      </c>
      <c r="B901">
        <v>1.6853400000000001</v>
      </c>
    </row>
    <row r="902" spans="1:2">
      <c r="A902">
        <f t="shared" si="14"/>
        <v>901</v>
      </c>
      <c r="B902">
        <v>1.68529</v>
      </c>
    </row>
    <row r="903" spans="1:2">
      <c r="A903">
        <f t="shared" si="14"/>
        <v>902</v>
      </c>
      <c r="B903">
        <v>1.6749799999999999</v>
      </c>
    </row>
    <row r="904" spans="1:2">
      <c r="A904">
        <f t="shared" si="14"/>
        <v>903</v>
      </c>
      <c r="B904">
        <v>1.6747300000000001</v>
      </c>
    </row>
    <row r="905" spans="1:2">
      <c r="A905">
        <f t="shared" si="14"/>
        <v>904</v>
      </c>
      <c r="B905">
        <v>1.6842299999999999</v>
      </c>
    </row>
    <row r="906" spans="1:2">
      <c r="A906">
        <f t="shared" si="14"/>
        <v>905</v>
      </c>
      <c r="B906">
        <v>1.6657599999999999</v>
      </c>
    </row>
    <row r="907" spans="1:2">
      <c r="A907">
        <f t="shared" si="14"/>
        <v>906</v>
      </c>
      <c r="B907">
        <v>1.6557500000000001</v>
      </c>
    </row>
    <row r="908" spans="1:2">
      <c r="A908">
        <f t="shared" si="14"/>
        <v>907</v>
      </c>
      <c r="B908">
        <v>1.6566000000000001</v>
      </c>
    </row>
    <row r="909" spans="1:2">
      <c r="A909">
        <f t="shared" si="14"/>
        <v>908</v>
      </c>
      <c r="B909">
        <v>1.65259</v>
      </c>
    </row>
    <row r="910" spans="1:2">
      <c r="A910">
        <f t="shared" si="14"/>
        <v>909</v>
      </c>
      <c r="B910">
        <v>1.64055</v>
      </c>
    </row>
    <row r="911" spans="1:2">
      <c r="A911">
        <f t="shared" si="14"/>
        <v>910</v>
      </c>
      <c r="B911">
        <v>1.6302300000000001</v>
      </c>
    </row>
    <row r="912" spans="1:2">
      <c r="A912">
        <f t="shared" si="14"/>
        <v>911</v>
      </c>
      <c r="B912">
        <v>1.6372100000000001</v>
      </c>
    </row>
    <row r="913" spans="1:2">
      <c r="A913">
        <f t="shared" si="14"/>
        <v>912</v>
      </c>
      <c r="B913">
        <v>1.6358200000000001</v>
      </c>
    </row>
    <row r="914" spans="1:2">
      <c r="A914">
        <f t="shared" si="14"/>
        <v>913</v>
      </c>
      <c r="B914">
        <v>1.64551</v>
      </c>
    </row>
    <row r="915" spans="1:2">
      <c r="A915">
        <f t="shared" si="14"/>
        <v>914</v>
      </c>
      <c r="B915">
        <v>1.6429</v>
      </c>
    </row>
    <row r="916" spans="1:2">
      <c r="A916">
        <f t="shared" si="14"/>
        <v>915</v>
      </c>
      <c r="B916">
        <v>1.63141</v>
      </c>
    </row>
    <row r="917" spans="1:2">
      <c r="A917">
        <f t="shared" si="14"/>
        <v>916</v>
      </c>
      <c r="B917">
        <v>1.63043</v>
      </c>
    </row>
    <row r="918" spans="1:2">
      <c r="A918">
        <f t="shared" si="14"/>
        <v>917</v>
      </c>
      <c r="B918">
        <v>1.6398200000000001</v>
      </c>
    </row>
    <row r="919" spans="1:2">
      <c r="A919">
        <f t="shared" si="14"/>
        <v>918</v>
      </c>
      <c r="B919">
        <v>1.63934</v>
      </c>
    </row>
    <row r="920" spans="1:2">
      <c r="A920">
        <f t="shared" si="14"/>
        <v>919</v>
      </c>
      <c r="B920">
        <v>1.63744</v>
      </c>
    </row>
    <row r="921" spans="1:2">
      <c r="A921">
        <f t="shared" si="14"/>
        <v>920</v>
      </c>
      <c r="B921">
        <v>1.63775</v>
      </c>
    </row>
    <row r="922" spans="1:2">
      <c r="A922">
        <f t="shared" si="14"/>
        <v>921</v>
      </c>
      <c r="B922">
        <v>1.6460900000000001</v>
      </c>
    </row>
    <row r="923" spans="1:2">
      <c r="A923">
        <f t="shared" si="14"/>
        <v>922</v>
      </c>
      <c r="B923">
        <v>1.6459699999999999</v>
      </c>
    </row>
    <row r="924" spans="1:2">
      <c r="A924">
        <f t="shared" si="14"/>
        <v>923</v>
      </c>
      <c r="B924">
        <v>1.65543</v>
      </c>
    </row>
    <row r="925" spans="1:2">
      <c r="A925">
        <f t="shared" si="14"/>
        <v>924</v>
      </c>
      <c r="B925">
        <v>1.6532199999999999</v>
      </c>
    </row>
    <row r="926" spans="1:2">
      <c r="A926">
        <f t="shared" si="14"/>
        <v>925</v>
      </c>
      <c r="B926">
        <v>1.6619900000000001</v>
      </c>
    </row>
    <row r="927" spans="1:2">
      <c r="A927">
        <f t="shared" si="14"/>
        <v>926</v>
      </c>
      <c r="B927">
        <v>1.6500699999999999</v>
      </c>
    </row>
    <row r="928" spans="1:2">
      <c r="A928">
        <f t="shared" si="14"/>
        <v>927</v>
      </c>
      <c r="B928">
        <v>1.63636</v>
      </c>
    </row>
    <row r="929" spans="1:2">
      <c r="A929">
        <f t="shared" si="14"/>
        <v>928</v>
      </c>
      <c r="B929">
        <v>1.6353500000000001</v>
      </c>
    </row>
    <row r="930" spans="1:2">
      <c r="A930">
        <f t="shared" si="14"/>
        <v>929</v>
      </c>
      <c r="B930">
        <v>1.6232800000000001</v>
      </c>
    </row>
    <row r="931" spans="1:2">
      <c r="A931">
        <f t="shared" si="14"/>
        <v>930</v>
      </c>
      <c r="B931">
        <v>1.6309400000000001</v>
      </c>
    </row>
    <row r="932" spans="1:2">
      <c r="A932">
        <f t="shared" si="14"/>
        <v>931</v>
      </c>
      <c r="B932">
        <v>1.6190599999999999</v>
      </c>
    </row>
    <row r="933" spans="1:2">
      <c r="A933">
        <f t="shared" si="14"/>
        <v>932</v>
      </c>
      <c r="B933">
        <v>1.6272800000000001</v>
      </c>
    </row>
    <row r="934" spans="1:2">
      <c r="A934">
        <f t="shared" si="14"/>
        <v>933</v>
      </c>
      <c r="B934">
        <v>1.61307</v>
      </c>
    </row>
    <row r="935" spans="1:2">
      <c r="A935">
        <f t="shared" si="14"/>
        <v>934</v>
      </c>
      <c r="B935">
        <v>1.6031</v>
      </c>
    </row>
    <row r="936" spans="1:2">
      <c r="A936">
        <f t="shared" si="14"/>
        <v>935</v>
      </c>
      <c r="B936">
        <v>1.5901400000000001</v>
      </c>
    </row>
    <row r="937" spans="1:2">
      <c r="A937">
        <f t="shared" si="14"/>
        <v>936</v>
      </c>
      <c r="B937">
        <v>1.5883100000000001</v>
      </c>
    </row>
    <row r="938" spans="1:2">
      <c r="A938">
        <f t="shared" si="14"/>
        <v>937</v>
      </c>
      <c r="B938">
        <v>1.59761</v>
      </c>
    </row>
    <row r="939" spans="1:2">
      <c r="A939">
        <f t="shared" si="14"/>
        <v>938</v>
      </c>
      <c r="B939">
        <v>1.60703</v>
      </c>
    </row>
    <row r="940" spans="1:2">
      <c r="A940">
        <f t="shared" si="14"/>
        <v>939</v>
      </c>
      <c r="B940">
        <v>1.6035299999999999</v>
      </c>
    </row>
    <row r="941" spans="1:2">
      <c r="A941">
        <f t="shared" si="14"/>
        <v>940</v>
      </c>
      <c r="B941">
        <v>1.59005</v>
      </c>
    </row>
    <row r="942" spans="1:2">
      <c r="A942">
        <f t="shared" si="14"/>
        <v>941</v>
      </c>
      <c r="B942">
        <v>1.5852299999999999</v>
      </c>
    </row>
    <row r="943" spans="1:2">
      <c r="A943">
        <f t="shared" si="14"/>
        <v>942</v>
      </c>
      <c r="B943">
        <v>1.59145</v>
      </c>
    </row>
    <row r="944" spans="1:2">
      <c r="A944">
        <f t="shared" si="14"/>
        <v>943</v>
      </c>
      <c r="B944">
        <v>1.5772200000000001</v>
      </c>
    </row>
    <row r="945" spans="1:2">
      <c r="A945">
        <f t="shared" si="14"/>
        <v>944</v>
      </c>
      <c r="B945">
        <v>1.5860799999999999</v>
      </c>
    </row>
    <row r="946" spans="1:2">
      <c r="A946">
        <f t="shared" si="14"/>
        <v>945</v>
      </c>
      <c r="B946">
        <v>1.59239</v>
      </c>
    </row>
    <row r="947" spans="1:2">
      <c r="A947">
        <f t="shared" si="14"/>
        <v>946</v>
      </c>
      <c r="B947">
        <v>1.6001799999999999</v>
      </c>
    </row>
    <row r="948" spans="1:2">
      <c r="A948">
        <f t="shared" si="14"/>
        <v>947</v>
      </c>
      <c r="B948">
        <v>1.5972299999999999</v>
      </c>
    </row>
    <row r="949" spans="1:2">
      <c r="A949">
        <f t="shared" si="14"/>
        <v>948</v>
      </c>
      <c r="B949">
        <v>1.58267</v>
      </c>
    </row>
    <row r="950" spans="1:2">
      <c r="A950">
        <f t="shared" si="14"/>
        <v>949</v>
      </c>
      <c r="B950">
        <v>1.5776399999999999</v>
      </c>
    </row>
    <row r="951" spans="1:2">
      <c r="A951">
        <f t="shared" si="14"/>
        <v>950</v>
      </c>
      <c r="B951">
        <v>1.5626800000000001</v>
      </c>
    </row>
    <row r="952" spans="1:2">
      <c r="A952">
        <f t="shared" si="14"/>
        <v>951</v>
      </c>
      <c r="B952">
        <v>1.5694300000000001</v>
      </c>
    </row>
    <row r="953" spans="1:2">
      <c r="A953">
        <f t="shared" si="14"/>
        <v>952</v>
      </c>
      <c r="B953">
        <v>1.5557099999999999</v>
      </c>
    </row>
    <row r="954" spans="1:2">
      <c r="A954">
        <f t="shared" si="14"/>
        <v>953</v>
      </c>
      <c r="B954">
        <v>1.54888</v>
      </c>
    </row>
    <row r="955" spans="1:2">
      <c r="A955">
        <f t="shared" si="14"/>
        <v>954</v>
      </c>
      <c r="B955">
        <v>1.53243</v>
      </c>
    </row>
    <row r="956" spans="1:2">
      <c r="A956">
        <f t="shared" si="14"/>
        <v>955</v>
      </c>
      <c r="B956">
        <v>1.5434600000000001</v>
      </c>
    </row>
    <row r="957" spans="1:2">
      <c r="A957">
        <f t="shared" si="14"/>
        <v>956</v>
      </c>
      <c r="B957">
        <v>1.5393600000000001</v>
      </c>
    </row>
    <row r="958" spans="1:2">
      <c r="A958">
        <f t="shared" si="14"/>
        <v>957</v>
      </c>
      <c r="B958">
        <v>1.5354000000000001</v>
      </c>
    </row>
    <row r="959" spans="1:2">
      <c r="A959">
        <f t="shared" si="14"/>
        <v>958</v>
      </c>
      <c r="B959">
        <v>1.5058800000000001</v>
      </c>
    </row>
    <row r="960" spans="1:2">
      <c r="A960">
        <f t="shared" si="14"/>
        <v>959</v>
      </c>
      <c r="B960">
        <v>1.5149699999999999</v>
      </c>
    </row>
    <row r="961" spans="1:2">
      <c r="A961">
        <f t="shared" si="14"/>
        <v>960</v>
      </c>
      <c r="B961">
        <v>1.5216400000000001</v>
      </c>
    </row>
    <row r="962" spans="1:2">
      <c r="A962">
        <f t="shared" ref="A962:A1000" si="15">1+A961</f>
        <v>961</v>
      </c>
      <c r="B962">
        <v>1.5320199999999999</v>
      </c>
    </row>
    <row r="963" spans="1:2">
      <c r="A963">
        <f t="shared" si="15"/>
        <v>962</v>
      </c>
      <c r="B963">
        <v>1.54013</v>
      </c>
    </row>
    <row r="964" spans="1:2">
      <c r="A964">
        <f t="shared" si="15"/>
        <v>963</v>
      </c>
      <c r="B964">
        <v>1.54701</v>
      </c>
    </row>
    <row r="965" spans="1:2">
      <c r="A965">
        <f t="shared" si="15"/>
        <v>964</v>
      </c>
      <c r="B965">
        <v>1.5192000000000001</v>
      </c>
    </row>
    <row r="966" spans="1:2">
      <c r="A966">
        <f t="shared" si="15"/>
        <v>965</v>
      </c>
      <c r="B966">
        <v>1.52644</v>
      </c>
    </row>
    <row r="967" spans="1:2">
      <c r="A967">
        <f t="shared" si="15"/>
        <v>966</v>
      </c>
      <c r="B967">
        <v>1.5337400000000001</v>
      </c>
    </row>
    <row r="968" spans="1:2">
      <c r="A968">
        <f t="shared" si="15"/>
        <v>967</v>
      </c>
      <c r="B968">
        <v>1.52766</v>
      </c>
    </row>
    <row r="969" spans="1:2">
      <c r="A969">
        <f t="shared" si="15"/>
        <v>968</v>
      </c>
      <c r="B969">
        <v>1.5335099999999999</v>
      </c>
    </row>
    <row r="970" spans="1:2">
      <c r="A970">
        <f t="shared" si="15"/>
        <v>969</v>
      </c>
      <c r="B970">
        <v>1.51817</v>
      </c>
    </row>
    <row r="971" spans="1:2">
      <c r="A971">
        <f t="shared" si="15"/>
        <v>970</v>
      </c>
      <c r="B971">
        <v>1.5276700000000001</v>
      </c>
    </row>
    <row r="972" spans="1:2">
      <c r="A972">
        <f t="shared" si="15"/>
        <v>971</v>
      </c>
      <c r="B972">
        <v>1.52335</v>
      </c>
    </row>
    <row r="973" spans="1:2">
      <c r="A973">
        <f t="shared" si="15"/>
        <v>972</v>
      </c>
      <c r="B973">
        <v>1.5299</v>
      </c>
    </row>
    <row r="974" spans="1:2">
      <c r="A974">
        <f t="shared" si="15"/>
        <v>973</v>
      </c>
      <c r="B974">
        <v>1.5363100000000001</v>
      </c>
    </row>
    <row r="975" spans="1:2">
      <c r="A975">
        <f t="shared" si="15"/>
        <v>974</v>
      </c>
      <c r="B975">
        <v>1.54494</v>
      </c>
    </row>
    <row r="976" spans="1:2">
      <c r="A976">
        <f t="shared" si="15"/>
        <v>975</v>
      </c>
      <c r="B976">
        <v>1.5424199999999999</v>
      </c>
    </row>
    <row r="977" spans="1:2">
      <c r="A977">
        <f t="shared" si="15"/>
        <v>976</v>
      </c>
      <c r="B977">
        <v>1.55019</v>
      </c>
    </row>
    <row r="978" spans="1:2">
      <c r="A978">
        <f t="shared" si="15"/>
        <v>977</v>
      </c>
      <c r="B978">
        <v>1.5576300000000001</v>
      </c>
    </row>
    <row r="979" spans="1:2">
      <c r="A979">
        <f t="shared" si="15"/>
        <v>978</v>
      </c>
      <c r="B979">
        <v>1.53826</v>
      </c>
    </row>
    <row r="980" spans="1:2">
      <c r="A980">
        <f t="shared" si="15"/>
        <v>979</v>
      </c>
      <c r="B980">
        <v>1.52071</v>
      </c>
    </row>
    <row r="981" spans="1:2">
      <c r="A981">
        <f t="shared" si="15"/>
        <v>980</v>
      </c>
      <c r="B981">
        <v>1.51515</v>
      </c>
    </row>
    <row r="982" spans="1:2">
      <c r="A982">
        <f t="shared" si="15"/>
        <v>981</v>
      </c>
      <c r="B982">
        <v>1.52338</v>
      </c>
    </row>
    <row r="983" spans="1:2">
      <c r="A983">
        <f t="shared" si="15"/>
        <v>982</v>
      </c>
      <c r="B983">
        <v>1.5175700000000001</v>
      </c>
    </row>
    <row r="984" spans="1:2">
      <c r="A984">
        <f t="shared" si="15"/>
        <v>983</v>
      </c>
      <c r="B984">
        <v>1.52468</v>
      </c>
    </row>
    <row r="985" spans="1:2">
      <c r="A985">
        <f t="shared" si="15"/>
        <v>984</v>
      </c>
      <c r="B985">
        <v>1.5324599999999999</v>
      </c>
    </row>
    <row r="986" spans="1:2">
      <c r="A986">
        <f t="shared" si="15"/>
        <v>985</v>
      </c>
      <c r="B986">
        <v>1.5397099999999999</v>
      </c>
    </row>
    <row r="987" spans="1:2">
      <c r="A987">
        <f t="shared" si="15"/>
        <v>986</v>
      </c>
      <c r="B987">
        <v>1.5322</v>
      </c>
    </row>
    <row r="988" spans="1:2">
      <c r="A988">
        <f t="shared" si="15"/>
        <v>987</v>
      </c>
      <c r="B988">
        <v>1.5114399999999999</v>
      </c>
    </row>
    <row r="989" spans="1:2">
      <c r="A989">
        <f t="shared" si="15"/>
        <v>988</v>
      </c>
      <c r="B989">
        <v>1.5047900000000001</v>
      </c>
    </row>
    <row r="990" spans="1:2">
      <c r="A990">
        <f t="shared" si="15"/>
        <v>989</v>
      </c>
      <c r="B990">
        <v>1.51037</v>
      </c>
    </row>
    <row r="991" spans="1:2">
      <c r="A991">
        <f t="shared" si="15"/>
        <v>990</v>
      </c>
      <c r="B991">
        <v>1.5193399999999999</v>
      </c>
    </row>
    <row r="992" spans="1:2">
      <c r="A992">
        <f t="shared" si="15"/>
        <v>991</v>
      </c>
      <c r="B992">
        <v>1.5155700000000001</v>
      </c>
    </row>
    <row r="993" spans="1:2">
      <c r="A993">
        <f t="shared" si="15"/>
        <v>992</v>
      </c>
      <c r="B993">
        <v>1.5248999999999999</v>
      </c>
    </row>
    <row r="994" spans="1:2">
      <c r="A994">
        <f t="shared" si="15"/>
        <v>993</v>
      </c>
      <c r="B994">
        <v>1.5319700000000001</v>
      </c>
    </row>
    <row r="995" spans="1:2">
      <c r="A995">
        <f t="shared" si="15"/>
        <v>994</v>
      </c>
      <c r="B995">
        <v>1.52413</v>
      </c>
    </row>
    <row r="996" spans="1:2">
      <c r="A996">
        <f t="shared" si="15"/>
        <v>995</v>
      </c>
      <c r="B996">
        <v>1.51752</v>
      </c>
    </row>
    <row r="997" spans="1:2">
      <c r="A997">
        <f t="shared" si="15"/>
        <v>996</v>
      </c>
      <c r="B997">
        <v>1.5106200000000001</v>
      </c>
    </row>
    <row r="998" spans="1:2">
      <c r="A998">
        <f t="shared" si="15"/>
        <v>997</v>
      </c>
      <c r="B998">
        <v>1.4895400000000001</v>
      </c>
    </row>
    <row r="999" spans="1:2">
      <c r="A999">
        <f t="shared" si="15"/>
        <v>998</v>
      </c>
      <c r="B999">
        <v>1.4837199999999999</v>
      </c>
    </row>
    <row r="1000" spans="1:2">
      <c r="A1000">
        <f t="shared" si="15"/>
        <v>999</v>
      </c>
      <c r="B1000">
        <v>1.47634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7BA1-17F3-41FD-96F0-8E32866B9896}">
  <dimension ref="A1:F11"/>
  <sheetViews>
    <sheetView workbookViewId="0"/>
  </sheetViews>
  <sheetFormatPr baseColWidth="10" defaultRowHeight="12.75"/>
  <cols>
    <col min="1" max="6" width="12.140625" customWidth="1"/>
    <col min="7" max="7" width="11.42578125" customWidth="1"/>
  </cols>
  <sheetData>
    <row r="1" spans="1:6" ht="15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</row>
    <row r="2" spans="1:6" ht="1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ht="15">
      <c r="A3">
        <f t="shared" ref="A3:A11" si="0">MOD(A2+1,9)</f>
        <v>1</v>
      </c>
      <c r="B3">
        <f t="shared" ref="B3:B11" si="1">MOD(B2+2,9)</f>
        <v>2</v>
      </c>
      <c r="C3">
        <f t="shared" ref="C3:C11" si="2">MOD(C2+4,9)</f>
        <v>4</v>
      </c>
      <c r="D3">
        <f t="shared" ref="D3:D11" si="3">MOD(D2+5,9)</f>
        <v>5</v>
      </c>
      <c r="E3">
        <f t="shared" ref="E3:E11" si="4">MOD(E2+7,9)</f>
        <v>7</v>
      </c>
      <c r="F3">
        <f t="shared" ref="F3:F11" si="5">MOD(F2+8,9)</f>
        <v>8</v>
      </c>
    </row>
    <row r="4" spans="1:6" ht="15">
      <c r="A4">
        <f t="shared" si="0"/>
        <v>2</v>
      </c>
      <c r="B4">
        <f t="shared" si="1"/>
        <v>4</v>
      </c>
      <c r="C4">
        <f t="shared" si="2"/>
        <v>8</v>
      </c>
      <c r="D4">
        <f t="shared" si="3"/>
        <v>1</v>
      </c>
      <c r="E4">
        <f t="shared" si="4"/>
        <v>5</v>
      </c>
      <c r="F4">
        <f t="shared" si="5"/>
        <v>7</v>
      </c>
    </row>
    <row r="5" spans="1:6" ht="15">
      <c r="A5">
        <f t="shared" si="0"/>
        <v>3</v>
      </c>
      <c r="B5">
        <f t="shared" si="1"/>
        <v>6</v>
      </c>
      <c r="C5">
        <f t="shared" si="2"/>
        <v>3</v>
      </c>
      <c r="D5">
        <f t="shared" si="3"/>
        <v>6</v>
      </c>
      <c r="E5">
        <f t="shared" si="4"/>
        <v>3</v>
      </c>
      <c r="F5">
        <f t="shared" si="5"/>
        <v>6</v>
      </c>
    </row>
    <row r="6" spans="1:6" ht="15">
      <c r="A6">
        <f t="shared" si="0"/>
        <v>4</v>
      </c>
      <c r="B6">
        <f t="shared" si="1"/>
        <v>8</v>
      </c>
      <c r="C6">
        <f t="shared" si="2"/>
        <v>7</v>
      </c>
      <c r="D6">
        <f t="shared" si="3"/>
        <v>2</v>
      </c>
      <c r="E6">
        <f t="shared" si="4"/>
        <v>1</v>
      </c>
      <c r="F6">
        <f t="shared" si="5"/>
        <v>5</v>
      </c>
    </row>
    <row r="7" spans="1:6" ht="15">
      <c r="A7">
        <f t="shared" si="0"/>
        <v>5</v>
      </c>
      <c r="B7">
        <f t="shared" si="1"/>
        <v>1</v>
      </c>
      <c r="C7">
        <f t="shared" si="2"/>
        <v>2</v>
      </c>
      <c r="D7">
        <f t="shared" si="3"/>
        <v>7</v>
      </c>
      <c r="E7">
        <f t="shared" si="4"/>
        <v>8</v>
      </c>
      <c r="F7">
        <f t="shared" si="5"/>
        <v>4</v>
      </c>
    </row>
    <row r="8" spans="1:6" ht="15">
      <c r="A8">
        <f t="shared" si="0"/>
        <v>6</v>
      </c>
      <c r="B8">
        <f t="shared" si="1"/>
        <v>3</v>
      </c>
      <c r="C8">
        <f t="shared" si="2"/>
        <v>6</v>
      </c>
      <c r="D8">
        <f t="shared" si="3"/>
        <v>3</v>
      </c>
      <c r="E8">
        <f t="shared" si="4"/>
        <v>6</v>
      </c>
      <c r="F8">
        <f t="shared" si="5"/>
        <v>3</v>
      </c>
    </row>
    <row r="9" spans="1:6" ht="15">
      <c r="A9">
        <f t="shared" si="0"/>
        <v>7</v>
      </c>
      <c r="B9">
        <f t="shared" si="1"/>
        <v>5</v>
      </c>
      <c r="C9">
        <f t="shared" si="2"/>
        <v>1</v>
      </c>
      <c r="D9">
        <f t="shared" si="3"/>
        <v>8</v>
      </c>
      <c r="E9">
        <f t="shared" si="4"/>
        <v>4</v>
      </c>
      <c r="F9">
        <f t="shared" si="5"/>
        <v>2</v>
      </c>
    </row>
    <row r="10" spans="1:6" ht="15">
      <c r="A10">
        <f t="shared" si="0"/>
        <v>8</v>
      </c>
      <c r="B10">
        <f t="shared" si="1"/>
        <v>7</v>
      </c>
      <c r="C10">
        <f t="shared" si="2"/>
        <v>5</v>
      </c>
      <c r="D10">
        <f t="shared" si="3"/>
        <v>4</v>
      </c>
      <c r="E10">
        <f t="shared" si="4"/>
        <v>2</v>
      </c>
      <c r="F10">
        <f t="shared" si="5"/>
        <v>1</v>
      </c>
    </row>
    <row r="11" spans="1:6" ht="15">
      <c r="A11">
        <f t="shared" si="0"/>
        <v>0</v>
      </c>
      <c r="B11">
        <f t="shared" si="1"/>
        <v>0</v>
      </c>
      <c r="C11">
        <f t="shared" si="2"/>
        <v>0</v>
      </c>
      <c r="D11">
        <f t="shared" si="3"/>
        <v>0</v>
      </c>
      <c r="E11">
        <f t="shared" si="4"/>
        <v>0</v>
      </c>
      <c r="F11">
        <f t="shared" si="5"/>
        <v>0</v>
      </c>
    </row>
  </sheetData>
  <pageMargins left="0" right="0" top="0.39370078740157505" bottom="0.39370078740157505" header="0" footer="0"/>
  <headerFooter>
    <oddHeader>&amp;C&amp;A</oddHeader>
    <oddFooter>&amp;CSeite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618C5-2782-45DF-924B-B91804BB6583}">
  <dimension ref="A1:T262"/>
  <sheetViews>
    <sheetView workbookViewId="0"/>
  </sheetViews>
  <sheetFormatPr baseColWidth="10" defaultRowHeight="12.75"/>
  <cols>
    <col min="1" max="20" width="12.140625" customWidth="1"/>
    <col min="21" max="21" width="11.42578125" customWidth="1"/>
  </cols>
  <sheetData>
    <row r="1" spans="1:20" ht="15">
      <c r="A1" t="s">
        <v>69</v>
      </c>
      <c r="B1" t="s">
        <v>7</v>
      </c>
      <c r="D1" t="s">
        <v>69</v>
      </c>
      <c r="E1" t="s">
        <v>7</v>
      </c>
      <c r="G1" t="s">
        <v>69</v>
      </c>
      <c r="H1" t="s">
        <v>7</v>
      </c>
      <c r="J1" t="s">
        <v>69</v>
      </c>
      <c r="K1" t="s">
        <v>7</v>
      </c>
      <c r="M1" t="s">
        <v>69</v>
      </c>
      <c r="N1" t="s">
        <v>7</v>
      </c>
      <c r="P1" t="s">
        <v>69</v>
      </c>
      <c r="Q1" t="s">
        <v>7</v>
      </c>
      <c r="S1" t="s">
        <v>69</v>
      </c>
      <c r="T1" t="s">
        <v>7</v>
      </c>
    </row>
    <row r="2" spans="1:20" ht="15">
      <c r="A2" t="s">
        <v>13</v>
      </c>
      <c r="B2">
        <v>20.607399999999998</v>
      </c>
      <c r="D2" t="s">
        <v>13</v>
      </c>
      <c r="E2">
        <v>20.472799999999999</v>
      </c>
      <c r="G2" t="s">
        <v>13</v>
      </c>
      <c r="H2">
        <v>20.551300000000001</v>
      </c>
      <c r="J2" t="s">
        <v>13</v>
      </c>
      <c r="K2">
        <v>20.534500000000001</v>
      </c>
      <c r="M2" t="s">
        <v>13</v>
      </c>
      <c r="N2">
        <v>20.694700000000001</v>
      </c>
      <c r="P2" t="s">
        <v>13</v>
      </c>
      <c r="Q2">
        <v>20.576499999999999</v>
      </c>
      <c r="S2" t="s">
        <v>70</v>
      </c>
      <c r="T2" t="s">
        <v>71</v>
      </c>
    </row>
    <row r="3" spans="1:20" ht="15">
      <c r="A3" t="s">
        <v>38</v>
      </c>
      <c r="B3">
        <v>20.315100000000001</v>
      </c>
      <c r="D3" t="s">
        <v>38</v>
      </c>
      <c r="E3">
        <v>20.499600000000001</v>
      </c>
      <c r="G3" t="s">
        <v>38</v>
      </c>
      <c r="H3">
        <v>20.528500000000001</v>
      </c>
      <c r="J3" t="s">
        <v>38</v>
      </c>
      <c r="K3">
        <v>20.5534</v>
      </c>
      <c r="M3" t="s">
        <v>38</v>
      </c>
      <c r="N3">
        <v>20.688700000000001</v>
      </c>
      <c r="P3" t="s">
        <v>38</v>
      </c>
      <c r="Q3">
        <v>20.570900000000002</v>
      </c>
      <c r="S3">
        <v>29</v>
      </c>
      <c r="T3">
        <v>953</v>
      </c>
    </row>
    <row r="4" spans="1:20" ht="15">
      <c r="A4" t="s">
        <v>72</v>
      </c>
      <c r="B4">
        <v>20.308900000000001</v>
      </c>
      <c r="D4" t="s">
        <v>72</v>
      </c>
      <c r="E4">
        <v>20.532900000000001</v>
      </c>
      <c r="G4" t="s">
        <v>72</v>
      </c>
      <c r="H4">
        <v>20.541499999999999</v>
      </c>
      <c r="J4" t="s">
        <v>72</v>
      </c>
      <c r="K4">
        <v>20.5395</v>
      </c>
      <c r="M4" t="s">
        <v>72</v>
      </c>
      <c r="N4">
        <v>20.691299999999998</v>
      </c>
      <c r="P4" t="s">
        <v>72</v>
      </c>
      <c r="Q4">
        <v>20.565200000000001</v>
      </c>
      <c r="S4">
        <v>8</v>
      </c>
      <c r="T4">
        <v>72429</v>
      </c>
    </row>
    <row r="5" spans="1:20" ht="15">
      <c r="A5" t="s">
        <v>73</v>
      </c>
      <c r="B5">
        <v>20.403500000000001</v>
      </c>
      <c r="D5" t="s">
        <v>73</v>
      </c>
      <c r="E5">
        <v>20.5961</v>
      </c>
      <c r="G5" t="s">
        <v>73</v>
      </c>
      <c r="H5">
        <v>20.534500000000001</v>
      </c>
      <c r="J5" t="s">
        <v>73</v>
      </c>
      <c r="K5">
        <v>20.5289</v>
      </c>
      <c r="M5" t="s">
        <v>73</v>
      </c>
      <c r="N5">
        <v>20.695</v>
      </c>
      <c r="P5" t="s">
        <v>73</v>
      </c>
      <c r="Q5">
        <v>20.5578</v>
      </c>
      <c r="S5">
        <v>7</v>
      </c>
      <c r="T5">
        <v>86689</v>
      </c>
    </row>
    <row r="6" spans="1:20" ht="15">
      <c r="A6" t="s">
        <v>74</v>
      </c>
      <c r="B6">
        <v>20.4954</v>
      </c>
      <c r="D6" t="s">
        <v>74</v>
      </c>
      <c r="E6">
        <v>20.345800000000001</v>
      </c>
      <c r="G6" t="s">
        <v>74</v>
      </c>
      <c r="H6">
        <v>20.5383</v>
      </c>
      <c r="J6" t="s">
        <v>74</v>
      </c>
      <c r="K6">
        <v>20.532399999999999</v>
      </c>
      <c r="M6" t="s">
        <v>74</v>
      </c>
      <c r="N6">
        <v>20.700900000000001</v>
      </c>
      <c r="P6" t="s">
        <v>74</v>
      </c>
      <c r="Q6">
        <v>20.5519</v>
      </c>
      <c r="S6">
        <v>6</v>
      </c>
      <c r="T6">
        <v>4425</v>
      </c>
    </row>
    <row r="7" spans="1:20" ht="15">
      <c r="A7" t="s">
        <v>75</v>
      </c>
      <c r="B7">
        <v>20.537800000000001</v>
      </c>
      <c r="D7" t="s">
        <v>75</v>
      </c>
      <c r="E7">
        <v>20.331600000000002</v>
      </c>
      <c r="G7" t="s">
        <v>75</v>
      </c>
      <c r="H7">
        <v>20.522099999999998</v>
      </c>
      <c r="J7" t="s">
        <v>75</v>
      </c>
      <c r="K7">
        <v>20.532299999999999</v>
      </c>
      <c r="M7" t="s">
        <v>75</v>
      </c>
      <c r="N7">
        <v>20.6907</v>
      </c>
      <c r="P7" t="s">
        <v>75</v>
      </c>
      <c r="Q7">
        <v>20.555800000000001</v>
      </c>
      <c r="S7">
        <v>4</v>
      </c>
      <c r="T7">
        <v>81779</v>
      </c>
    </row>
    <row r="8" spans="1:20" ht="15">
      <c r="A8" t="s">
        <v>76</v>
      </c>
      <c r="B8">
        <v>20.564299999999999</v>
      </c>
      <c r="D8" t="s">
        <v>76</v>
      </c>
      <c r="E8">
        <v>20.361799999999999</v>
      </c>
      <c r="G8" t="s">
        <v>76</v>
      </c>
      <c r="H8">
        <v>20.5093</v>
      </c>
      <c r="J8" t="s">
        <v>76</v>
      </c>
      <c r="K8">
        <v>20.526499999999999</v>
      </c>
      <c r="M8" t="s">
        <v>76</v>
      </c>
      <c r="N8">
        <v>20.693300000000001</v>
      </c>
      <c r="P8" t="s">
        <v>76</v>
      </c>
      <c r="Q8">
        <v>20.5548</v>
      </c>
      <c r="S8">
        <v>3</v>
      </c>
      <c r="T8">
        <v>67336</v>
      </c>
    </row>
    <row r="9" spans="1:20" ht="15">
      <c r="A9" t="s">
        <v>77</v>
      </c>
      <c r="B9">
        <v>20.5703</v>
      </c>
      <c r="D9" t="s">
        <v>77</v>
      </c>
      <c r="E9">
        <v>20.433599999999998</v>
      </c>
      <c r="G9" t="s">
        <v>77</v>
      </c>
      <c r="H9">
        <v>20.504999999999999</v>
      </c>
      <c r="J9" t="s">
        <v>77</v>
      </c>
      <c r="K9">
        <v>20.5365</v>
      </c>
      <c r="M9" t="s">
        <v>77</v>
      </c>
      <c r="N9">
        <v>20.683</v>
      </c>
      <c r="P9" t="s">
        <v>77</v>
      </c>
      <c r="Q9">
        <v>20.549900000000001</v>
      </c>
      <c r="S9">
        <v>3</v>
      </c>
      <c r="T9">
        <v>359</v>
      </c>
    </row>
    <row r="10" spans="1:20" ht="15">
      <c r="A10" t="s">
        <v>78</v>
      </c>
      <c r="B10">
        <v>20.5566</v>
      </c>
      <c r="D10" t="s">
        <v>78</v>
      </c>
      <c r="E10">
        <v>20.4421</v>
      </c>
      <c r="G10" t="s">
        <v>78</v>
      </c>
      <c r="H10">
        <v>20.535499999999999</v>
      </c>
      <c r="J10" t="s">
        <v>78</v>
      </c>
      <c r="K10">
        <v>20.5259</v>
      </c>
      <c r="M10" t="s">
        <v>78</v>
      </c>
      <c r="N10">
        <v>20.675699999999999</v>
      </c>
      <c r="P10" t="s">
        <v>78</v>
      </c>
      <c r="Q10">
        <v>20.565999999999999</v>
      </c>
      <c r="S10">
        <v>2</v>
      </c>
      <c r="T10">
        <v>50979</v>
      </c>
    </row>
    <row r="11" spans="1:20" ht="15">
      <c r="A11" t="s">
        <v>15</v>
      </c>
      <c r="B11">
        <v>15.870900000000001</v>
      </c>
      <c r="D11" t="s">
        <v>15</v>
      </c>
      <c r="E11">
        <v>15.698600000000001</v>
      </c>
      <c r="G11" t="s">
        <v>15</v>
      </c>
      <c r="H11">
        <v>15.912699999999999</v>
      </c>
      <c r="J11" t="s">
        <v>15</v>
      </c>
      <c r="K11">
        <v>15.835800000000001</v>
      </c>
      <c r="M11" t="s">
        <v>15</v>
      </c>
      <c r="N11">
        <v>16.2072</v>
      </c>
      <c r="P11" t="s">
        <v>15</v>
      </c>
      <c r="Q11">
        <v>15.8492</v>
      </c>
      <c r="S11">
        <v>2</v>
      </c>
      <c r="T11">
        <v>2262</v>
      </c>
    </row>
    <row r="12" spans="1:20" ht="15">
      <c r="A12" t="s">
        <v>47</v>
      </c>
      <c r="B12">
        <v>15.7133</v>
      </c>
      <c r="D12" t="s">
        <v>47</v>
      </c>
      <c r="E12">
        <v>15.724299999999999</v>
      </c>
      <c r="G12" t="s">
        <v>47</v>
      </c>
      <c r="H12">
        <v>15.887600000000001</v>
      </c>
      <c r="J12" t="s">
        <v>47</v>
      </c>
      <c r="K12">
        <v>15.8545</v>
      </c>
      <c r="M12" t="s">
        <v>47</v>
      </c>
      <c r="N12">
        <v>16.1982</v>
      </c>
      <c r="P12" t="s">
        <v>47</v>
      </c>
      <c r="Q12">
        <v>15.8453</v>
      </c>
      <c r="S12">
        <v>1</v>
      </c>
      <c r="T12">
        <v>60151</v>
      </c>
    </row>
    <row r="13" spans="1:20" ht="15">
      <c r="A13" t="s">
        <v>79</v>
      </c>
      <c r="B13">
        <v>15.646800000000001</v>
      </c>
      <c r="D13" t="s">
        <v>79</v>
      </c>
      <c r="E13">
        <v>15.7506</v>
      </c>
      <c r="G13" t="s">
        <v>79</v>
      </c>
      <c r="H13">
        <v>15.8964</v>
      </c>
      <c r="J13" t="s">
        <v>79</v>
      </c>
      <c r="K13">
        <v>15.828099999999999</v>
      </c>
      <c r="M13" t="s">
        <v>79</v>
      </c>
      <c r="N13">
        <v>16.209099999999999</v>
      </c>
      <c r="P13" t="s">
        <v>79</v>
      </c>
      <c r="Q13">
        <v>15.839700000000001</v>
      </c>
      <c r="S13">
        <v>1</v>
      </c>
      <c r="T13">
        <v>21577</v>
      </c>
    </row>
    <row r="14" spans="1:20" ht="15">
      <c r="A14" t="s">
        <v>80</v>
      </c>
      <c r="B14">
        <v>15.698</v>
      </c>
      <c r="D14" t="s">
        <v>80</v>
      </c>
      <c r="E14">
        <v>15.7805</v>
      </c>
      <c r="G14" t="s">
        <v>80</v>
      </c>
      <c r="H14">
        <v>15.8996</v>
      </c>
      <c r="J14" t="s">
        <v>80</v>
      </c>
      <c r="K14">
        <v>15.827199999999999</v>
      </c>
      <c r="M14" t="s">
        <v>80</v>
      </c>
      <c r="N14">
        <v>16.204000000000001</v>
      </c>
      <c r="P14" t="s">
        <v>80</v>
      </c>
      <c r="Q14">
        <v>15.8322</v>
      </c>
      <c r="S14">
        <v>0</v>
      </c>
      <c r="T14">
        <v>903612</v>
      </c>
    </row>
    <row r="15" spans="1:20" ht="15">
      <c r="A15" t="s">
        <v>81</v>
      </c>
      <c r="B15">
        <v>15.7601</v>
      </c>
      <c r="D15" t="s">
        <v>81</v>
      </c>
      <c r="E15">
        <v>15.6661</v>
      </c>
      <c r="G15" t="s">
        <v>81</v>
      </c>
      <c r="H15">
        <v>15.8894</v>
      </c>
      <c r="J15" t="s">
        <v>81</v>
      </c>
      <c r="K15">
        <v>15.8308</v>
      </c>
      <c r="M15" t="s">
        <v>81</v>
      </c>
      <c r="N15">
        <v>16.2029</v>
      </c>
      <c r="P15" t="s">
        <v>81</v>
      </c>
      <c r="Q15">
        <v>15.8232</v>
      </c>
      <c r="S15">
        <v>0</v>
      </c>
      <c r="T15">
        <v>635683</v>
      </c>
    </row>
    <row r="16" spans="1:20" ht="15">
      <c r="A16" t="s">
        <v>82</v>
      </c>
      <c r="B16">
        <v>15.7911</v>
      </c>
      <c r="D16" t="s">
        <v>82</v>
      </c>
      <c r="E16">
        <v>15.645099999999999</v>
      </c>
      <c r="G16" t="s">
        <v>82</v>
      </c>
      <c r="H16">
        <v>15.873699999999999</v>
      </c>
      <c r="J16" t="s">
        <v>82</v>
      </c>
      <c r="K16">
        <v>15.8306</v>
      </c>
      <c r="M16" t="s">
        <v>82</v>
      </c>
      <c r="N16">
        <v>16.190999999999999</v>
      </c>
      <c r="P16" t="s">
        <v>82</v>
      </c>
      <c r="Q16">
        <v>15.8415</v>
      </c>
      <c r="S16">
        <v>0</v>
      </c>
      <c r="T16">
        <v>435215</v>
      </c>
    </row>
    <row r="17" spans="1:20" ht="15">
      <c r="A17" t="s">
        <v>83</v>
      </c>
      <c r="B17">
        <v>15.8124</v>
      </c>
      <c r="D17" t="s">
        <v>83</v>
      </c>
      <c r="E17">
        <v>15.6746</v>
      </c>
      <c r="G17" t="s">
        <v>83</v>
      </c>
      <c r="H17">
        <v>15.8809</v>
      </c>
      <c r="J17" t="s">
        <v>83</v>
      </c>
      <c r="K17">
        <v>15.817500000000001</v>
      </c>
      <c r="M17" t="s">
        <v>83</v>
      </c>
      <c r="N17">
        <v>16.192499999999999</v>
      </c>
      <c r="P17" t="s">
        <v>83</v>
      </c>
      <c r="Q17">
        <v>15.840400000000001</v>
      </c>
      <c r="S17">
        <v>0</v>
      </c>
      <c r="T17">
        <v>285229</v>
      </c>
    </row>
    <row r="18" spans="1:20" ht="15">
      <c r="A18" t="s">
        <v>84</v>
      </c>
      <c r="B18">
        <v>15.8203</v>
      </c>
      <c r="D18" t="s">
        <v>84</v>
      </c>
      <c r="E18">
        <v>15.7081</v>
      </c>
      <c r="G18" t="s">
        <v>84</v>
      </c>
      <c r="H18">
        <v>15.8691</v>
      </c>
      <c r="J18" t="s">
        <v>84</v>
      </c>
      <c r="K18">
        <v>15.819800000000001</v>
      </c>
      <c r="M18" t="s">
        <v>84</v>
      </c>
      <c r="N18">
        <v>16.181799999999999</v>
      </c>
      <c r="P18" t="s">
        <v>84</v>
      </c>
      <c r="Q18">
        <v>15.8283</v>
      </c>
      <c r="S18">
        <v>0</v>
      </c>
      <c r="T18">
        <v>183436</v>
      </c>
    </row>
    <row r="19" spans="1:20" ht="15">
      <c r="A19" t="s">
        <v>85</v>
      </c>
      <c r="B19">
        <v>15.8043</v>
      </c>
      <c r="D19" t="s">
        <v>85</v>
      </c>
      <c r="E19">
        <v>15.6654</v>
      </c>
      <c r="G19" t="s">
        <v>85</v>
      </c>
      <c r="H19">
        <v>15.9046</v>
      </c>
      <c r="J19" t="s">
        <v>85</v>
      </c>
      <c r="K19">
        <v>15.8232</v>
      </c>
      <c r="M19" t="s">
        <v>85</v>
      </c>
      <c r="N19">
        <v>16.184100000000001</v>
      </c>
      <c r="P19" t="s">
        <v>85</v>
      </c>
      <c r="Q19">
        <v>15.843299999999999</v>
      </c>
      <c r="S19">
        <v>0</v>
      </c>
      <c r="T19">
        <v>113866</v>
      </c>
    </row>
    <row r="20" spans="1:20" ht="15">
      <c r="A20" t="s">
        <v>28</v>
      </c>
      <c r="B20">
        <v>40.411999999999999</v>
      </c>
      <c r="D20" t="s">
        <v>28</v>
      </c>
      <c r="E20">
        <v>39.9559</v>
      </c>
      <c r="G20" t="s">
        <v>28</v>
      </c>
      <c r="H20">
        <v>40.033799999999999</v>
      </c>
      <c r="J20" t="s">
        <v>28</v>
      </c>
      <c r="K20">
        <v>40.288899999999998</v>
      </c>
      <c r="M20" t="s">
        <v>28</v>
      </c>
      <c r="N20">
        <v>40.2363</v>
      </c>
      <c r="P20" t="s">
        <v>28</v>
      </c>
      <c r="Q20">
        <v>39.897399999999998</v>
      </c>
      <c r="S20">
        <v>0</v>
      </c>
      <c r="T20">
        <v>704296</v>
      </c>
    </row>
    <row r="21" spans="1:20" ht="15">
      <c r="A21" t="s">
        <v>48</v>
      </c>
      <c r="B21">
        <v>39.607399999999998</v>
      </c>
      <c r="D21" t="s">
        <v>48</v>
      </c>
      <c r="E21">
        <v>40.090800000000002</v>
      </c>
      <c r="G21" t="s">
        <v>48</v>
      </c>
      <c r="H21">
        <v>40.029400000000003</v>
      </c>
      <c r="J21" t="s">
        <v>48</v>
      </c>
      <c r="K21">
        <v>40.312800000000003</v>
      </c>
      <c r="M21" t="s">
        <v>48</v>
      </c>
      <c r="N21">
        <v>40.260899999999999</v>
      </c>
      <c r="P21" t="s">
        <v>48</v>
      </c>
      <c r="Q21">
        <v>39.888199999999998</v>
      </c>
      <c r="S21">
        <v>0</v>
      </c>
      <c r="T21">
        <v>429779</v>
      </c>
    </row>
    <row r="22" spans="1:20" ht="15">
      <c r="A22" t="s">
        <v>86</v>
      </c>
      <c r="B22">
        <v>39.5593</v>
      </c>
      <c r="D22" t="s">
        <v>86</v>
      </c>
      <c r="E22">
        <v>40.2104</v>
      </c>
      <c r="G22" t="s">
        <v>86</v>
      </c>
      <c r="H22">
        <v>40.075699999999998</v>
      </c>
      <c r="J22" t="s">
        <v>86</v>
      </c>
      <c r="K22">
        <v>40.334400000000002</v>
      </c>
      <c r="M22" t="s">
        <v>86</v>
      </c>
      <c r="N22">
        <v>40.274999999999999</v>
      </c>
      <c r="P22" t="s">
        <v>86</v>
      </c>
      <c r="Q22">
        <v>39.902500000000003</v>
      </c>
      <c r="S22">
        <v>0</v>
      </c>
      <c r="T22">
        <v>261288</v>
      </c>
    </row>
    <row r="23" spans="1:20" ht="15">
      <c r="A23" t="s">
        <v>87</v>
      </c>
      <c r="B23">
        <v>39.771599999999999</v>
      </c>
      <c r="D23" t="s">
        <v>87</v>
      </c>
      <c r="E23">
        <v>40.319699999999997</v>
      </c>
      <c r="G23" t="s">
        <v>87</v>
      </c>
      <c r="H23">
        <v>40.011699999999998</v>
      </c>
      <c r="J23" t="s">
        <v>87</v>
      </c>
      <c r="K23">
        <v>40.311199999999999</v>
      </c>
      <c r="M23" t="s">
        <v>87</v>
      </c>
      <c r="N23">
        <v>40.311799999999998</v>
      </c>
      <c r="P23" t="s">
        <v>87</v>
      </c>
      <c r="Q23">
        <v>39.896099999999997</v>
      </c>
      <c r="S23">
        <v>0</v>
      </c>
      <c r="T23">
        <v>161497</v>
      </c>
    </row>
    <row r="24" spans="1:20" ht="15">
      <c r="A24" t="s">
        <v>88</v>
      </c>
      <c r="B24">
        <v>39.978700000000003</v>
      </c>
      <c r="D24" t="s">
        <v>88</v>
      </c>
      <c r="E24">
        <v>39.616199999999999</v>
      </c>
      <c r="G24" t="s">
        <v>88</v>
      </c>
      <c r="H24">
        <v>40.085099999999997</v>
      </c>
      <c r="J24" t="s">
        <v>88</v>
      </c>
      <c r="K24">
        <v>40.332299999999996</v>
      </c>
      <c r="M24" t="s">
        <v>88</v>
      </c>
      <c r="N24">
        <v>40.313499999999998</v>
      </c>
      <c r="P24" t="s">
        <v>88</v>
      </c>
      <c r="Q24">
        <v>39.933300000000003</v>
      </c>
      <c r="S24">
        <v>0</v>
      </c>
      <c r="T24">
        <v>100211</v>
      </c>
    </row>
    <row r="25" spans="1:20" ht="15">
      <c r="A25" t="s">
        <v>89</v>
      </c>
      <c r="B25">
        <v>40.151200000000003</v>
      </c>
      <c r="D25" t="s">
        <v>89</v>
      </c>
      <c r="E25">
        <v>39.715800000000002</v>
      </c>
      <c r="G25" t="s">
        <v>89</v>
      </c>
      <c r="H25">
        <v>40.078000000000003</v>
      </c>
      <c r="J25" t="s">
        <v>89</v>
      </c>
      <c r="K25">
        <v>40.3386</v>
      </c>
      <c r="M25" t="s">
        <v>89</v>
      </c>
      <c r="N25">
        <v>40.3307</v>
      </c>
      <c r="P25" t="s">
        <v>89</v>
      </c>
      <c r="Q25">
        <v>39.893599999999999</v>
      </c>
      <c r="S25">
        <v>0</v>
      </c>
      <c r="T25">
        <v>630819</v>
      </c>
    </row>
    <row r="26" spans="1:20" ht="15">
      <c r="A26" t="s">
        <v>90</v>
      </c>
      <c r="B26">
        <v>40.298000000000002</v>
      </c>
      <c r="D26" t="s">
        <v>90</v>
      </c>
      <c r="E26">
        <v>39.8215</v>
      </c>
      <c r="G26" t="s">
        <v>90</v>
      </c>
      <c r="H26">
        <v>40.018099999999997</v>
      </c>
      <c r="J26" t="s">
        <v>90</v>
      </c>
      <c r="K26">
        <v>40.369999999999997</v>
      </c>
      <c r="M26" t="s">
        <v>90</v>
      </c>
      <c r="N26">
        <v>40.326900000000002</v>
      </c>
      <c r="P26" t="s">
        <v>90</v>
      </c>
      <c r="Q26">
        <v>39.903500000000001</v>
      </c>
      <c r="S26">
        <v>0</v>
      </c>
      <c r="T26">
        <v>401521</v>
      </c>
    </row>
    <row r="27" spans="1:20" ht="15">
      <c r="A27" t="s">
        <v>91</v>
      </c>
      <c r="B27">
        <v>40.382199999999997</v>
      </c>
      <c r="D27" t="s">
        <v>91</v>
      </c>
      <c r="E27">
        <v>40.061500000000002</v>
      </c>
      <c r="G27" t="s">
        <v>91</v>
      </c>
      <c r="H27">
        <v>40.066699999999997</v>
      </c>
      <c r="J27" t="s">
        <v>91</v>
      </c>
      <c r="K27">
        <v>40.419899999999998</v>
      </c>
      <c r="M27" t="s">
        <v>91</v>
      </c>
      <c r="N27">
        <v>40.347700000000003</v>
      </c>
      <c r="P27" t="s">
        <v>91</v>
      </c>
      <c r="Q27">
        <v>39.929900000000004</v>
      </c>
      <c r="S27">
        <v>0</v>
      </c>
      <c r="T27">
        <v>259123</v>
      </c>
    </row>
    <row r="28" spans="1:20" ht="15">
      <c r="A28" t="s">
        <v>92</v>
      </c>
      <c r="B28">
        <v>40.457799999999999</v>
      </c>
      <c r="D28" t="s">
        <v>92</v>
      </c>
      <c r="E28">
        <v>39.947000000000003</v>
      </c>
      <c r="G28" t="s">
        <v>92</v>
      </c>
      <c r="H28">
        <v>40.091000000000001</v>
      </c>
      <c r="J28" t="s">
        <v>92</v>
      </c>
      <c r="K28">
        <v>40.378999999999998</v>
      </c>
      <c r="M28" t="s">
        <v>92</v>
      </c>
      <c r="N28">
        <v>40.353900000000003</v>
      </c>
      <c r="P28" t="s">
        <v>92</v>
      </c>
      <c r="Q28">
        <v>39.967100000000002</v>
      </c>
      <c r="S28">
        <v>0</v>
      </c>
      <c r="T28">
        <v>170056</v>
      </c>
    </row>
    <row r="29" spans="1:20" ht="15">
      <c r="A29" t="s">
        <v>32</v>
      </c>
      <c r="B29">
        <v>20.174299999999999</v>
      </c>
      <c r="D29" t="s">
        <v>32</v>
      </c>
      <c r="E29">
        <v>20.008500000000002</v>
      </c>
      <c r="G29" t="s">
        <v>32</v>
      </c>
      <c r="H29">
        <v>20.068100000000001</v>
      </c>
      <c r="J29" t="s">
        <v>32</v>
      </c>
      <c r="K29">
        <v>20.097300000000001</v>
      </c>
      <c r="M29" t="s">
        <v>32</v>
      </c>
      <c r="N29">
        <v>20.1891</v>
      </c>
      <c r="P29" t="s">
        <v>32</v>
      </c>
      <c r="Q29">
        <v>20.164999999999999</v>
      </c>
      <c r="S29">
        <v>0</v>
      </c>
      <c r="T29">
        <v>112032</v>
      </c>
    </row>
    <row r="30" spans="1:20" ht="15">
      <c r="A30" t="s">
        <v>56</v>
      </c>
      <c r="B30">
        <v>19.855399999999999</v>
      </c>
      <c r="D30" t="s">
        <v>56</v>
      </c>
      <c r="E30">
        <v>20.033999999999999</v>
      </c>
      <c r="G30" t="s">
        <v>56</v>
      </c>
      <c r="H30">
        <v>20.054099999999998</v>
      </c>
      <c r="J30" t="s">
        <v>56</v>
      </c>
      <c r="K30">
        <v>20.1191</v>
      </c>
      <c r="M30" t="s">
        <v>56</v>
      </c>
      <c r="N30">
        <v>20.1815</v>
      </c>
      <c r="P30" t="s">
        <v>56</v>
      </c>
      <c r="Q30">
        <v>20.163399999999999</v>
      </c>
      <c r="S30">
        <v>0</v>
      </c>
      <c r="T30">
        <v>747183</v>
      </c>
    </row>
    <row r="31" spans="1:20" ht="15">
      <c r="A31" t="s">
        <v>93</v>
      </c>
      <c r="B31">
        <v>19.867899999999999</v>
      </c>
      <c r="D31" t="s">
        <v>93</v>
      </c>
      <c r="E31">
        <v>20.0763</v>
      </c>
      <c r="G31" t="s">
        <v>93</v>
      </c>
      <c r="H31">
        <v>20.0608</v>
      </c>
      <c r="J31" t="s">
        <v>93</v>
      </c>
      <c r="K31">
        <v>20.096800000000002</v>
      </c>
      <c r="M31" t="s">
        <v>93</v>
      </c>
      <c r="N31">
        <v>20.192299999999999</v>
      </c>
      <c r="P31" t="s">
        <v>93</v>
      </c>
      <c r="Q31">
        <v>20.166599999999999</v>
      </c>
      <c r="S31">
        <v>0</v>
      </c>
      <c r="T31">
        <v>481879</v>
      </c>
    </row>
    <row r="32" spans="1:20" ht="15">
      <c r="A32" t="s">
        <v>94</v>
      </c>
      <c r="B32">
        <v>19.970099999999999</v>
      </c>
      <c r="D32" t="s">
        <v>94</v>
      </c>
      <c r="E32">
        <v>20.147300000000001</v>
      </c>
      <c r="G32" t="s">
        <v>94</v>
      </c>
      <c r="H32">
        <v>20.054400000000001</v>
      </c>
      <c r="J32" t="s">
        <v>94</v>
      </c>
      <c r="K32">
        <v>20.084</v>
      </c>
      <c r="M32" t="s">
        <v>94</v>
      </c>
      <c r="N32">
        <v>20.194900000000001</v>
      </c>
      <c r="P32" t="s">
        <v>94</v>
      </c>
      <c r="Q32">
        <v>20.1493</v>
      </c>
      <c r="S32">
        <v>0</v>
      </c>
      <c r="T32">
        <v>329374</v>
      </c>
    </row>
    <row r="33" spans="1:20" ht="15">
      <c r="A33" t="s">
        <v>95</v>
      </c>
      <c r="B33">
        <v>20.078900000000001</v>
      </c>
      <c r="D33" t="s">
        <v>95</v>
      </c>
      <c r="E33">
        <v>19.876300000000001</v>
      </c>
      <c r="G33" t="s">
        <v>95</v>
      </c>
      <c r="H33">
        <v>20.058499999999999</v>
      </c>
      <c r="J33" t="s">
        <v>95</v>
      </c>
      <c r="K33">
        <v>20.094000000000001</v>
      </c>
      <c r="M33" t="s">
        <v>95</v>
      </c>
      <c r="N33">
        <v>20.204000000000001</v>
      </c>
      <c r="P33" t="s">
        <v>95</v>
      </c>
      <c r="Q33">
        <v>20.1523</v>
      </c>
      <c r="S33">
        <v>0</v>
      </c>
      <c r="T33">
        <v>197173</v>
      </c>
    </row>
    <row r="34" spans="1:20" ht="15">
      <c r="A34" t="s">
        <v>96</v>
      </c>
      <c r="B34">
        <v>20.116399999999999</v>
      </c>
      <c r="D34" t="s">
        <v>96</v>
      </c>
      <c r="E34">
        <v>19.859000000000002</v>
      </c>
      <c r="G34" t="s">
        <v>96</v>
      </c>
      <c r="H34">
        <v>20.0504</v>
      </c>
      <c r="J34" t="s">
        <v>96</v>
      </c>
      <c r="K34">
        <v>20.099299999999999</v>
      </c>
      <c r="M34" t="s">
        <v>96</v>
      </c>
      <c r="N34">
        <v>20.1995</v>
      </c>
      <c r="P34" t="s">
        <v>96</v>
      </c>
      <c r="Q34">
        <v>20.151499999999999</v>
      </c>
      <c r="S34" t="s">
        <v>96</v>
      </c>
      <c r="T34">
        <v>20.140499999999999</v>
      </c>
    </row>
    <row r="35" spans="1:20" ht="15">
      <c r="A35" t="s">
        <v>97</v>
      </c>
      <c r="B35">
        <v>20.149000000000001</v>
      </c>
      <c r="D35" t="s">
        <v>97</v>
      </c>
      <c r="E35">
        <v>19.8903</v>
      </c>
      <c r="G35" t="s">
        <v>97</v>
      </c>
      <c r="H35">
        <v>20.032399999999999</v>
      </c>
      <c r="J35" t="s">
        <v>97</v>
      </c>
      <c r="K35">
        <v>20.103899999999999</v>
      </c>
      <c r="M35" t="s">
        <v>97</v>
      </c>
      <c r="N35">
        <v>20.198799999999999</v>
      </c>
      <c r="P35" t="s">
        <v>97</v>
      </c>
      <c r="Q35">
        <v>20.1555</v>
      </c>
      <c r="S35" t="s">
        <v>97</v>
      </c>
      <c r="T35">
        <v>20.143799999999999</v>
      </c>
    </row>
    <row r="36" spans="1:20" ht="15">
      <c r="A36" t="s">
        <v>98</v>
      </c>
      <c r="B36">
        <v>20.1554</v>
      </c>
      <c r="D36" t="s">
        <v>98</v>
      </c>
      <c r="E36">
        <v>19.9679</v>
      </c>
      <c r="G36" t="s">
        <v>98</v>
      </c>
      <c r="H36">
        <v>20.030799999999999</v>
      </c>
      <c r="J36" t="s">
        <v>98</v>
      </c>
      <c r="K36">
        <v>20.104099999999999</v>
      </c>
      <c r="M36" t="s">
        <v>98</v>
      </c>
      <c r="N36">
        <v>20.1877</v>
      </c>
      <c r="P36" t="s">
        <v>98</v>
      </c>
      <c r="Q36">
        <v>20.157399999999999</v>
      </c>
      <c r="S36" t="s">
        <v>98</v>
      </c>
      <c r="T36">
        <v>20.128499999999999</v>
      </c>
    </row>
    <row r="37" spans="1:20" ht="15">
      <c r="A37" t="s">
        <v>99</v>
      </c>
      <c r="B37">
        <v>20.136700000000001</v>
      </c>
      <c r="D37" t="s">
        <v>99</v>
      </c>
      <c r="E37">
        <v>19.994199999999999</v>
      </c>
      <c r="G37" t="s">
        <v>99</v>
      </c>
      <c r="H37">
        <v>20.065200000000001</v>
      </c>
      <c r="J37" t="s">
        <v>99</v>
      </c>
      <c r="K37">
        <v>20.098600000000001</v>
      </c>
      <c r="M37" t="s">
        <v>99</v>
      </c>
      <c r="N37">
        <v>20.175000000000001</v>
      </c>
      <c r="P37" t="s">
        <v>99</v>
      </c>
      <c r="Q37">
        <v>20.165199999999999</v>
      </c>
      <c r="S37" t="s">
        <v>99</v>
      </c>
      <c r="T37">
        <v>20.140799999999999</v>
      </c>
    </row>
    <row r="38" spans="1:20" ht="15">
      <c r="A38" t="s">
        <v>34</v>
      </c>
      <c r="B38">
        <v>24.899899999999999</v>
      </c>
      <c r="D38" t="s">
        <v>34</v>
      </c>
      <c r="E38">
        <v>25.115500000000001</v>
      </c>
      <c r="G38" t="s">
        <v>34</v>
      </c>
      <c r="H38">
        <v>25.216000000000001</v>
      </c>
      <c r="J38" t="s">
        <v>34</v>
      </c>
      <c r="K38">
        <v>24.8994</v>
      </c>
      <c r="M38" t="s">
        <v>34</v>
      </c>
      <c r="N38">
        <v>25.430399999999999</v>
      </c>
      <c r="P38" t="s">
        <v>34</v>
      </c>
      <c r="Q38">
        <v>24.7819</v>
      </c>
      <c r="S38" t="s">
        <v>34</v>
      </c>
      <c r="T38">
        <v>24.820699999999999</v>
      </c>
    </row>
    <row r="39" spans="1:20" ht="15">
      <c r="A39" t="s">
        <v>57</v>
      </c>
      <c r="B39">
        <v>24.924399999999999</v>
      </c>
      <c r="D39" t="s">
        <v>57</v>
      </c>
      <c r="E39">
        <v>25.152799999999999</v>
      </c>
      <c r="G39" t="s">
        <v>57</v>
      </c>
      <c r="H39">
        <v>25.107500000000002</v>
      </c>
      <c r="J39" t="s">
        <v>57</v>
      </c>
      <c r="K39">
        <v>24.8766</v>
      </c>
      <c r="M39" t="s">
        <v>57</v>
      </c>
      <c r="N39">
        <v>25.440100000000001</v>
      </c>
      <c r="P39" t="s">
        <v>57</v>
      </c>
      <c r="Q39">
        <v>24.7361</v>
      </c>
      <c r="S39" t="s">
        <v>57</v>
      </c>
      <c r="T39">
        <v>24.877199999999998</v>
      </c>
    </row>
    <row r="40" spans="1:20" ht="15">
      <c r="A40" t="s">
        <v>100</v>
      </c>
      <c r="B40">
        <v>24.715800000000002</v>
      </c>
      <c r="D40" t="s">
        <v>100</v>
      </c>
      <c r="E40">
        <v>25.0792</v>
      </c>
      <c r="G40" t="s">
        <v>100</v>
      </c>
      <c r="H40">
        <v>25.167899999999999</v>
      </c>
      <c r="J40" t="s">
        <v>100</v>
      </c>
      <c r="K40">
        <v>24.947099999999999</v>
      </c>
      <c r="M40" t="s">
        <v>100</v>
      </c>
      <c r="N40">
        <v>25.3611</v>
      </c>
      <c r="P40" t="s">
        <v>100</v>
      </c>
      <c r="Q40">
        <v>24.631</v>
      </c>
      <c r="S40" t="s">
        <v>100</v>
      </c>
      <c r="T40">
        <v>24.841200000000001</v>
      </c>
    </row>
    <row r="41" spans="1:20" ht="15">
      <c r="A41" t="s">
        <v>101</v>
      </c>
      <c r="B41">
        <v>24.707599999999999</v>
      </c>
      <c r="D41" t="s">
        <v>101</v>
      </c>
      <c r="E41">
        <v>25.0458</v>
      </c>
      <c r="G41" t="s">
        <v>101</v>
      </c>
      <c r="H41">
        <v>25.160799999999998</v>
      </c>
      <c r="J41" t="s">
        <v>101</v>
      </c>
      <c r="K41">
        <v>24.948799999999999</v>
      </c>
      <c r="M41" t="s">
        <v>101</v>
      </c>
      <c r="N41">
        <v>25.365400000000001</v>
      </c>
      <c r="P41" t="s">
        <v>101</v>
      </c>
      <c r="Q41">
        <v>24.721499999999999</v>
      </c>
      <c r="S41" t="s">
        <v>101</v>
      </c>
      <c r="T41">
        <v>24.816800000000001</v>
      </c>
    </row>
    <row r="42" spans="1:20">
      <c r="A42" t="s">
        <v>102</v>
      </c>
      <c r="B42">
        <v>24.603300000000001</v>
      </c>
      <c r="D42" t="s">
        <v>102</v>
      </c>
      <c r="E42">
        <v>25.049399999999999</v>
      </c>
      <c r="G42" t="s">
        <v>102</v>
      </c>
      <c r="H42">
        <v>25.154900000000001</v>
      </c>
      <c r="J42" t="s">
        <v>102</v>
      </c>
      <c r="K42">
        <v>24.887</v>
      </c>
      <c r="M42" t="s">
        <v>102</v>
      </c>
      <c r="N42">
        <v>25.339099999999998</v>
      </c>
      <c r="P42" t="s">
        <v>102</v>
      </c>
      <c r="Q42">
        <v>24.613</v>
      </c>
      <c r="S42" t="s">
        <v>102</v>
      </c>
      <c r="T42">
        <v>24.820499999999999</v>
      </c>
    </row>
    <row r="43" spans="1:20">
      <c r="A43" t="s">
        <v>103</v>
      </c>
      <c r="B43">
        <v>24.6798</v>
      </c>
      <c r="D43" t="s">
        <v>103</v>
      </c>
      <c r="E43">
        <v>25.071300000000001</v>
      </c>
      <c r="G43" t="s">
        <v>103</v>
      </c>
      <c r="H43">
        <v>25.060300000000002</v>
      </c>
      <c r="J43" t="s">
        <v>103</v>
      </c>
      <c r="K43">
        <v>24.831600000000002</v>
      </c>
      <c r="M43" t="s">
        <v>103</v>
      </c>
      <c r="N43">
        <v>25.276299999999999</v>
      </c>
      <c r="P43" t="s">
        <v>103</v>
      </c>
      <c r="Q43">
        <v>24.658899999999999</v>
      </c>
      <c r="S43" t="s">
        <v>103</v>
      </c>
      <c r="T43">
        <v>24.798400000000001</v>
      </c>
    </row>
    <row r="44" spans="1:20">
      <c r="A44" t="s">
        <v>104</v>
      </c>
      <c r="B44">
        <v>24.635200000000001</v>
      </c>
      <c r="D44" t="s">
        <v>104</v>
      </c>
      <c r="E44">
        <v>25.085899999999999</v>
      </c>
      <c r="G44" t="s">
        <v>104</v>
      </c>
      <c r="H44">
        <v>25.089500000000001</v>
      </c>
      <c r="J44" t="s">
        <v>104</v>
      </c>
      <c r="K44">
        <v>24.720099999999999</v>
      </c>
      <c r="M44" t="s">
        <v>104</v>
      </c>
      <c r="N44">
        <v>25.294799999999999</v>
      </c>
      <c r="P44" t="s">
        <v>104</v>
      </c>
      <c r="Q44">
        <v>24.608499999999999</v>
      </c>
      <c r="S44" t="s">
        <v>104</v>
      </c>
      <c r="T44">
        <v>24.728100000000001</v>
      </c>
    </row>
    <row r="45" spans="1:20">
      <c r="A45" t="s">
        <v>105</v>
      </c>
      <c r="B45">
        <v>24.639099999999999</v>
      </c>
      <c r="D45" t="s">
        <v>105</v>
      </c>
      <c r="E45">
        <v>25.062899999999999</v>
      </c>
      <c r="G45" t="s">
        <v>105</v>
      </c>
      <c r="H45">
        <v>25.056799999999999</v>
      </c>
      <c r="J45" t="s">
        <v>105</v>
      </c>
      <c r="K45">
        <v>24.815899999999999</v>
      </c>
      <c r="M45" t="s">
        <v>105</v>
      </c>
      <c r="N45">
        <v>25.292000000000002</v>
      </c>
      <c r="P45" t="s">
        <v>105</v>
      </c>
      <c r="Q45">
        <v>24.5242</v>
      </c>
      <c r="S45" t="s">
        <v>105</v>
      </c>
      <c r="T45">
        <v>24.7774</v>
      </c>
    </row>
    <row r="46" spans="1:20">
      <c r="A46" t="s">
        <v>106</v>
      </c>
      <c r="B46">
        <v>24.6736</v>
      </c>
      <c r="D46" t="s">
        <v>106</v>
      </c>
      <c r="E46">
        <v>24.8794</v>
      </c>
      <c r="G46" t="s">
        <v>106</v>
      </c>
      <c r="H46">
        <v>25.0398</v>
      </c>
      <c r="J46" t="s">
        <v>106</v>
      </c>
      <c r="K46">
        <v>24.753599999999999</v>
      </c>
      <c r="M46" t="s">
        <v>106</v>
      </c>
      <c r="N46">
        <v>25.3353</v>
      </c>
      <c r="P46" t="s">
        <v>106</v>
      </c>
      <c r="Q46">
        <v>24.619399999999999</v>
      </c>
      <c r="S46" t="s">
        <v>106</v>
      </c>
      <c r="T46">
        <v>24.6401</v>
      </c>
    </row>
    <row r="47" spans="1:20">
      <c r="A47" t="s">
        <v>107</v>
      </c>
      <c r="B47">
        <v>13.4526</v>
      </c>
      <c r="D47" t="s">
        <v>107</v>
      </c>
      <c r="E47">
        <v>13.4269</v>
      </c>
      <c r="G47" t="s">
        <v>107</v>
      </c>
      <c r="H47">
        <v>13.5542</v>
      </c>
      <c r="J47" t="s">
        <v>107</v>
      </c>
      <c r="K47">
        <v>13.385400000000001</v>
      </c>
      <c r="M47" t="s">
        <v>107</v>
      </c>
      <c r="N47">
        <v>13.6271</v>
      </c>
      <c r="P47" t="s">
        <v>107</v>
      </c>
      <c r="Q47">
        <v>13.4641</v>
      </c>
      <c r="S47" t="s">
        <v>107</v>
      </c>
      <c r="T47">
        <v>13.47</v>
      </c>
    </row>
    <row r="48" spans="1:20">
      <c r="A48" t="s">
        <v>108</v>
      </c>
      <c r="B48">
        <v>13.291600000000001</v>
      </c>
      <c r="D48" t="s">
        <v>108</v>
      </c>
      <c r="E48">
        <v>13.429399999999999</v>
      </c>
      <c r="G48" t="s">
        <v>108</v>
      </c>
      <c r="H48">
        <v>13.5366</v>
      </c>
      <c r="J48" t="s">
        <v>108</v>
      </c>
      <c r="K48">
        <v>13.4133</v>
      </c>
      <c r="M48" t="s">
        <v>108</v>
      </c>
      <c r="N48">
        <v>13.6251</v>
      </c>
      <c r="P48" t="s">
        <v>108</v>
      </c>
      <c r="Q48">
        <v>13.4665</v>
      </c>
      <c r="S48" t="s">
        <v>108</v>
      </c>
      <c r="T48">
        <v>13.4735</v>
      </c>
    </row>
    <row r="49" spans="1:20">
      <c r="A49" t="s">
        <v>109</v>
      </c>
      <c r="B49">
        <v>13.3179</v>
      </c>
      <c r="D49" t="s">
        <v>109</v>
      </c>
      <c r="E49">
        <v>13.4529</v>
      </c>
      <c r="G49" t="s">
        <v>109</v>
      </c>
      <c r="H49">
        <v>13.549899999999999</v>
      </c>
      <c r="J49" t="s">
        <v>109</v>
      </c>
      <c r="K49">
        <v>13.394299999999999</v>
      </c>
      <c r="M49" t="s">
        <v>109</v>
      </c>
      <c r="N49">
        <v>13.617800000000001</v>
      </c>
      <c r="P49" t="s">
        <v>109</v>
      </c>
      <c r="Q49">
        <v>13.4763</v>
      </c>
      <c r="S49" t="s">
        <v>109</v>
      </c>
      <c r="T49">
        <v>13.473100000000001</v>
      </c>
    </row>
    <row r="50" spans="1:20">
      <c r="A50" t="s">
        <v>110</v>
      </c>
      <c r="B50">
        <v>13.4123</v>
      </c>
      <c r="D50" t="s">
        <v>110</v>
      </c>
      <c r="E50">
        <v>13.533200000000001</v>
      </c>
      <c r="G50" t="s">
        <v>110</v>
      </c>
      <c r="H50">
        <v>13.531700000000001</v>
      </c>
      <c r="J50" t="s">
        <v>110</v>
      </c>
      <c r="K50">
        <v>13.3939</v>
      </c>
      <c r="M50" t="s">
        <v>110</v>
      </c>
      <c r="N50">
        <v>13.6279</v>
      </c>
      <c r="P50" t="s">
        <v>110</v>
      </c>
      <c r="Q50">
        <v>13.4489</v>
      </c>
      <c r="S50" t="s">
        <v>110</v>
      </c>
      <c r="T50">
        <v>13.4899</v>
      </c>
    </row>
    <row r="51" spans="1:20">
      <c r="A51" t="s">
        <v>111</v>
      </c>
      <c r="B51">
        <v>13.4984</v>
      </c>
      <c r="D51" t="s">
        <v>111</v>
      </c>
      <c r="E51">
        <v>13.3957</v>
      </c>
      <c r="G51" t="s">
        <v>111</v>
      </c>
      <c r="H51">
        <v>13.521599999999999</v>
      </c>
      <c r="J51" t="s">
        <v>111</v>
      </c>
      <c r="K51">
        <v>13.395200000000001</v>
      </c>
      <c r="M51" t="s">
        <v>111</v>
      </c>
      <c r="N51">
        <v>13.620799999999999</v>
      </c>
      <c r="P51" t="s">
        <v>111</v>
      </c>
      <c r="Q51">
        <v>13.460800000000001</v>
      </c>
      <c r="S51" t="s">
        <v>111</v>
      </c>
      <c r="T51">
        <v>13.463100000000001</v>
      </c>
    </row>
    <row r="52" spans="1:20">
      <c r="A52" t="s">
        <v>112</v>
      </c>
      <c r="B52">
        <v>13.5146</v>
      </c>
      <c r="D52" t="s">
        <v>112</v>
      </c>
      <c r="E52">
        <v>13.339499999999999</v>
      </c>
      <c r="G52" t="s">
        <v>112</v>
      </c>
      <c r="H52">
        <v>13.5236</v>
      </c>
      <c r="J52" t="s">
        <v>112</v>
      </c>
      <c r="K52">
        <v>13.377800000000001</v>
      </c>
      <c r="M52" t="s">
        <v>112</v>
      </c>
      <c r="N52">
        <v>13.611499999999999</v>
      </c>
      <c r="P52" t="s">
        <v>112</v>
      </c>
      <c r="Q52">
        <v>13.4505</v>
      </c>
      <c r="S52" t="s">
        <v>112</v>
      </c>
      <c r="T52">
        <v>13.4673</v>
      </c>
    </row>
    <row r="53" spans="1:20">
      <c r="A53" t="s">
        <v>113</v>
      </c>
      <c r="B53">
        <v>13.5008</v>
      </c>
      <c r="D53" t="s">
        <v>113</v>
      </c>
      <c r="E53">
        <v>13.339700000000001</v>
      </c>
      <c r="G53" t="s">
        <v>113</v>
      </c>
      <c r="H53">
        <v>13.500299999999999</v>
      </c>
      <c r="J53" t="s">
        <v>113</v>
      </c>
      <c r="K53">
        <v>13.3893</v>
      </c>
      <c r="M53" t="s">
        <v>113</v>
      </c>
      <c r="N53">
        <v>13.6021</v>
      </c>
      <c r="P53" t="s">
        <v>113</v>
      </c>
      <c r="Q53">
        <v>13.4444</v>
      </c>
      <c r="S53" t="s">
        <v>113</v>
      </c>
      <c r="T53">
        <v>13.4489</v>
      </c>
    </row>
    <row r="54" spans="1:20">
      <c r="A54" t="s">
        <v>114</v>
      </c>
      <c r="B54">
        <v>13.4664</v>
      </c>
      <c r="D54" t="s">
        <v>114</v>
      </c>
      <c r="E54">
        <v>13.396000000000001</v>
      </c>
      <c r="G54" t="s">
        <v>114</v>
      </c>
      <c r="H54">
        <v>13.4939</v>
      </c>
      <c r="J54" t="s">
        <v>114</v>
      </c>
      <c r="K54">
        <v>13.3742</v>
      </c>
      <c r="M54" t="s">
        <v>114</v>
      </c>
      <c r="N54">
        <v>13.6027</v>
      </c>
      <c r="P54" t="s">
        <v>114</v>
      </c>
      <c r="Q54">
        <v>13.433299999999999</v>
      </c>
      <c r="S54" t="s">
        <v>114</v>
      </c>
      <c r="T54">
        <v>13.4337</v>
      </c>
    </row>
    <row r="55" spans="1:20">
      <c r="A55" t="s">
        <v>115</v>
      </c>
      <c r="B55">
        <v>13.4223</v>
      </c>
      <c r="D55" t="s">
        <v>115</v>
      </c>
      <c r="E55">
        <v>13.4084</v>
      </c>
      <c r="G55" t="s">
        <v>115</v>
      </c>
      <c r="H55">
        <v>13.499499999999999</v>
      </c>
      <c r="J55" t="s">
        <v>115</v>
      </c>
      <c r="K55">
        <v>13.3583</v>
      </c>
      <c r="M55" t="s">
        <v>115</v>
      </c>
      <c r="N55">
        <v>13.5915</v>
      </c>
      <c r="P55" t="s">
        <v>115</v>
      </c>
      <c r="Q55">
        <v>13.4298</v>
      </c>
      <c r="S55" t="s">
        <v>115</v>
      </c>
      <c r="T55">
        <v>13.44</v>
      </c>
    </row>
    <row r="56" spans="1:20">
      <c r="A56" t="s">
        <v>116</v>
      </c>
      <c r="B56">
        <v>75.031499999999994</v>
      </c>
      <c r="D56" t="s">
        <v>116</v>
      </c>
      <c r="E56">
        <v>75.122500000000002</v>
      </c>
      <c r="G56" t="s">
        <v>116</v>
      </c>
      <c r="H56">
        <v>74.850399999999993</v>
      </c>
      <c r="J56" t="s">
        <v>116</v>
      </c>
      <c r="K56">
        <v>74.968500000000006</v>
      </c>
      <c r="M56" t="s">
        <v>116</v>
      </c>
      <c r="N56">
        <v>74.528300000000002</v>
      </c>
      <c r="P56" t="s">
        <v>116</v>
      </c>
      <c r="Q56">
        <v>74.956400000000002</v>
      </c>
      <c r="S56" t="s">
        <v>116</v>
      </c>
      <c r="T56">
        <v>74.719499999999996</v>
      </c>
    </row>
    <row r="57" spans="1:20">
      <c r="A57" t="s">
        <v>117</v>
      </c>
      <c r="B57">
        <v>74.733699999999999</v>
      </c>
      <c r="D57" t="s">
        <v>117</v>
      </c>
      <c r="E57">
        <v>75.211699999999993</v>
      </c>
      <c r="G57" t="s">
        <v>117</v>
      </c>
      <c r="H57">
        <v>74.813900000000004</v>
      </c>
      <c r="J57" t="s">
        <v>117</v>
      </c>
      <c r="K57">
        <v>75.006900000000002</v>
      </c>
      <c r="M57" t="s">
        <v>117</v>
      </c>
      <c r="N57">
        <v>74.533799999999999</v>
      </c>
      <c r="P57" t="s">
        <v>117</v>
      </c>
      <c r="Q57">
        <v>75.0167</v>
      </c>
      <c r="S57" t="s">
        <v>117</v>
      </c>
      <c r="T57">
        <v>74.736000000000004</v>
      </c>
    </row>
    <row r="58" spans="1:20">
      <c r="A58" t="s">
        <v>118</v>
      </c>
      <c r="B58">
        <v>74.675399999999996</v>
      </c>
      <c r="D58" t="s">
        <v>118</v>
      </c>
      <c r="E58">
        <v>75.224999999999994</v>
      </c>
      <c r="G58" t="s">
        <v>118</v>
      </c>
      <c r="H58">
        <v>74.799700000000001</v>
      </c>
      <c r="J58" t="s">
        <v>118</v>
      </c>
      <c r="K58">
        <v>74.999899999999997</v>
      </c>
      <c r="M58" t="s">
        <v>118</v>
      </c>
      <c r="N58">
        <v>74.548500000000004</v>
      </c>
      <c r="P58" t="s">
        <v>118</v>
      </c>
      <c r="Q58">
        <v>74.929400000000001</v>
      </c>
      <c r="S58" t="s">
        <v>118</v>
      </c>
      <c r="T58">
        <v>74.692700000000002</v>
      </c>
    </row>
    <row r="59" spans="1:20">
      <c r="A59" t="s">
        <v>119</v>
      </c>
      <c r="B59">
        <v>74.688599999999994</v>
      </c>
      <c r="D59" t="s">
        <v>119</v>
      </c>
      <c r="E59">
        <v>75.22</v>
      </c>
      <c r="G59" t="s">
        <v>119</v>
      </c>
      <c r="H59">
        <v>74.885900000000007</v>
      </c>
      <c r="J59" t="s">
        <v>119</v>
      </c>
      <c r="K59">
        <v>74.980599999999995</v>
      </c>
      <c r="M59" t="s">
        <v>119</v>
      </c>
      <c r="N59">
        <v>74.577299999999994</v>
      </c>
      <c r="P59" t="s">
        <v>119</v>
      </c>
      <c r="Q59">
        <v>75.024699999999996</v>
      </c>
      <c r="S59" t="s">
        <v>119</v>
      </c>
      <c r="T59">
        <v>74.709100000000007</v>
      </c>
    </row>
    <row r="60" spans="1:20">
      <c r="A60" t="s">
        <v>120</v>
      </c>
      <c r="B60">
        <v>74.729299999999995</v>
      </c>
      <c r="D60" t="s">
        <v>120</v>
      </c>
      <c r="E60">
        <v>74.920199999999994</v>
      </c>
      <c r="G60" t="s">
        <v>120</v>
      </c>
      <c r="H60">
        <v>74.908900000000003</v>
      </c>
      <c r="J60" t="s">
        <v>120</v>
      </c>
      <c r="K60">
        <v>74.979799999999997</v>
      </c>
      <c r="M60" t="s">
        <v>120</v>
      </c>
      <c r="N60">
        <v>74.583699999999993</v>
      </c>
      <c r="P60" t="s">
        <v>120</v>
      </c>
      <c r="Q60">
        <v>75.006500000000003</v>
      </c>
      <c r="S60" t="s">
        <v>120</v>
      </c>
      <c r="T60">
        <v>74.736500000000007</v>
      </c>
    </row>
    <row r="61" spans="1:20">
      <c r="A61" t="s">
        <v>121</v>
      </c>
      <c r="B61">
        <v>74.828500000000005</v>
      </c>
      <c r="D61" t="s">
        <v>121</v>
      </c>
      <c r="E61">
        <v>75.037599999999998</v>
      </c>
      <c r="G61" t="s">
        <v>121</v>
      </c>
      <c r="H61">
        <v>74.881600000000006</v>
      </c>
      <c r="J61" t="s">
        <v>121</v>
      </c>
      <c r="K61">
        <v>75.015199999999993</v>
      </c>
      <c r="M61" t="s">
        <v>121</v>
      </c>
      <c r="N61">
        <v>74.543599999999998</v>
      </c>
      <c r="P61" t="s">
        <v>121</v>
      </c>
      <c r="Q61">
        <v>75.015100000000004</v>
      </c>
      <c r="S61" t="s">
        <v>121</v>
      </c>
      <c r="T61">
        <v>74.780199999999994</v>
      </c>
    </row>
    <row r="62" spans="1:20">
      <c r="A62" t="s">
        <v>122</v>
      </c>
      <c r="B62">
        <v>74.943799999999996</v>
      </c>
      <c r="D62" t="s">
        <v>122</v>
      </c>
      <c r="E62">
        <v>75.138099999999994</v>
      </c>
      <c r="G62" t="s">
        <v>122</v>
      </c>
      <c r="H62">
        <v>74.911799999999999</v>
      </c>
      <c r="J62" t="s">
        <v>122</v>
      </c>
      <c r="K62">
        <v>75.010900000000007</v>
      </c>
      <c r="M62" t="s">
        <v>122</v>
      </c>
      <c r="N62">
        <v>74.608599999999996</v>
      </c>
      <c r="P62" t="s">
        <v>122</v>
      </c>
      <c r="Q62">
        <v>75.054100000000005</v>
      </c>
      <c r="S62" t="s">
        <v>122</v>
      </c>
      <c r="T62">
        <v>74.786699999999996</v>
      </c>
    </row>
    <row r="63" spans="1:20">
      <c r="A63" t="s">
        <v>123</v>
      </c>
      <c r="B63">
        <v>75.049000000000007</v>
      </c>
      <c r="D63" t="s">
        <v>123</v>
      </c>
      <c r="E63">
        <v>75.190200000000004</v>
      </c>
      <c r="G63" t="s">
        <v>123</v>
      </c>
      <c r="H63">
        <v>74.945899999999995</v>
      </c>
      <c r="J63" t="s">
        <v>123</v>
      </c>
      <c r="K63">
        <v>75.0839</v>
      </c>
      <c r="M63" t="s">
        <v>123</v>
      </c>
      <c r="N63">
        <v>74.550399999999996</v>
      </c>
      <c r="P63" t="s">
        <v>123</v>
      </c>
      <c r="Q63">
        <v>75.052199999999999</v>
      </c>
      <c r="S63" t="s">
        <v>123</v>
      </c>
      <c r="T63">
        <v>74.765100000000004</v>
      </c>
    </row>
    <row r="64" spans="1:20">
      <c r="A64" t="s">
        <v>124</v>
      </c>
      <c r="B64">
        <v>75.084999999999994</v>
      </c>
      <c r="D64" t="s">
        <v>124</v>
      </c>
      <c r="E64">
        <v>75.158199999999994</v>
      </c>
      <c r="G64" t="s">
        <v>124</v>
      </c>
      <c r="H64">
        <v>74.958699999999993</v>
      </c>
      <c r="J64" t="s">
        <v>124</v>
      </c>
      <c r="K64">
        <v>75.084800000000001</v>
      </c>
      <c r="M64" t="s">
        <v>124</v>
      </c>
      <c r="N64">
        <v>74.649699999999996</v>
      </c>
      <c r="P64" t="s">
        <v>124</v>
      </c>
      <c r="Q64">
        <v>75.109700000000004</v>
      </c>
      <c r="S64" t="s">
        <v>124</v>
      </c>
      <c r="T64">
        <v>74.807699999999997</v>
      </c>
    </row>
    <row r="65" spans="1:20">
      <c r="A65" t="s">
        <v>125</v>
      </c>
      <c r="B65">
        <v>33.548400000000001</v>
      </c>
      <c r="D65" t="s">
        <v>125</v>
      </c>
      <c r="E65">
        <v>33.5456</v>
      </c>
      <c r="G65" t="s">
        <v>125</v>
      </c>
      <c r="H65">
        <v>33.377899999999997</v>
      </c>
      <c r="J65" t="s">
        <v>125</v>
      </c>
      <c r="K65">
        <v>33.555700000000002</v>
      </c>
      <c r="M65" t="s">
        <v>125</v>
      </c>
      <c r="N65">
        <v>33.530500000000004</v>
      </c>
      <c r="P65" t="s">
        <v>125</v>
      </c>
      <c r="Q65">
        <v>33.581499999999998</v>
      </c>
      <c r="S65" t="s">
        <v>125</v>
      </c>
      <c r="T65">
        <v>33.469099999999997</v>
      </c>
    </row>
    <row r="66" spans="1:20">
      <c r="A66" t="s">
        <v>126</v>
      </c>
      <c r="B66">
        <v>33.022500000000001</v>
      </c>
      <c r="D66" t="s">
        <v>126</v>
      </c>
      <c r="E66">
        <v>33.647500000000001</v>
      </c>
      <c r="G66" t="s">
        <v>126</v>
      </c>
      <c r="H66">
        <v>33.363799999999998</v>
      </c>
      <c r="J66" t="s">
        <v>126</v>
      </c>
      <c r="K66">
        <v>33.653100000000002</v>
      </c>
      <c r="M66" t="s">
        <v>126</v>
      </c>
      <c r="N66">
        <v>33.520499999999998</v>
      </c>
      <c r="P66" t="s">
        <v>126</v>
      </c>
      <c r="Q66">
        <v>33.651000000000003</v>
      </c>
      <c r="S66" t="s">
        <v>126</v>
      </c>
      <c r="T66">
        <v>33.519599999999997</v>
      </c>
    </row>
    <row r="67" spans="1:20">
      <c r="A67" t="s">
        <v>127</v>
      </c>
      <c r="B67">
        <v>33.119300000000003</v>
      </c>
      <c r="D67" t="s">
        <v>127</v>
      </c>
      <c r="E67">
        <v>33.726199999999999</v>
      </c>
      <c r="G67" t="s">
        <v>127</v>
      </c>
      <c r="H67">
        <v>33.401299999999999</v>
      </c>
      <c r="J67" t="s">
        <v>127</v>
      </c>
      <c r="K67">
        <v>33.6312</v>
      </c>
      <c r="M67" t="s">
        <v>127</v>
      </c>
      <c r="N67">
        <v>33.570500000000003</v>
      </c>
      <c r="P67" t="s">
        <v>127</v>
      </c>
      <c r="Q67">
        <v>33.636099999999999</v>
      </c>
      <c r="S67" t="s">
        <v>127</v>
      </c>
      <c r="T67">
        <v>33.540599999999998</v>
      </c>
    </row>
    <row r="68" spans="1:20">
      <c r="A68" t="s">
        <v>128</v>
      </c>
      <c r="B68">
        <v>33.311300000000003</v>
      </c>
      <c r="D68" t="s">
        <v>128</v>
      </c>
      <c r="E68">
        <v>33.849200000000003</v>
      </c>
      <c r="G68" t="s">
        <v>128</v>
      </c>
      <c r="H68">
        <v>33.435899999999997</v>
      </c>
      <c r="J68" t="s">
        <v>128</v>
      </c>
      <c r="K68">
        <v>33.646299999999997</v>
      </c>
      <c r="M68" t="s">
        <v>128</v>
      </c>
      <c r="N68">
        <v>33.627400000000002</v>
      </c>
      <c r="P68" t="s">
        <v>128</v>
      </c>
      <c r="Q68">
        <v>33.7042</v>
      </c>
      <c r="S68" t="s">
        <v>128</v>
      </c>
      <c r="T68">
        <v>33.587400000000002</v>
      </c>
    </row>
    <row r="69" spans="1:20">
      <c r="A69" t="s">
        <v>129</v>
      </c>
      <c r="B69">
        <v>33.471200000000003</v>
      </c>
      <c r="D69" t="s">
        <v>129</v>
      </c>
      <c r="E69">
        <v>33.3992</v>
      </c>
      <c r="G69" t="s">
        <v>129</v>
      </c>
      <c r="H69">
        <v>33.493000000000002</v>
      </c>
      <c r="J69" t="s">
        <v>129</v>
      </c>
      <c r="K69">
        <v>33.718699999999998</v>
      </c>
      <c r="M69" t="s">
        <v>129</v>
      </c>
      <c r="N69">
        <v>33.664099999999998</v>
      </c>
      <c r="P69" t="s">
        <v>129</v>
      </c>
      <c r="Q69">
        <v>33.722099999999998</v>
      </c>
      <c r="S69" t="s">
        <v>129</v>
      </c>
      <c r="T69">
        <v>33.598399999999998</v>
      </c>
    </row>
    <row r="70" spans="1:20">
      <c r="A70" t="s">
        <v>130</v>
      </c>
      <c r="B70">
        <v>33.6021</v>
      </c>
      <c r="D70" t="s">
        <v>130</v>
      </c>
      <c r="E70">
        <v>33.445599999999999</v>
      </c>
      <c r="G70" t="s">
        <v>130</v>
      </c>
      <c r="H70">
        <v>33.475200000000001</v>
      </c>
      <c r="J70" t="s">
        <v>130</v>
      </c>
      <c r="K70">
        <v>33.753999999999998</v>
      </c>
      <c r="M70" t="s">
        <v>130</v>
      </c>
      <c r="N70">
        <v>33.677799999999998</v>
      </c>
      <c r="P70" t="s">
        <v>130</v>
      </c>
      <c r="Q70">
        <v>33.7622</v>
      </c>
      <c r="S70" t="s">
        <v>130</v>
      </c>
      <c r="T70">
        <v>33.6203</v>
      </c>
    </row>
    <row r="71" spans="1:20">
      <c r="A71" t="s">
        <v>131</v>
      </c>
      <c r="B71">
        <v>33.663499999999999</v>
      </c>
      <c r="D71" t="s">
        <v>131</v>
      </c>
      <c r="E71">
        <v>33.549300000000002</v>
      </c>
      <c r="G71" t="s">
        <v>131</v>
      </c>
      <c r="H71">
        <v>33.512500000000003</v>
      </c>
      <c r="J71" t="s">
        <v>131</v>
      </c>
      <c r="K71">
        <v>33.754300000000001</v>
      </c>
      <c r="M71" t="s">
        <v>131</v>
      </c>
      <c r="N71">
        <v>33.7241</v>
      </c>
      <c r="P71" t="s">
        <v>131</v>
      </c>
      <c r="Q71">
        <v>33.770899999999997</v>
      </c>
      <c r="S71" t="s">
        <v>131</v>
      </c>
      <c r="T71">
        <v>33.683100000000003</v>
      </c>
    </row>
    <row r="72" spans="1:20">
      <c r="A72" t="s">
        <v>132</v>
      </c>
      <c r="B72">
        <v>33.725999999999999</v>
      </c>
      <c r="D72" t="s">
        <v>132</v>
      </c>
      <c r="E72">
        <v>33.665799999999997</v>
      </c>
      <c r="G72" t="s">
        <v>132</v>
      </c>
      <c r="H72">
        <v>33.548699999999997</v>
      </c>
      <c r="J72" t="s">
        <v>132</v>
      </c>
      <c r="K72">
        <v>33.799799999999998</v>
      </c>
      <c r="M72" t="s">
        <v>132</v>
      </c>
      <c r="N72">
        <v>33.731000000000002</v>
      </c>
      <c r="P72" t="s">
        <v>132</v>
      </c>
      <c r="Q72">
        <v>33.803699999999999</v>
      </c>
      <c r="S72" t="s">
        <v>132</v>
      </c>
      <c r="T72">
        <v>33.686700000000002</v>
      </c>
    </row>
    <row r="73" spans="1:20">
      <c r="A73" t="s">
        <v>133</v>
      </c>
      <c r="B73">
        <v>33.732599999999998</v>
      </c>
      <c r="D73" t="s">
        <v>133</v>
      </c>
      <c r="E73">
        <v>33.768000000000001</v>
      </c>
      <c r="G73" t="s">
        <v>133</v>
      </c>
      <c r="H73">
        <v>33.591700000000003</v>
      </c>
      <c r="J73" t="s">
        <v>133</v>
      </c>
      <c r="K73">
        <v>33.8018</v>
      </c>
      <c r="M73" t="s">
        <v>133</v>
      </c>
      <c r="N73">
        <v>33.742899999999999</v>
      </c>
      <c r="P73" t="s">
        <v>133</v>
      </c>
      <c r="Q73">
        <v>33.863799999999998</v>
      </c>
      <c r="S73" t="s">
        <v>133</v>
      </c>
      <c r="T73">
        <v>33.721699999999998</v>
      </c>
    </row>
    <row r="74" spans="1:20">
      <c r="A74" t="s">
        <v>134</v>
      </c>
      <c r="B74">
        <v>6.1132900000000001</v>
      </c>
      <c r="D74" t="s">
        <v>134</v>
      </c>
      <c r="E74">
        <v>6.1498999999999997</v>
      </c>
      <c r="G74" t="s">
        <v>134</v>
      </c>
      <c r="H74">
        <v>6.1815699999999998</v>
      </c>
      <c r="J74" t="s">
        <v>134</v>
      </c>
      <c r="K74">
        <v>6.1189999999999998</v>
      </c>
      <c r="M74" t="s">
        <v>134</v>
      </c>
      <c r="N74">
        <v>6.27454</v>
      </c>
      <c r="P74" t="s">
        <v>134</v>
      </c>
      <c r="Q74">
        <v>6.1650200000000002</v>
      </c>
      <c r="S74" t="s">
        <v>134</v>
      </c>
      <c r="T74">
        <v>6.2113300000000002</v>
      </c>
    </row>
    <row r="75" spans="1:20">
      <c r="A75" t="s">
        <v>135</v>
      </c>
      <c r="B75">
        <v>6.1341400000000004</v>
      </c>
      <c r="D75" t="s">
        <v>135</v>
      </c>
      <c r="E75">
        <v>6.0888</v>
      </c>
      <c r="G75" t="s">
        <v>135</v>
      </c>
      <c r="H75">
        <v>6.1819600000000001</v>
      </c>
      <c r="J75" t="s">
        <v>135</v>
      </c>
      <c r="K75">
        <v>6.0923699999999998</v>
      </c>
      <c r="M75" t="s">
        <v>135</v>
      </c>
      <c r="N75">
        <v>6.2837800000000001</v>
      </c>
      <c r="P75" t="s">
        <v>135</v>
      </c>
      <c r="Q75">
        <v>6.11937</v>
      </c>
      <c r="S75" t="s">
        <v>135</v>
      </c>
      <c r="T75">
        <v>6.20045</v>
      </c>
    </row>
    <row r="76" spans="1:20">
      <c r="A76" t="s">
        <v>136</v>
      </c>
      <c r="B76">
        <v>6.1845499999999998</v>
      </c>
      <c r="D76" t="s">
        <v>136</v>
      </c>
      <c r="E76">
        <v>6.0597000000000003</v>
      </c>
      <c r="G76" t="s">
        <v>136</v>
      </c>
      <c r="H76">
        <v>6.1815800000000003</v>
      </c>
      <c r="J76" t="s">
        <v>136</v>
      </c>
      <c r="K76">
        <v>6.0955000000000004</v>
      </c>
      <c r="M76" t="s">
        <v>136</v>
      </c>
      <c r="N76">
        <v>6.2624700000000004</v>
      </c>
      <c r="P76" t="s">
        <v>136</v>
      </c>
      <c r="Q76">
        <v>6.12575</v>
      </c>
      <c r="S76" t="s">
        <v>136</v>
      </c>
      <c r="T76">
        <v>6.18689</v>
      </c>
    </row>
    <row r="77" spans="1:20">
      <c r="A77" t="s">
        <v>137</v>
      </c>
      <c r="B77">
        <v>6.18466</v>
      </c>
      <c r="D77" t="s">
        <v>137</v>
      </c>
      <c r="E77">
        <v>6.07742</v>
      </c>
      <c r="G77" t="s">
        <v>137</v>
      </c>
      <c r="H77">
        <v>6.1624999999999996</v>
      </c>
      <c r="J77" t="s">
        <v>137</v>
      </c>
      <c r="K77">
        <v>6.0823499999999999</v>
      </c>
      <c r="M77" t="s">
        <v>137</v>
      </c>
      <c r="N77">
        <v>6.2365399999999998</v>
      </c>
      <c r="P77" t="s">
        <v>137</v>
      </c>
      <c r="Q77">
        <v>6.0875899999999996</v>
      </c>
      <c r="S77" t="s">
        <v>137</v>
      </c>
      <c r="T77">
        <v>6.17821</v>
      </c>
    </row>
    <row r="78" spans="1:20">
      <c r="A78" t="s">
        <v>138</v>
      </c>
      <c r="B78">
        <v>6.2110099999999999</v>
      </c>
      <c r="D78" t="s">
        <v>138</v>
      </c>
      <c r="E78">
        <v>6.0979299999999999</v>
      </c>
      <c r="G78" t="s">
        <v>138</v>
      </c>
      <c r="H78">
        <v>6.1392699999999998</v>
      </c>
      <c r="J78" t="s">
        <v>138</v>
      </c>
      <c r="K78">
        <v>6.0483900000000004</v>
      </c>
      <c r="M78" t="s">
        <v>138</v>
      </c>
      <c r="N78">
        <v>6.23637</v>
      </c>
      <c r="P78" t="s">
        <v>138</v>
      </c>
      <c r="Q78">
        <v>6.0729499999999996</v>
      </c>
      <c r="S78" t="s">
        <v>138</v>
      </c>
      <c r="T78">
        <v>6.1527799999999999</v>
      </c>
    </row>
    <row r="79" spans="1:20">
      <c r="A79" t="s">
        <v>139</v>
      </c>
      <c r="B79">
        <v>6.1444999999999999</v>
      </c>
      <c r="D79" t="s">
        <v>139</v>
      </c>
      <c r="E79">
        <v>6.0213799999999997</v>
      </c>
      <c r="G79" t="s">
        <v>139</v>
      </c>
      <c r="H79">
        <v>6.13687</v>
      </c>
      <c r="J79" t="s">
        <v>139</v>
      </c>
      <c r="K79">
        <v>6.0339400000000003</v>
      </c>
      <c r="M79" t="s">
        <v>139</v>
      </c>
      <c r="N79">
        <v>6.2179099999999998</v>
      </c>
      <c r="P79" t="s">
        <v>139</v>
      </c>
      <c r="Q79">
        <v>6.0699100000000001</v>
      </c>
      <c r="S79" t="s">
        <v>139</v>
      </c>
      <c r="T79">
        <v>6.1510699999999998</v>
      </c>
    </row>
    <row r="80" spans="1:20">
      <c r="A80" t="s">
        <v>140</v>
      </c>
      <c r="B80">
        <v>6.1173799999999998</v>
      </c>
      <c r="D80" t="s">
        <v>140</v>
      </c>
      <c r="E80">
        <v>5.9681300000000004</v>
      </c>
      <c r="G80" t="s">
        <v>140</v>
      </c>
      <c r="H80">
        <v>6.1048999999999998</v>
      </c>
      <c r="J80" t="s">
        <v>140</v>
      </c>
      <c r="K80">
        <v>6.0375300000000003</v>
      </c>
      <c r="M80" t="s">
        <v>140</v>
      </c>
      <c r="N80">
        <v>6.1955900000000002</v>
      </c>
      <c r="P80" t="s">
        <v>140</v>
      </c>
      <c r="Q80">
        <v>6.0610099999999996</v>
      </c>
      <c r="S80" t="s">
        <v>140</v>
      </c>
      <c r="T80">
        <v>6.1134199999999996</v>
      </c>
    </row>
    <row r="81" spans="1:20">
      <c r="A81" t="s">
        <v>141</v>
      </c>
      <c r="B81">
        <v>6.0731700000000002</v>
      </c>
      <c r="D81" t="s">
        <v>141</v>
      </c>
      <c r="E81">
        <v>5.9958900000000002</v>
      </c>
      <c r="G81" t="s">
        <v>141</v>
      </c>
      <c r="H81">
        <v>6.0892200000000001</v>
      </c>
      <c r="J81" t="s">
        <v>141</v>
      </c>
      <c r="K81">
        <v>6.0233699999999999</v>
      </c>
      <c r="M81" t="s">
        <v>141</v>
      </c>
      <c r="N81">
        <v>6.1933199999999999</v>
      </c>
      <c r="P81" t="s">
        <v>141</v>
      </c>
      <c r="Q81">
        <v>6.0383399999999998</v>
      </c>
      <c r="S81" t="s">
        <v>141</v>
      </c>
      <c r="T81">
        <v>6.11036</v>
      </c>
    </row>
    <row r="82" spans="1:20">
      <c r="A82" t="s">
        <v>142</v>
      </c>
      <c r="B82">
        <v>6.0315899999999996</v>
      </c>
      <c r="D82" t="s">
        <v>142</v>
      </c>
      <c r="E82">
        <v>6.0572999999999997</v>
      </c>
      <c r="G82" t="s">
        <v>142</v>
      </c>
      <c r="H82">
        <v>6.0996899999999998</v>
      </c>
      <c r="J82" t="s">
        <v>142</v>
      </c>
      <c r="K82">
        <v>6.0164900000000001</v>
      </c>
      <c r="M82" t="s">
        <v>142</v>
      </c>
      <c r="N82">
        <v>6.1736599999999999</v>
      </c>
      <c r="P82" t="s">
        <v>142</v>
      </c>
      <c r="Q82">
        <v>6.0358099999999997</v>
      </c>
      <c r="S82" t="s">
        <v>142</v>
      </c>
      <c r="T82">
        <v>6.0954699999999997</v>
      </c>
    </row>
    <row r="83" spans="1:20">
      <c r="A83" t="s">
        <v>143</v>
      </c>
      <c r="B83">
        <v>21.160499999999999</v>
      </c>
      <c r="D83" t="s">
        <v>143</v>
      </c>
      <c r="E83">
        <v>21.022200000000002</v>
      </c>
      <c r="G83" t="s">
        <v>143</v>
      </c>
      <c r="H83">
        <v>21.072900000000001</v>
      </c>
      <c r="J83" t="s">
        <v>143</v>
      </c>
      <c r="K83">
        <v>21.082100000000001</v>
      </c>
      <c r="M83" t="s">
        <v>143</v>
      </c>
      <c r="N83">
        <v>21.207999999999998</v>
      </c>
      <c r="P83" t="s">
        <v>143</v>
      </c>
      <c r="Q83">
        <v>21.146699999999999</v>
      </c>
      <c r="S83" t="s">
        <v>143</v>
      </c>
      <c r="T83">
        <v>21.1097</v>
      </c>
    </row>
    <row r="84" spans="1:20">
      <c r="A84" t="s">
        <v>144</v>
      </c>
      <c r="B84">
        <v>20.849900000000002</v>
      </c>
      <c r="D84" t="s">
        <v>144</v>
      </c>
      <c r="E84">
        <v>21.046199999999999</v>
      </c>
      <c r="G84" t="s">
        <v>144</v>
      </c>
      <c r="H84">
        <v>21.052299999999999</v>
      </c>
      <c r="J84" t="s">
        <v>144</v>
      </c>
      <c r="K84">
        <v>21.104900000000001</v>
      </c>
      <c r="M84" t="s">
        <v>144</v>
      </c>
      <c r="N84">
        <v>21.204799999999999</v>
      </c>
      <c r="P84" t="s">
        <v>144</v>
      </c>
      <c r="Q84">
        <v>21.1343</v>
      </c>
      <c r="S84" t="s">
        <v>144</v>
      </c>
      <c r="T84">
        <v>21.116700000000002</v>
      </c>
    </row>
    <row r="85" spans="1:20">
      <c r="A85" t="s">
        <v>145</v>
      </c>
      <c r="B85">
        <v>20.8447</v>
      </c>
      <c r="D85" t="s">
        <v>145</v>
      </c>
      <c r="E85">
        <v>21.0822</v>
      </c>
      <c r="G85" t="s">
        <v>145</v>
      </c>
      <c r="H85">
        <v>21.061900000000001</v>
      </c>
      <c r="J85" t="s">
        <v>145</v>
      </c>
      <c r="K85">
        <v>21.0852</v>
      </c>
      <c r="M85" t="s">
        <v>145</v>
      </c>
      <c r="N85">
        <v>21.204799999999999</v>
      </c>
      <c r="P85" t="s">
        <v>145</v>
      </c>
      <c r="Q85">
        <v>21.124300000000002</v>
      </c>
      <c r="S85" t="s">
        <v>145</v>
      </c>
      <c r="T85">
        <v>21.113499999999998</v>
      </c>
    </row>
    <row r="86" spans="1:20">
      <c r="A86" t="s">
        <v>146</v>
      </c>
      <c r="B86">
        <v>20.944099999999999</v>
      </c>
      <c r="D86" t="s">
        <v>146</v>
      </c>
      <c r="E86">
        <v>21.1401</v>
      </c>
      <c r="G86" t="s">
        <v>146</v>
      </c>
      <c r="H86">
        <v>21.060400000000001</v>
      </c>
      <c r="J86" t="s">
        <v>146</v>
      </c>
      <c r="K86">
        <v>21.075800000000001</v>
      </c>
      <c r="M86" t="s">
        <v>146</v>
      </c>
      <c r="N86">
        <v>21.208500000000001</v>
      </c>
      <c r="P86" t="s">
        <v>146</v>
      </c>
      <c r="Q86">
        <v>21.119299999999999</v>
      </c>
      <c r="S86" t="s">
        <v>146</v>
      </c>
      <c r="T86">
        <v>21.123100000000001</v>
      </c>
    </row>
    <row r="87" spans="1:20">
      <c r="A87" t="s">
        <v>147</v>
      </c>
      <c r="B87">
        <v>21.040600000000001</v>
      </c>
      <c r="D87" t="s">
        <v>147</v>
      </c>
      <c r="E87">
        <v>20.879899999999999</v>
      </c>
      <c r="G87" t="s">
        <v>147</v>
      </c>
      <c r="H87">
        <v>21.058599999999998</v>
      </c>
      <c r="J87" t="s">
        <v>147</v>
      </c>
      <c r="K87">
        <v>21.080100000000002</v>
      </c>
      <c r="M87" t="s">
        <v>147</v>
      </c>
      <c r="N87">
        <v>21.210599999999999</v>
      </c>
      <c r="P87" t="s">
        <v>147</v>
      </c>
      <c r="Q87">
        <v>21.1128</v>
      </c>
      <c r="S87" t="s">
        <v>147</v>
      </c>
      <c r="T87">
        <v>21.0975</v>
      </c>
    </row>
    <row r="88" spans="1:20">
      <c r="A88" t="s">
        <v>148</v>
      </c>
      <c r="B88">
        <v>21.081700000000001</v>
      </c>
      <c r="D88" t="s">
        <v>148</v>
      </c>
      <c r="E88">
        <v>20.862200000000001</v>
      </c>
      <c r="G88" t="s">
        <v>148</v>
      </c>
      <c r="H88">
        <v>21.041399999999999</v>
      </c>
      <c r="J88" t="s">
        <v>148</v>
      </c>
      <c r="K88">
        <v>21.074999999999999</v>
      </c>
      <c r="M88" t="s">
        <v>148</v>
      </c>
      <c r="N88">
        <v>21.202000000000002</v>
      </c>
      <c r="P88" t="s">
        <v>148</v>
      </c>
      <c r="Q88">
        <v>21.116299999999999</v>
      </c>
      <c r="S88" t="s">
        <v>148</v>
      </c>
      <c r="T88">
        <v>21.1008</v>
      </c>
    </row>
    <row r="89" spans="1:20">
      <c r="A89" t="s">
        <v>149</v>
      </c>
      <c r="B89">
        <v>21.106200000000001</v>
      </c>
      <c r="D89" t="s">
        <v>149</v>
      </c>
      <c r="E89">
        <v>20.891200000000001</v>
      </c>
      <c r="G89" t="s">
        <v>149</v>
      </c>
      <c r="H89">
        <v>21.028300000000002</v>
      </c>
      <c r="J89" t="s">
        <v>149</v>
      </c>
      <c r="K89">
        <v>21.069099999999999</v>
      </c>
      <c r="M89" t="s">
        <v>149</v>
      </c>
      <c r="N89">
        <v>21.201799999999999</v>
      </c>
      <c r="P89" t="s">
        <v>149</v>
      </c>
      <c r="Q89">
        <v>21.1175</v>
      </c>
      <c r="S89" t="s">
        <v>149</v>
      </c>
      <c r="T89">
        <v>21.097100000000001</v>
      </c>
    </row>
    <row r="90" spans="1:20">
      <c r="A90" t="s">
        <v>150</v>
      </c>
      <c r="B90">
        <v>21.115200000000002</v>
      </c>
      <c r="D90" t="s">
        <v>150</v>
      </c>
      <c r="E90">
        <v>20.9681</v>
      </c>
      <c r="G90" t="s">
        <v>150</v>
      </c>
      <c r="H90">
        <v>21.0261</v>
      </c>
      <c r="J90" t="s">
        <v>150</v>
      </c>
      <c r="K90">
        <v>21.0808</v>
      </c>
      <c r="M90" t="s">
        <v>150</v>
      </c>
      <c r="N90">
        <v>21.192399999999999</v>
      </c>
      <c r="P90" t="s">
        <v>150</v>
      </c>
      <c r="Q90">
        <v>21.109500000000001</v>
      </c>
      <c r="S90" t="s">
        <v>150</v>
      </c>
      <c r="T90">
        <v>21.084900000000001</v>
      </c>
    </row>
    <row r="91" spans="1:20">
      <c r="A91" t="s">
        <v>151</v>
      </c>
      <c r="B91">
        <v>21.096</v>
      </c>
      <c r="D91" t="s">
        <v>151</v>
      </c>
      <c r="E91">
        <v>20.979600000000001</v>
      </c>
      <c r="G91" t="s">
        <v>151</v>
      </c>
      <c r="H91">
        <v>21.052299999999999</v>
      </c>
      <c r="J91" t="s">
        <v>151</v>
      </c>
      <c r="K91">
        <v>21.067900000000002</v>
      </c>
      <c r="M91" t="s">
        <v>151</v>
      </c>
      <c r="N91">
        <v>21.182600000000001</v>
      </c>
      <c r="P91" t="s">
        <v>151</v>
      </c>
      <c r="Q91">
        <v>21.1248</v>
      </c>
      <c r="S91" t="s">
        <v>151</v>
      </c>
      <c r="T91">
        <v>21.085599999999999</v>
      </c>
    </row>
    <row r="92" spans="1:20">
      <c r="A92" t="s">
        <v>152</v>
      </c>
      <c r="B92">
        <v>14.058400000000001</v>
      </c>
      <c r="D92" t="s">
        <v>152</v>
      </c>
      <c r="E92">
        <v>13.8489</v>
      </c>
      <c r="G92" t="s">
        <v>152</v>
      </c>
      <c r="H92">
        <v>14.3949</v>
      </c>
      <c r="J92" t="s">
        <v>152</v>
      </c>
      <c r="K92">
        <v>14.000500000000001</v>
      </c>
      <c r="M92" t="s">
        <v>152</v>
      </c>
      <c r="N92">
        <v>14.586499999999999</v>
      </c>
      <c r="P92" t="s">
        <v>152</v>
      </c>
      <c r="Q92">
        <v>13.7521</v>
      </c>
      <c r="S92" t="s">
        <v>152</v>
      </c>
      <c r="T92">
        <v>14.0877</v>
      </c>
    </row>
    <row r="93" spans="1:20">
      <c r="A93" t="s">
        <v>153</v>
      </c>
      <c r="B93">
        <v>14.0654</v>
      </c>
      <c r="D93" t="s">
        <v>153</v>
      </c>
      <c r="E93">
        <v>13.89</v>
      </c>
      <c r="G93" t="s">
        <v>153</v>
      </c>
      <c r="H93">
        <v>14.3241</v>
      </c>
      <c r="J93" t="s">
        <v>153</v>
      </c>
      <c r="K93">
        <v>13.955</v>
      </c>
      <c r="M93" t="s">
        <v>153</v>
      </c>
      <c r="N93">
        <v>14.5276</v>
      </c>
      <c r="P93" t="s">
        <v>153</v>
      </c>
      <c r="Q93">
        <v>13.811400000000001</v>
      </c>
      <c r="S93" t="s">
        <v>153</v>
      </c>
      <c r="T93">
        <v>14.1052</v>
      </c>
    </row>
    <row r="94" spans="1:20">
      <c r="A94" t="s">
        <v>154</v>
      </c>
      <c r="B94">
        <v>14.0098</v>
      </c>
      <c r="D94" t="s">
        <v>154</v>
      </c>
      <c r="E94">
        <v>13.856199999999999</v>
      </c>
      <c r="G94" t="s">
        <v>154</v>
      </c>
      <c r="H94">
        <v>14.358700000000001</v>
      </c>
      <c r="J94" t="s">
        <v>154</v>
      </c>
      <c r="K94">
        <v>13.984500000000001</v>
      </c>
      <c r="M94" t="s">
        <v>154</v>
      </c>
      <c r="N94">
        <v>14.565300000000001</v>
      </c>
      <c r="P94" t="s">
        <v>154</v>
      </c>
      <c r="Q94">
        <v>13.8491</v>
      </c>
      <c r="S94" t="s">
        <v>154</v>
      </c>
      <c r="T94">
        <v>14.0802</v>
      </c>
    </row>
    <row r="95" spans="1:20">
      <c r="A95" t="s">
        <v>155</v>
      </c>
      <c r="B95">
        <v>14.000400000000001</v>
      </c>
      <c r="D95" t="s">
        <v>155</v>
      </c>
      <c r="E95">
        <v>13.9659</v>
      </c>
      <c r="G95" t="s">
        <v>155</v>
      </c>
      <c r="H95">
        <v>14.260899999999999</v>
      </c>
      <c r="J95" t="s">
        <v>155</v>
      </c>
      <c r="K95">
        <v>13.9693</v>
      </c>
      <c r="M95" t="s">
        <v>155</v>
      </c>
      <c r="N95">
        <v>14.5448</v>
      </c>
      <c r="P95" t="s">
        <v>155</v>
      </c>
      <c r="Q95">
        <v>13.7905</v>
      </c>
      <c r="S95" t="s">
        <v>155</v>
      </c>
      <c r="T95">
        <v>14.0839</v>
      </c>
    </row>
    <row r="96" spans="1:20">
      <c r="A96" t="s">
        <v>156</v>
      </c>
      <c r="B96">
        <v>13.9903</v>
      </c>
      <c r="D96" t="s">
        <v>156</v>
      </c>
      <c r="E96">
        <v>13.9034</v>
      </c>
      <c r="G96" t="s">
        <v>156</v>
      </c>
      <c r="H96">
        <v>14.3142</v>
      </c>
      <c r="J96" t="s">
        <v>156</v>
      </c>
      <c r="K96">
        <v>13.921900000000001</v>
      </c>
      <c r="M96" t="s">
        <v>156</v>
      </c>
      <c r="N96">
        <v>14.5669</v>
      </c>
      <c r="P96" t="s">
        <v>156</v>
      </c>
      <c r="Q96">
        <v>13.773199999999999</v>
      </c>
      <c r="S96" t="s">
        <v>156</v>
      </c>
      <c r="T96">
        <v>14.0716</v>
      </c>
    </row>
    <row r="97" spans="1:20">
      <c r="A97" t="s">
        <v>157</v>
      </c>
      <c r="B97">
        <v>14.0227</v>
      </c>
      <c r="D97" t="s">
        <v>157</v>
      </c>
      <c r="E97">
        <v>13.9222</v>
      </c>
      <c r="G97" t="s">
        <v>157</v>
      </c>
      <c r="H97">
        <v>14.2881</v>
      </c>
      <c r="J97" t="s">
        <v>157</v>
      </c>
      <c r="K97">
        <v>13.982900000000001</v>
      </c>
      <c r="M97" t="s">
        <v>157</v>
      </c>
      <c r="N97">
        <v>14.535500000000001</v>
      </c>
      <c r="P97" t="s">
        <v>157</v>
      </c>
      <c r="Q97">
        <v>13.757300000000001</v>
      </c>
      <c r="S97" t="s">
        <v>157</v>
      </c>
      <c r="T97">
        <v>14.0724</v>
      </c>
    </row>
    <row r="98" spans="1:20">
      <c r="A98" t="s">
        <v>158</v>
      </c>
      <c r="B98">
        <v>14.052199999999999</v>
      </c>
      <c r="D98" t="s">
        <v>158</v>
      </c>
      <c r="E98">
        <v>13.9495</v>
      </c>
      <c r="G98" t="s">
        <v>158</v>
      </c>
      <c r="H98">
        <v>14.279400000000001</v>
      </c>
      <c r="J98" t="s">
        <v>158</v>
      </c>
      <c r="K98">
        <v>13.938000000000001</v>
      </c>
      <c r="M98" t="s">
        <v>158</v>
      </c>
      <c r="N98">
        <v>14.5557</v>
      </c>
      <c r="P98" t="s">
        <v>158</v>
      </c>
      <c r="Q98">
        <v>13.7361</v>
      </c>
      <c r="S98" t="s">
        <v>158</v>
      </c>
      <c r="T98">
        <v>14.058199999999999</v>
      </c>
    </row>
    <row r="99" spans="1:20">
      <c r="A99" t="s">
        <v>159</v>
      </c>
      <c r="B99">
        <v>14.0085</v>
      </c>
      <c r="D99" t="s">
        <v>159</v>
      </c>
      <c r="E99">
        <v>13.9207</v>
      </c>
      <c r="G99" t="s">
        <v>159</v>
      </c>
      <c r="H99">
        <v>14.246600000000001</v>
      </c>
      <c r="J99" t="s">
        <v>159</v>
      </c>
      <c r="K99">
        <v>13.944000000000001</v>
      </c>
      <c r="M99" t="s">
        <v>159</v>
      </c>
      <c r="N99">
        <v>14.5327</v>
      </c>
      <c r="P99" t="s">
        <v>159</v>
      </c>
      <c r="Q99">
        <v>13.7593</v>
      </c>
      <c r="S99" t="s">
        <v>159</v>
      </c>
      <c r="T99">
        <v>14.0755</v>
      </c>
    </row>
    <row r="100" spans="1:20">
      <c r="A100" t="s">
        <v>160</v>
      </c>
      <c r="B100">
        <v>14.057700000000001</v>
      </c>
      <c r="D100" t="s">
        <v>160</v>
      </c>
      <c r="E100">
        <v>13.8423</v>
      </c>
      <c r="G100" t="s">
        <v>160</v>
      </c>
      <c r="H100">
        <v>14.3063</v>
      </c>
      <c r="J100" t="s">
        <v>160</v>
      </c>
      <c r="K100">
        <v>13.947699999999999</v>
      </c>
      <c r="M100" t="s">
        <v>160</v>
      </c>
      <c r="N100">
        <v>14.537800000000001</v>
      </c>
      <c r="P100" t="s">
        <v>160</v>
      </c>
      <c r="Q100">
        <v>13.7605</v>
      </c>
      <c r="S100" t="s">
        <v>160</v>
      </c>
      <c r="T100">
        <v>14.038399999999999</v>
      </c>
    </row>
    <row r="101" spans="1:20">
      <c r="A101" t="s">
        <v>161</v>
      </c>
      <c r="B101">
        <v>7.2392599999999998</v>
      </c>
      <c r="D101" t="s">
        <v>161</v>
      </c>
      <c r="E101">
        <v>7.2147100000000002</v>
      </c>
      <c r="G101" t="s">
        <v>161</v>
      </c>
      <c r="H101">
        <v>7.3485800000000001</v>
      </c>
      <c r="J101" t="s">
        <v>161</v>
      </c>
      <c r="K101">
        <v>7.2232500000000002</v>
      </c>
      <c r="M101" t="s">
        <v>161</v>
      </c>
      <c r="N101">
        <v>7.4494899999999999</v>
      </c>
      <c r="P101" t="s">
        <v>161</v>
      </c>
      <c r="Q101">
        <v>7.2259099999999998</v>
      </c>
      <c r="S101" t="s">
        <v>161</v>
      </c>
      <c r="T101">
        <v>7.3155900000000003</v>
      </c>
    </row>
    <row r="102" spans="1:20">
      <c r="A102" t="s">
        <v>162</v>
      </c>
      <c r="B102">
        <v>7.2679799999999997</v>
      </c>
      <c r="D102" t="s">
        <v>162</v>
      </c>
      <c r="E102">
        <v>7.1654600000000004</v>
      </c>
      <c r="G102" t="s">
        <v>162</v>
      </c>
      <c r="H102">
        <v>7.3343999999999996</v>
      </c>
      <c r="J102" t="s">
        <v>162</v>
      </c>
      <c r="K102">
        <v>7.1901900000000003</v>
      </c>
      <c r="M102" t="s">
        <v>162</v>
      </c>
      <c r="N102">
        <v>7.4456699999999998</v>
      </c>
      <c r="P102" t="s">
        <v>162</v>
      </c>
      <c r="Q102">
        <v>7.1913999999999998</v>
      </c>
      <c r="S102" t="s">
        <v>162</v>
      </c>
      <c r="T102">
        <v>7.3068799999999996</v>
      </c>
    </row>
    <row r="103" spans="1:20">
      <c r="A103" t="s">
        <v>163</v>
      </c>
      <c r="B103">
        <v>7.2918799999999999</v>
      </c>
      <c r="D103" t="s">
        <v>163</v>
      </c>
      <c r="E103">
        <v>7.1316499999999996</v>
      </c>
      <c r="G103" t="s">
        <v>163</v>
      </c>
      <c r="H103">
        <v>7.3357700000000001</v>
      </c>
      <c r="J103" t="s">
        <v>163</v>
      </c>
      <c r="K103">
        <v>7.1932499999999999</v>
      </c>
      <c r="M103" t="s">
        <v>163</v>
      </c>
      <c r="N103">
        <v>7.4322600000000003</v>
      </c>
      <c r="P103" t="s">
        <v>163</v>
      </c>
      <c r="Q103">
        <v>7.2011099999999999</v>
      </c>
      <c r="S103" t="s">
        <v>163</v>
      </c>
      <c r="T103">
        <v>7.2870400000000002</v>
      </c>
    </row>
    <row r="104" spans="1:20">
      <c r="A104" t="s">
        <v>164</v>
      </c>
      <c r="B104">
        <v>7.2836699999999999</v>
      </c>
      <c r="D104" t="s">
        <v>164</v>
      </c>
      <c r="E104">
        <v>7.1589999999999998</v>
      </c>
      <c r="G104" t="s">
        <v>164</v>
      </c>
      <c r="H104">
        <v>7.3005399999999998</v>
      </c>
      <c r="J104" t="s">
        <v>164</v>
      </c>
      <c r="K104">
        <v>7.18018</v>
      </c>
      <c r="M104" t="s">
        <v>164</v>
      </c>
      <c r="N104">
        <v>7.4022500000000004</v>
      </c>
      <c r="P104" t="s">
        <v>164</v>
      </c>
      <c r="Q104">
        <v>7.1554500000000001</v>
      </c>
      <c r="S104" t="s">
        <v>164</v>
      </c>
      <c r="T104">
        <v>7.2778700000000001</v>
      </c>
    </row>
    <row r="105" spans="1:20">
      <c r="A105" t="s">
        <v>165</v>
      </c>
      <c r="B105">
        <v>7.2981699999999998</v>
      </c>
      <c r="D105" t="s">
        <v>165</v>
      </c>
      <c r="E105">
        <v>7.1751500000000004</v>
      </c>
      <c r="G105" t="s">
        <v>165</v>
      </c>
      <c r="H105">
        <v>7.2843200000000001</v>
      </c>
      <c r="J105" t="s">
        <v>165</v>
      </c>
      <c r="K105">
        <v>7.1377300000000004</v>
      </c>
      <c r="M105" t="s">
        <v>165</v>
      </c>
      <c r="N105">
        <v>7.3997999999999999</v>
      </c>
      <c r="P105" t="s">
        <v>165</v>
      </c>
      <c r="Q105">
        <v>7.1375599999999997</v>
      </c>
      <c r="S105" t="s">
        <v>165</v>
      </c>
      <c r="T105">
        <v>7.2499399999999996</v>
      </c>
    </row>
    <row r="106" spans="1:20">
      <c r="A106" t="s">
        <v>166</v>
      </c>
      <c r="B106">
        <v>7.2425600000000001</v>
      </c>
      <c r="D106" t="s">
        <v>166</v>
      </c>
      <c r="E106">
        <v>7.1104000000000003</v>
      </c>
      <c r="G106" t="s">
        <v>166</v>
      </c>
      <c r="H106">
        <v>7.2749499999999996</v>
      </c>
      <c r="J106" t="s">
        <v>166</v>
      </c>
      <c r="K106">
        <v>7.1329799999999999</v>
      </c>
      <c r="M106" t="s">
        <v>166</v>
      </c>
      <c r="N106">
        <v>7.3785999999999996</v>
      </c>
      <c r="P106" t="s">
        <v>166</v>
      </c>
      <c r="Q106">
        <v>7.1285299999999996</v>
      </c>
      <c r="S106" t="s">
        <v>166</v>
      </c>
      <c r="T106">
        <v>7.2486300000000004</v>
      </c>
    </row>
    <row r="107" spans="1:20">
      <c r="A107" t="s">
        <v>167</v>
      </c>
      <c r="B107">
        <v>7.2210299999999998</v>
      </c>
      <c r="D107" t="s">
        <v>167</v>
      </c>
      <c r="E107">
        <v>7.0659799999999997</v>
      </c>
      <c r="G107" t="s">
        <v>167</v>
      </c>
      <c r="H107">
        <v>7.2450099999999997</v>
      </c>
      <c r="J107" t="s">
        <v>167</v>
      </c>
      <c r="K107">
        <v>7.1239999999999997</v>
      </c>
      <c r="M107" t="s">
        <v>167</v>
      </c>
      <c r="N107">
        <v>7.3588199999999997</v>
      </c>
      <c r="P107" t="s">
        <v>167</v>
      </c>
      <c r="Q107">
        <v>7.1186299999999996</v>
      </c>
      <c r="S107" t="s">
        <v>167</v>
      </c>
      <c r="T107">
        <v>7.2106899999999996</v>
      </c>
    </row>
    <row r="108" spans="1:20">
      <c r="A108" t="s">
        <v>168</v>
      </c>
      <c r="B108">
        <v>7.1745400000000004</v>
      </c>
      <c r="D108" t="s">
        <v>168</v>
      </c>
      <c r="E108">
        <v>7.0806699999999996</v>
      </c>
      <c r="G108" t="s">
        <v>168</v>
      </c>
      <c r="H108">
        <v>7.2253499999999997</v>
      </c>
      <c r="J108" t="s">
        <v>168</v>
      </c>
      <c r="K108">
        <v>7.1143000000000001</v>
      </c>
      <c r="M108" t="s">
        <v>168</v>
      </c>
      <c r="N108">
        <v>7.3525299999999998</v>
      </c>
      <c r="P108" t="s">
        <v>168</v>
      </c>
      <c r="Q108">
        <v>7.1005000000000003</v>
      </c>
      <c r="S108" t="s">
        <v>168</v>
      </c>
      <c r="T108">
        <v>7.2085800000000004</v>
      </c>
    </row>
    <row r="109" spans="1:20">
      <c r="A109" t="s">
        <v>169</v>
      </c>
      <c r="B109">
        <v>7.1453699999999998</v>
      </c>
      <c r="D109" t="s">
        <v>169</v>
      </c>
      <c r="E109">
        <v>7.11144</v>
      </c>
      <c r="G109" t="s">
        <v>169</v>
      </c>
      <c r="H109">
        <v>7.2397299999999998</v>
      </c>
      <c r="J109" t="s">
        <v>169</v>
      </c>
      <c r="K109">
        <v>7.1063900000000002</v>
      </c>
      <c r="M109" t="s">
        <v>169</v>
      </c>
      <c r="N109">
        <v>7.3333700000000004</v>
      </c>
      <c r="P109" t="s">
        <v>169</v>
      </c>
      <c r="Q109">
        <v>7.0943399999999999</v>
      </c>
      <c r="S109" t="s">
        <v>169</v>
      </c>
      <c r="T109">
        <v>7.1867599999999996</v>
      </c>
    </row>
    <row r="110" spans="1:20">
      <c r="A110" t="s">
        <v>170</v>
      </c>
      <c r="B110">
        <v>36.918500000000002</v>
      </c>
      <c r="D110" t="s">
        <v>170</v>
      </c>
      <c r="E110">
        <v>36.926200000000001</v>
      </c>
      <c r="G110" t="s">
        <v>170</v>
      </c>
      <c r="H110">
        <v>36.671100000000003</v>
      </c>
      <c r="J110" t="s">
        <v>170</v>
      </c>
      <c r="K110">
        <v>36.930399999999999</v>
      </c>
      <c r="M110" t="s">
        <v>170</v>
      </c>
      <c r="N110">
        <v>36.783200000000001</v>
      </c>
      <c r="P110" t="s">
        <v>170</v>
      </c>
      <c r="Q110">
        <v>36.990400000000001</v>
      </c>
      <c r="S110" t="s">
        <v>170</v>
      </c>
      <c r="T110">
        <v>36.796700000000001</v>
      </c>
    </row>
    <row r="111" spans="1:20">
      <c r="A111" t="s">
        <v>171</v>
      </c>
      <c r="B111">
        <v>36.354100000000003</v>
      </c>
      <c r="D111" t="s">
        <v>171</v>
      </c>
      <c r="E111">
        <v>37.027299999999997</v>
      </c>
      <c r="G111" t="s">
        <v>171</v>
      </c>
      <c r="H111">
        <v>36.658200000000001</v>
      </c>
      <c r="J111" t="s">
        <v>171</v>
      </c>
      <c r="K111">
        <v>37.048000000000002</v>
      </c>
      <c r="M111" t="s">
        <v>171</v>
      </c>
      <c r="N111">
        <v>36.7714</v>
      </c>
      <c r="P111" t="s">
        <v>171</v>
      </c>
      <c r="Q111">
        <v>37.058199999999999</v>
      </c>
      <c r="S111" t="s">
        <v>171</v>
      </c>
      <c r="T111">
        <v>36.853099999999998</v>
      </c>
    </row>
    <row r="112" spans="1:20">
      <c r="A112" t="s">
        <v>172</v>
      </c>
      <c r="B112">
        <v>36.478400000000001</v>
      </c>
      <c r="D112" t="s">
        <v>172</v>
      </c>
      <c r="E112">
        <v>37.104500000000002</v>
      </c>
      <c r="G112" t="s">
        <v>172</v>
      </c>
      <c r="H112">
        <v>36.687600000000003</v>
      </c>
      <c r="J112" t="s">
        <v>172</v>
      </c>
      <c r="K112">
        <v>37.003700000000002</v>
      </c>
      <c r="M112" t="s">
        <v>172</v>
      </c>
      <c r="N112">
        <v>36.829599999999999</v>
      </c>
      <c r="P112" t="s">
        <v>172</v>
      </c>
      <c r="Q112">
        <v>37.0304</v>
      </c>
      <c r="S112" t="s">
        <v>172</v>
      </c>
      <c r="T112">
        <v>36.866599999999998</v>
      </c>
    </row>
    <row r="113" spans="1:20">
      <c r="A113" t="s">
        <v>173</v>
      </c>
      <c r="B113">
        <v>36.68</v>
      </c>
      <c r="D113" t="s">
        <v>173</v>
      </c>
      <c r="E113">
        <v>37.2224</v>
      </c>
      <c r="G113" t="s">
        <v>173</v>
      </c>
      <c r="H113">
        <v>36.734299999999998</v>
      </c>
      <c r="J113" t="s">
        <v>173</v>
      </c>
      <c r="K113">
        <v>37.032699999999998</v>
      </c>
      <c r="M113" t="s">
        <v>173</v>
      </c>
      <c r="N113">
        <v>36.889299999999999</v>
      </c>
      <c r="P113" t="s">
        <v>173</v>
      </c>
      <c r="Q113">
        <v>37.114600000000003</v>
      </c>
      <c r="S113" t="s">
        <v>173</v>
      </c>
      <c r="T113">
        <v>36.917700000000004</v>
      </c>
    </row>
    <row r="114" spans="1:20">
      <c r="A114" t="s">
        <v>174</v>
      </c>
      <c r="B114">
        <v>36.843699999999998</v>
      </c>
      <c r="D114" t="s">
        <v>174</v>
      </c>
      <c r="E114">
        <v>36.750399999999999</v>
      </c>
      <c r="G114" t="s">
        <v>174</v>
      </c>
      <c r="H114">
        <v>36.786099999999998</v>
      </c>
      <c r="J114" t="s">
        <v>174</v>
      </c>
      <c r="K114">
        <v>37.108199999999997</v>
      </c>
      <c r="M114" t="s">
        <v>174</v>
      </c>
      <c r="N114">
        <v>36.915300000000002</v>
      </c>
      <c r="P114" t="s">
        <v>174</v>
      </c>
      <c r="Q114">
        <v>37.130899999999997</v>
      </c>
      <c r="S114" t="s">
        <v>174</v>
      </c>
      <c r="T114">
        <v>36.924399999999999</v>
      </c>
    </row>
    <row r="115" spans="1:20">
      <c r="A115" t="s">
        <v>175</v>
      </c>
      <c r="B115">
        <v>36.976199999999999</v>
      </c>
      <c r="D115" t="s">
        <v>175</v>
      </c>
      <c r="E115">
        <v>36.796900000000001</v>
      </c>
      <c r="G115" t="s">
        <v>175</v>
      </c>
      <c r="H115">
        <v>36.758600000000001</v>
      </c>
      <c r="J115" t="s">
        <v>175</v>
      </c>
      <c r="K115">
        <v>37.142699999999998</v>
      </c>
      <c r="M115" t="s">
        <v>175</v>
      </c>
      <c r="N115">
        <v>36.938000000000002</v>
      </c>
      <c r="P115" t="s">
        <v>175</v>
      </c>
      <c r="Q115">
        <v>37.171100000000003</v>
      </c>
      <c r="S115" t="s">
        <v>175</v>
      </c>
      <c r="T115">
        <v>36.954700000000003</v>
      </c>
    </row>
    <row r="116" spans="1:20">
      <c r="A116" t="s">
        <v>176</v>
      </c>
      <c r="B116">
        <v>37.029499999999999</v>
      </c>
      <c r="D116" t="s">
        <v>176</v>
      </c>
      <c r="E116">
        <v>36.903399999999998</v>
      </c>
      <c r="G116" t="s">
        <v>176</v>
      </c>
      <c r="H116">
        <v>36.808700000000002</v>
      </c>
      <c r="J116" t="s">
        <v>176</v>
      </c>
      <c r="K116">
        <v>37.130299999999998</v>
      </c>
      <c r="M116" t="s">
        <v>176</v>
      </c>
      <c r="N116">
        <v>36.982100000000003</v>
      </c>
      <c r="P116" t="s">
        <v>176</v>
      </c>
      <c r="Q116">
        <v>37.188699999999997</v>
      </c>
      <c r="S116" t="s">
        <v>176</v>
      </c>
      <c r="T116">
        <v>37.026400000000002</v>
      </c>
    </row>
    <row r="117" spans="1:20">
      <c r="A117" t="s">
        <v>177</v>
      </c>
      <c r="B117">
        <v>37.1036</v>
      </c>
      <c r="D117" t="s">
        <v>177</v>
      </c>
      <c r="E117">
        <v>37.023899999999998</v>
      </c>
      <c r="G117" t="s">
        <v>177</v>
      </c>
      <c r="H117">
        <v>36.859499999999997</v>
      </c>
      <c r="J117" t="s">
        <v>177</v>
      </c>
      <c r="K117">
        <v>37.1937</v>
      </c>
      <c r="M117" t="s">
        <v>177</v>
      </c>
      <c r="N117">
        <v>36.996899999999997</v>
      </c>
      <c r="P117" t="s">
        <v>177</v>
      </c>
      <c r="Q117">
        <v>37.221899999999998</v>
      </c>
      <c r="S117" t="s">
        <v>177</v>
      </c>
      <c r="T117">
        <v>37.025500000000001</v>
      </c>
    </row>
    <row r="118" spans="1:20">
      <c r="A118" t="s">
        <v>178</v>
      </c>
      <c r="B118">
        <v>37.1006</v>
      </c>
      <c r="D118" t="s">
        <v>178</v>
      </c>
      <c r="E118">
        <v>37.149500000000003</v>
      </c>
      <c r="G118" t="s">
        <v>178</v>
      </c>
      <c r="H118">
        <v>36.886400000000002</v>
      </c>
      <c r="J118" t="s">
        <v>178</v>
      </c>
      <c r="K118">
        <v>37.189700000000002</v>
      </c>
      <c r="M118" t="s">
        <v>178</v>
      </c>
      <c r="N118">
        <v>37.001199999999997</v>
      </c>
      <c r="P118" t="s">
        <v>178</v>
      </c>
      <c r="Q118">
        <v>37.2821</v>
      </c>
      <c r="S118" t="s">
        <v>178</v>
      </c>
      <c r="T118">
        <v>37.063200000000002</v>
      </c>
    </row>
    <row r="119" spans="1:20">
      <c r="A119" t="s">
        <v>179</v>
      </c>
      <c r="B119">
        <v>23.474599999999999</v>
      </c>
      <c r="D119" t="s">
        <v>179</v>
      </c>
      <c r="E119">
        <v>23.251000000000001</v>
      </c>
      <c r="G119" t="s">
        <v>179</v>
      </c>
      <c r="H119">
        <v>23.2393</v>
      </c>
      <c r="J119" t="s">
        <v>179</v>
      </c>
      <c r="K119">
        <v>23.283000000000001</v>
      </c>
      <c r="M119" t="s">
        <v>179</v>
      </c>
      <c r="N119">
        <v>23.431799999999999</v>
      </c>
      <c r="P119" t="s">
        <v>179</v>
      </c>
      <c r="Q119">
        <v>23.378399999999999</v>
      </c>
      <c r="S119" t="s">
        <v>179</v>
      </c>
      <c r="T119">
        <v>23.3019</v>
      </c>
    </row>
    <row r="120" spans="1:20">
      <c r="A120" t="s">
        <v>180</v>
      </c>
      <c r="B120">
        <v>23.062200000000001</v>
      </c>
      <c r="D120" t="s">
        <v>180</v>
      </c>
      <c r="E120">
        <v>23.3233</v>
      </c>
      <c r="G120" t="s">
        <v>180</v>
      </c>
      <c r="H120">
        <v>23.2362</v>
      </c>
      <c r="J120" t="s">
        <v>180</v>
      </c>
      <c r="K120">
        <v>23.325800000000001</v>
      </c>
      <c r="M120" t="s">
        <v>180</v>
      </c>
      <c r="N120">
        <v>23.4453</v>
      </c>
      <c r="P120" t="s">
        <v>180</v>
      </c>
      <c r="Q120">
        <v>23.3855</v>
      </c>
      <c r="S120" t="s">
        <v>180</v>
      </c>
      <c r="T120">
        <v>23.3352</v>
      </c>
    </row>
    <row r="121" spans="1:20">
      <c r="A121" t="s">
        <v>181</v>
      </c>
      <c r="B121">
        <v>23.033000000000001</v>
      </c>
      <c r="D121" t="s">
        <v>181</v>
      </c>
      <c r="E121">
        <v>23.395</v>
      </c>
      <c r="G121" t="s">
        <v>181</v>
      </c>
      <c r="H121">
        <v>23.259599999999999</v>
      </c>
      <c r="J121" t="s">
        <v>181</v>
      </c>
      <c r="K121">
        <v>23.336500000000001</v>
      </c>
      <c r="M121" t="s">
        <v>181</v>
      </c>
      <c r="N121">
        <v>23.462599999999998</v>
      </c>
      <c r="P121" t="s">
        <v>181</v>
      </c>
      <c r="Q121">
        <v>23.393899999999999</v>
      </c>
      <c r="S121" t="s">
        <v>181</v>
      </c>
      <c r="T121">
        <v>23.3445</v>
      </c>
    </row>
    <row r="122" spans="1:20">
      <c r="A122" t="s">
        <v>182</v>
      </c>
      <c r="B122">
        <v>23.1448</v>
      </c>
      <c r="D122" t="s">
        <v>182</v>
      </c>
      <c r="E122">
        <v>23.448</v>
      </c>
      <c r="G122" t="s">
        <v>182</v>
      </c>
      <c r="H122">
        <v>23.2849</v>
      </c>
      <c r="J122" t="s">
        <v>182</v>
      </c>
      <c r="K122">
        <v>23.340699999999998</v>
      </c>
      <c r="M122" t="s">
        <v>182</v>
      </c>
      <c r="N122">
        <v>23.486799999999999</v>
      </c>
      <c r="P122" t="s">
        <v>182</v>
      </c>
      <c r="Q122">
        <v>23.403400000000001</v>
      </c>
      <c r="S122" t="s">
        <v>182</v>
      </c>
      <c r="T122">
        <v>23.383500000000002</v>
      </c>
    </row>
    <row r="123" spans="1:20">
      <c r="A123" t="s">
        <v>183</v>
      </c>
      <c r="B123">
        <v>23.2822</v>
      </c>
      <c r="D123" t="s">
        <v>183</v>
      </c>
      <c r="E123">
        <v>23.098199999999999</v>
      </c>
      <c r="G123" t="s">
        <v>183</v>
      </c>
      <c r="H123">
        <v>23.2913</v>
      </c>
      <c r="J123" t="s">
        <v>183</v>
      </c>
      <c r="K123">
        <v>23.361499999999999</v>
      </c>
      <c r="M123" t="s">
        <v>183</v>
      </c>
      <c r="N123">
        <v>23.511700000000001</v>
      </c>
      <c r="P123" t="s">
        <v>183</v>
      </c>
      <c r="Q123">
        <v>23.417400000000001</v>
      </c>
      <c r="S123" t="s">
        <v>183</v>
      </c>
      <c r="T123">
        <v>23.363399999999999</v>
      </c>
    </row>
    <row r="124" spans="1:20">
      <c r="A124" t="s">
        <v>184</v>
      </c>
      <c r="B124">
        <v>23.360399999999998</v>
      </c>
      <c r="D124" t="s">
        <v>184</v>
      </c>
      <c r="E124">
        <v>23.1328</v>
      </c>
      <c r="G124" t="s">
        <v>184</v>
      </c>
      <c r="H124">
        <v>23.2971</v>
      </c>
      <c r="J124" t="s">
        <v>184</v>
      </c>
      <c r="K124">
        <v>23.372599999999998</v>
      </c>
      <c r="M124" t="s">
        <v>184</v>
      </c>
      <c r="N124">
        <v>23.516300000000001</v>
      </c>
      <c r="P124" t="s">
        <v>184</v>
      </c>
      <c r="Q124">
        <v>23.441400000000002</v>
      </c>
      <c r="S124" t="s">
        <v>184</v>
      </c>
      <c r="T124">
        <v>23.3949</v>
      </c>
    </row>
    <row r="125" spans="1:20">
      <c r="A125" t="s">
        <v>185</v>
      </c>
      <c r="B125">
        <v>23.430299999999999</v>
      </c>
      <c r="D125" t="s">
        <v>185</v>
      </c>
      <c r="E125">
        <v>23.2105</v>
      </c>
      <c r="G125" t="s">
        <v>185</v>
      </c>
      <c r="H125">
        <v>23.3035</v>
      </c>
      <c r="J125" t="s">
        <v>185</v>
      </c>
      <c r="K125">
        <v>23.385200000000001</v>
      </c>
      <c r="M125" t="s">
        <v>185</v>
      </c>
      <c r="N125">
        <v>23.528700000000001</v>
      </c>
      <c r="P125" t="s">
        <v>185</v>
      </c>
      <c r="Q125">
        <v>23.458600000000001</v>
      </c>
      <c r="S125" t="s">
        <v>185</v>
      </c>
      <c r="T125">
        <v>23.4</v>
      </c>
    </row>
    <row r="126" spans="1:20">
      <c r="A126" t="s">
        <v>186</v>
      </c>
      <c r="B126">
        <v>23.4863</v>
      </c>
      <c r="D126" t="s">
        <v>186</v>
      </c>
      <c r="E126">
        <v>23.3093</v>
      </c>
      <c r="G126" t="s">
        <v>186</v>
      </c>
      <c r="H126">
        <v>23.303699999999999</v>
      </c>
      <c r="J126" t="s">
        <v>186</v>
      </c>
      <c r="K126">
        <v>23.4147</v>
      </c>
      <c r="M126" t="s">
        <v>186</v>
      </c>
      <c r="N126">
        <v>23.538799999999998</v>
      </c>
      <c r="P126" t="s">
        <v>186</v>
      </c>
      <c r="Q126">
        <v>23.4664</v>
      </c>
      <c r="S126" t="s">
        <v>186</v>
      </c>
      <c r="T126">
        <v>23.403199999999998</v>
      </c>
    </row>
    <row r="127" spans="1:20">
      <c r="A127" t="s">
        <v>187</v>
      </c>
      <c r="B127">
        <v>23.519300000000001</v>
      </c>
      <c r="D127" t="s">
        <v>187</v>
      </c>
      <c r="E127">
        <v>23.303999999999998</v>
      </c>
      <c r="G127" t="s">
        <v>187</v>
      </c>
      <c r="H127">
        <v>23.3552</v>
      </c>
      <c r="J127" t="s">
        <v>187</v>
      </c>
      <c r="K127">
        <v>23.4069</v>
      </c>
      <c r="M127" t="s">
        <v>187</v>
      </c>
      <c r="N127">
        <v>23.544899999999998</v>
      </c>
      <c r="P127" t="s">
        <v>187</v>
      </c>
      <c r="Q127">
        <v>23.494499999999999</v>
      </c>
      <c r="S127" t="s">
        <v>187</v>
      </c>
      <c r="T127">
        <v>23.4267</v>
      </c>
    </row>
    <row r="128" spans="1:20">
      <c r="A128" t="s">
        <v>188</v>
      </c>
      <c r="B128">
        <v>13.330500000000001</v>
      </c>
      <c r="D128" t="s">
        <v>188</v>
      </c>
      <c r="E128">
        <v>13.1876</v>
      </c>
      <c r="G128" t="s">
        <v>188</v>
      </c>
      <c r="H128">
        <v>13.452400000000001</v>
      </c>
      <c r="J128" t="s">
        <v>188</v>
      </c>
      <c r="K128">
        <v>13.3759</v>
      </c>
      <c r="M128" t="s">
        <v>188</v>
      </c>
      <c r="N128">
        <v>13.5838</v>
      </c>
      <c r="P128" t="s">
        <v>188</v>
      </c>
      <c r="Q128">
        <v>13.278600000000001</v>
      </c>
      <c r="S128" t="s">
        <v>188</v>
      </c>
      <c r="T128">
        <v>13.4328</v>
      </c>
    </row>
    <row r="129" spans="1:20">
      <c r="A129" t="s">
        <v>189</v>
      </c>
      <c r="B129">
        <v>13.316599999999999</v>
      </c>
      <c r="D129" t="s">
        <v>189</v>
      </c>
      <c r="E129">
        <v>13.156599999999999</v>
      </c>
      <c r="G129" t="s">
        <v>189</v>
      </c>
      <c r="H129">
        <v>13.393599999999999</v>
      </c>
      <c r="J129" t="s">
        <v>189</v>
      </c>
      <c r="K129">
        <v>13.345599999999999</v>
      </c>
      <c r="M129" t="s">
        <v>189</v>
      </c>
      <c r="N129">
        <v>13.5427</v>
      </c>
      <c r="P129" t="s">
        <v>189</v>
      </c>
      <c r="Q129">
        <v>13.254200000000001</v>
      </c>
      <c r="S129" t="s">
        <v>189</v>
      </c>
      <c r="T129">
        <v>13.394</v>
      </c>
    </row>
    <row r="130" spans="1:20">
      <c r="A130" t="s">
        <v>190</v>
      </c>
      <c r="B130">
        <v>13.273099999999999</v>
      </c>
      <c r="D130" t="s">
        <v>190</v>
      </c>
      <c r="E130">
        <v>13.123799999999999</v>
      </c>
      <c r="G130" t="s">
        <v>190</v>
      </c>
      <c r="H130">
        <v>13.395</v>
      </c>
      <c r="J130" t="s">
        <v>190</v>
      </c>
      <c r="K130">
        <v>13.2943</v>
      </c>
      <c r="M130" t="s">
        <v>190</v>
      </c>
      <c r="N130">
        <v>13.5303</v>
      </c>
      <c r="P130" t="s">
        <v>190</v>
      </c>
      <c r="Q130">
        <v>13.230700000000001</v>
      </c>
      <c r="S130" t="s">
        <v>190</v>
      </c>
      <c r="T130">
        <v>13.3712</v>
      </c>
    </row>
    <row r="131" spans="1:20">
      <c r="A131" t="s">
        <v>191</v>
      </c>
      <c r="B131">
        <v>13.2804</v>
      </c>
      <c r="D131" t="s">
        <v>191</v>
      </c>
      <c r="E131">
        <v>13.1746</v>
      </c>
      <c r="G131" t="s">
        <v>191</v>
      </c>
      <c r="H131">
        <v>13.324</v>
      </c>
      <c r="J131" t="s">
        <v>191</v>
      </c>
      <c r="K131">
        <v>13.2622</v>
      </c>
      <c r="M131" t="s">
        <v>191</v>
      </c>
      <c r="N131">
        <v>13.491199999999999</v>
      </c>
      <c r="P131" t="s">
        <v>191</v>
      </c>
      <c r="Q131">
        <v>13.1951</v>
      </c>
      <c r="S131" t="s">
        <v>191</v>
      </c>
      <c r="T131">
        <v>13.3339</v>
      </c>
    </row>
    <row r="132" spans="1:20">
      <c r="A132" t="s">
        <v>192</v>
      </c>
      <c r="B132">
        <v>13.242100000000001</v>
      </c>
      <c r="D132" t="s">
        <v>192</v>
      </c>
      <c r="E132">
        <v>13.159800000000001</v>
      </c>
      <c r="G132" t="s">
        <v>192</v>
      </c>
      <c r="H132">
        <v>13.337999999999999</v>
      </c>
      <c r="J132" t="s">
        <v>192</v>
      </c>
      <c r="K132">
        <v>13.2341</v>
      </c>
      <c r="M132" t="s">
        <v>192</v>
      </c>
      <c r="N132">
        <v>13.4678</v>
      </c>
      <c r="P132" t="s">
        <v>192</v>
      </c>
      <c r="Q132">
        <v>13.148400000000001</v>
      </c>
      <c r="S132" t="s">
        <v>192</v>
      </c>
      <c r="T132">
        <v>13.314500000000001</v>
      </c>
    </row>
    <row r="133" spans="1:20">
      <c r="A133" t="s">
        <v>193</v>
      </c>
      <c r="B133">
        <v>13.2219</v>
      </c>
      <c r="D133" t="s">
        <v>193</v>
      </c>
      <c r="E133">
        <v>13.105600000000001</v>
      </c>
      <c r="G133" t="s">
        <v>193</v>
      </c>
      <c r="H133">
        <v>13.271599999999999</v>
      </c>
      <c r="J133" t="s">
        <v>193</v>
      </c>
      <c r="K133">
        <v>13.2302</v>
      </c>
      <c r="M133" t="s">
        <v>193</v>
      </c>
      <c r="N133">
        <v>13.4338</v>
      </c>
      <c r="P133" t="s">
        <v>193</v>
      </c>
      <c r="Q133">
        <v>13.128</v>
      </c>
      <c r="S133" t="s">
        <v>193</v>
      </c>
      <c r="T133">
        <v>13.257999999999999</v>
      </c>
    </row>
    <row r="134" spans="1:20">
      <c r="A134" t="s">
        <v>194</v>
      </c>
      <c r="B134">
        <v>13.2012</v>
      </c>
      <c r="D134" t="s">
        <v>194</v>
      </c>
      <c r="E134">
        <v>13.058</v>
      </c>
      <c r="G134" t="s">
        <v>194</v>
      </c>
      <c r="H134">
        <v>13.240600000000001</v>
      </c>
      <c r="J134" t="s">
        <v>194</v>
      </c>
      <c r="K134">
        <v>13.183400000000001</v>
      </c>
      <c r="M134" t="s">
        <v>194</v>
      </c>
      <c r="N134">
        <v>13.4261</v>
      </c>
      <c r="P134" t="s">
        <v>194</v>
      </c>
      <c r="Q134">
        <v>13.0929</v>
      </c>
      <c r="S134" t="s">
        <v>194</v>
      </c>
      <c r="T134">
        <v>13.2623</v>
      </c>
    </row>
    <row r="135" spans="1:20">
      <c r="A135" t="s">
        <v>195</v>
      </c>
      <c r="B135">
        <v>13.1523</v>
      </c>
      <c r="D135" t="s">
        <v>195</v>
      </c>
      <c r="E135">
        <v>13.0535</v>
      </c>
      <c r="G135" t="s">
        <v>195</v>
      </c>
      <c r="H135">
        <v>13.2379</v>
      </c>
      <c r="J135" t="s">
        <v>195</v>
      </c>
      <c r="K135">
        <v>13.161099999999999</v>
      </c>
      <c r="M135" t="s">
        <v>195</v>
      </c>
      <c r="N135">
        <v>13.382899999999999</v>
      </c>
      <c r="P135" t="s">
        <v>195</v>
      </c>
      <c r="Q135">
        <v>13.081</v>
      </c>
      <c r="S135" t="s">
        <v>195</v>
      </c>
      <c r="T135">
        <v>13.230700000000001</v>
      </c>
    </row>
    <row r="136" spans="1:20">
      <c r="A136" t="s">
        <v>196</v>
      </c>
      <c r="B136">
        <v>13.113300000000001</v>
      </c>
      <c r="D136" t="s">
        <v>196</v>
      </c>
      <c r="E136">
        <v>12.989699999999999</v>
      </c>
      <c r="G136" t="s">
        <v>196</v>
      </c>
      <c r="H136">
        <v>13.230399999999999</v>
      </c>
      <c r="J136" t="s">
        <v>196</v>
      </c>
      <c r="K136">
        <v>13.166700000000001</v>
      </c>
      <c r="M136" t="s">
        <v>196</v>
      </c>
      <c r="N136">
        <v>13.352399999999999</v>
      </c>
      <c r="P136" t="s">
        <v>196</v>
      </c>
      <c r="Q136">
        <v>13.0809</v>
      </c>
      <c r="S136" t="s">
        <v>196</v>
      </c>
      <c r="T136">
        <v>13.177</v>
      </c>
    </row>
    <row r="137" spans="1:20">
      <c r="A137" t="s">
        <v>197</v>
      </c>
      <c r="B137">
        <v>17.789100000000001</v>
      </c>
      <c r="D137" t="s">
        <v>197</v>
      </c>
      <c r="E137">
        <v>17.684899999999999</v>
      </c>
      <c r="G137" t="s">
        <v>197</v>
      </c>
      <c r="H137">
        <v>17.687999999999999</v>
      </c>
      <c r="J137" t="s">
        <v>197</v>
      </c>
      <c r="K137">
        <v>17.754000000000001</v>
      </c>
      <c r="M137" t="s">
        <v>197</v>
      </c>
      <c r="N137">
        <v>17.808700000000002</v>
      </c>
      <c r="P137" t="s">
        <v>197</v>
      </c>
      <c r="Q137">
        <v>17.8261</v>
      </c>
      <c r="S137" t="s">
        <v>197</v>
      </c>
      <c r="T137">
        <v>17.800799999999999</v>
      </c>
    </row>
    <row r="138" spans="1:20">
      <c r="A138" t="s">
        <v>198</v>
      </c>
      <c r="B138">
        <v>17.542200000000001</v>
      </c>
      <c r="D138" t="s">
        <v>198</v>
      </c>
      <c r="E138">
        <v>17.722799999999999</v>
      </c>
      <c r="G138" t="s">
        <v>198</v>
      </c>
      <c r="H138">
        <v>17.664100000000001</v>
      </c>
      <c r="J138" t="s">
        <v>198</v>
      </c>
      <c r="K138">
        <v>17.765799999999999</v>
      </c>
      <c r="M138" t="s">
        <v>198</v>
      </c>
      <c r="N138">
        <v>17.8078</v>
      </c>
      <c r="P138" t="s">
        <v>198</v>
      </c>
      <c r="Q138">
        <v>17.8232</v>
      </c>
      <c r="S138" t="s">
        <v>198</v>
      </c>
      <c r="T138">
        <v>17.811299999999999</v>
      </c>
    </row>
    <row r="139" spans="1:20">
      <c r="A139" t="s">
        <v>199</v>
      </c>
      <c r="B139">
        <v>17.518899999999999</v>
      </c>
      <c r="D139" t="s">
        <v>199</v>
      </c>
      <c r="E139">
        <v>17.741900000000001</v>
      </c>
      <c r="G139" t="s">
        <v>199</v>
      </c>
      <c r="H139">
        <v>17.670400000000001</v>
      </c>
      <c r="J139" t="s">
        <v>199</v>
      </c>
      <c r="K139">
        <v>17.7624</v>
      </c>
      <c r="M139" t="s">
        <v>199</v>
      </c>
      <c r="N139">
        <v>17.7941</v>
      </c>
      <c r="P139" t="s">
        <v>199</v>
      </c>
      <c r="Q139">
        <v>17.808299999999999</v>
      </c>
      <c r="S139" t="s">
        <v>199</v>
      </c>
      <c r="T139">
        <v>17.8034</v>
      </c>
    </row>
    <row r="140" spans="1:20">
      <c r="A140" t="s">
        <v>200</v>
      </c>
      <c r="B140">
        <v>17.593</v>
      </c>
      <c r="D140" t="s">
        <v>200</v>
      </c>
      <c r="E140">
        <v>17.783899999999999</v>
      </c>
      <c r="G140" t="s">
        <v>200</v>
      </c>
      <c r="H140">
        <v>17.666599999999999</v>
      </c>
      <c r="J140" t="s">
        <v>200</v>
      </c>
      <c r="K140">
        <v>17.741599999999998</v>
      </c>
      <c r="M140" t="s">
        <v>200</v>
      </c>
      <c r="N140">
        <v>17.794599999999999</v>
      </c>
      <c r="P140" t="s">
        <v>200</v>
      </c>
      <c r="Q140">
        <v>17.8047</v>
      </c>
      <c r="S140" t="s">
        <v>200</v>
      </c>
      <c r="T140">
        <v>17.8142</v>
      </c>
    </row>
    <row r="141" spans="1:20">
      <c r="A141" t="s">
        <v>201</v>
      </c>
      <c r="B141">
        <v>17.6585</v>
      </c>
      <c r="D141" t="s">
        <v>201</v>
      </c>
      <c r="E141">
        <v>17.586099999999998</v>
      </c>
      <c r="G141" t="s">
        <v>201</v>
      </c>
      <c r="H141">
        <v>17.663399999999999</v>
      </c>
      <c r="J141" t="s">
        <v>201</v>
      </c>
      <c r="K141">
        <v>17.749500000000001</v>
      </c>
      <c r="M141" t="s">
        <v>201</v>
      </c>
      <c r="N141">
        <v>17.7989</v>
      </c>
      <c r="P141" t="s">
        <v>201</v>
      </c>
      <c r="Q141">
        <v>17.783999999999999</v>
      </c>
      <c r="S141" t="s">
        <v>201</v>
      </c>
      <c r="T141">
        <v>17.7851</v>
      </c>
    </row>
    <row r="142" spans="1:20">
      <c r="A142" t="s">
        <v>202</v>
      </c>
      <c r="B142">
        <v>17.690000000000001</v>
      </c>
      <c r="D142" t="s">
        <v>202</v>
      </c>
      <c r="E142">
        <v>17.5746</v>
      </c>
      <c r="G142" t="s">
        <v>202</v>
      </c>
      <c r="H142">
        <v>17.646799999999999</v>
      </c>
      <c r="J142" t="s">
        <v>202</v>
      </c>
      <c r="K142">
        <v>17.741700000000002</v>
      </c>
      <c r="M142" t="s">
        <v>202</v>
      </c>
      <c r="N142">
        <v>17.790299999999998</v>
      </c>
      <c r="P142" t="s">
        <v>202</v>
      </c>
      <c r="Q142">
        <v>17.790700000000001</v>
      </c>
      <c r="S142" t="s">
        <v>202</v>
      </c>
      <c r="T142">
        <v>17.7852</v>
      </c>
    </row>
    <row r="143" spans="1:20">
      <c r="A143" t="s">
        <v>203</v>
      </c>
      <c r="B143">
        <v>17.706399999999999</v>
      </c>
      <c r="D143" t="s">
        <v>203</v>
      </c>
      <c r="E143">
        <v>17.605799999999999</v>
      </c>
      <c r="G143" t="s">
        <v>203</v>
      </c>
      <c r="H143">
        <v>17.641300000000001</v>
      </c>
      <c r="J143" t="s">
        <v>203</v>
      </c>
      <c r="K143">
        <v>17.7286</v>
      </c>
      <c r="M143" t="s">
        <v>203</v>
      </c>
      <c r="N143">
        <v>17.785699999999999</v>
      </c>
      <c r="P143" t="s">
        <v>203</v>
      </c>
      <c r="Q143">
        <v>17.792100000000001</v>
      </c>
      <c r="S143" t="s">
        <v>203</v>
      </c>
      <c r="T143">
        <v>17.780200000000001</v>
      </c>
    </row>
    <row r="144" spans="1:20">
      <c r="A144" t="s">
        <v>204</v>
      </c>
      <c r="B144">
        <v>17.7165</v>
      </c>
      <c r="D144" t="s">
        <v>204</v>
      </c>
      <c r="E144">
        <v>17.6462</v>
      </c>
      <c r="G144" t="s">
        <v>204</v>
      </c>
      <c r="H144">
        <v>17.629100000000001</v>
      </c>
      <c r="J144" t="s">
        <v>204</v>
      </c>
      <c r="K144">
        <v>17.738399999999999</v>
      </c>
      <c r="M144" t="s">
        <v>204</v>
      </c>
      <c r="N144">
        <v>17.7788</v>
      </c>
      <c r="P144" t="s">
        <v>204</v>
      </c>
      <c r="Q144">
        <v>17.777200000000001</v>
      </c>
      <c r="S144" t="s">
        <v>204</v>
      </c>
      <c r="T144">
        <v>17.7776</v>
      </c>
    </row>
    <row r="145" spans="1:20">
      <c r="A145" t="s">
        <v>205</v>
      </c>
      <c r="B145">
        <v>17.709099999999999</v>
      </c>
      <c r="D145" t="s">
        <v>205</v>
      </c>
      <c r="E145">
        <v>17.6404</v>
      </c>
      <c r="G145" t="s">
        <v>205</v>
      </c>
      <c r="H145">
        <v>17.660499999999999</v>
      </c>
      <c r="J145" t="s">
        <v>205</v>
      </c>
      <c r="K145">
        <v>17.729700000000001</v>
      </c>
      <c r="M145" t="s">
        <v>205</v>
      </c>
      <c r="N145">
        <v>17.775600000000001</v>
      </c>
      <c r="P145" t="s">
        <v>205</v>
      </c>
      <c r="Q145">
        <v>17.798200000000001</v>
      </c>
      <c r="S145" t="s">
        <v>205</v>
      </c>
      <c r="T145">
        <v>17.768000000000001</v>
      </c>
    </row>
    <row r="146" spans="1:20">
      <c r="A146" t="s">
        <v>206</v>
      </c>
      <c r="B146">
        <v>45.161299999999997</v>
      </c>
      <c r="D146" t="s">
        <v>206</v>
      </c>
      <c r="E146">
        <v>44.593699999999998</v>
      </c>
      <c r="G146" t="s">
        <v>206</v>
      </c>
      <c r="H146">
        <v>44.388500000000001</v>
      </c>
      <c r="J146" t="s">
        <v>206</v>
      </c>
      <c r="K146">
        <v>44.704999999999998</v>
      </c>
      <c r="M146" t="s">
        <v>206</v>
      </c>
      <c r="N146">
        <v>44.183100000000003</v>
      </c>
      <c r="P146" t="s">
        <v>206</v>
      </c>
      <c r="Q146">
        <v>45.153199999999998</v>
      </c>
      <c r="S146" t="s">
        <v>206</v>
      </c>
      <c r="T146">
        <v>44.704900000000002</v>
      </c>
    </row>
    <row r="147" spans="1:20">
      <c r="A147" t="s">
        <v>207</v>
      </c>
      <c r="B147">
        <v>44.595500000000001</v>
      </c>
      <c r="D147" t="s">
        <v>207</v>
      </c>
      <c r="E147">
        <v>44.62</v>
      </c>
      <c r="G147" t="s">
        <v>207</v>
      </c>
      <c r="H147">
        <v>44.418500000000002</v>
      </c>
      <c r="J147" t="s">
        <v>207</v>
      </c>
      <c r="K147">
        <v>44.790199999999999</v>
      </c>
      <c r="M147" t="s">
        <v>207</v>
      </c>
      <c r="N147">
        <v>44.162399999999998</v>
      </c>
      <c r="P147" t="s">
        <v>207</v>
      </c>
      <c r="Q147">
        <v>45.148400000000002</v>
      </c>
      <c r="S147" t="s">
        <v>207</v>
      </c>
      <c r="T147">
        <v>44.747500000000002</v>
      </c>
    </row>
    <row r="148" spans="1:20">
      <c r="A148" t="s">
        <v>208</v>
      </c>
      <c r="B148">
        <v>44.591299999999997</v>
      </c>
      <c r="D148" t="s">
        <v>208</v>
      </c>
      <c r="E148">
        <v>44.756100000000004</v>
      </c>
      <c r="G148" t="s">
        <v>208</v>
      </c>
      <c r="H148">
        <v>44.492800000000003</v>
      </c>
      <c r="J148" t="s">
        <v>208</v>
      </c>
      <c r="K148">
        <v>44.690199999999997</v>
      </c>
      <c r="M148" t="s">
        <v>208</v>
      </c>
      <c r="N148">
        <v>44.317100000000003</v>
      </c>
      <c r="P148" t="s">
        <v>208</v>
      </c>
      <c r="Q148">
        <v>45.264200000000002</v>
      </c>
      <c r="S148" t="s">
        <v>208</v>
      </c>
      <c r="T148">
        <v>44.781199999999998</v>
      </c>
    </row>
    <row r="149" spans="1:20">
      <c r="A149" t="s">
        <v>209</v>
      </c>
      <c r="B149">
        <v>44.714599999999997</v>
      </c>
      <c r="D149" t="s">
        <v>209</v>
      </c>
      <c r="E149">
        <v>44.872</v>
      </c>
      <c r="G149" t="s">
        <v>209</v>
      </c>
      <c r="H149">
        <v>44.464700000000001</v>
      </c>
      <c r="J149" t="s">
        <v>209</v>
      </c>
      <c r="K149">
        <v>44.763399999999997</v>
      </c>
      <c r="M149" t="s">
        <v>209</v>
      </c>
      <c r="N149">
        <v>44.335799999999999</v>
      </c>
      <c r="P149" t="s">
        <v>209</v>
      </c>
      <c r="Q149">
        <v>45.198799999999999</v>
      </c>
      <c r="S149" t="s">
        <v>209</v>
      </c>
      <c r="T149">
        <v>44.8063</v>
      </c>
    </row>
    <row r="150" spans="1:20">
      <c r="A150" t="s">
        <v>210</v>
      </c>
      <c r="B150">
        <v>44.9437</v>
      </c>
      <c r="D150" t="s">
        <v>210</v>
      </c>
      <c r="E150">
        <v>44.306199999999997</v>
      </c>
      <c r="G150" t="s">
        <v>210</v>
      </c>
      <c r="H150">
        <v>44.525599999999997</v>
      </c>
      <c r="J150" t="s">
        <v>210</v>
      </c>
      <c r="K150">
        <v>44.768500000000003</v>
      </c>
      <c r="M150" t="s">
        <v>210</v>
      </c>
      <c r="N150">
        <v>44.386200000000002</v>
      </c>
      <c r="P150" t="s">
        <v>210</v>
      </c>
      <c r="Q150">
        <v>45.321800000000003</v>
      </c>
      <c r="S150" t="s">
        <v>210</v>
      </c>
      <c r="T150">
        <v>44.817700000000002</v>
      </c>
    </row>
    <row r="151" spans="1:20">
      <c r="A151" t="s">
        <v>211</v>
      </c>
      <c r="B151">
        <v>45.023099999999999</v>
      </c>
      <c r="D151" t="s">
        <v>211</v>
      </c>
      <c r="E151">
        <v>44.3979</v>
      </c>
      <c r="G151" t="s">
        <v>211</v>
      </c>
      <c r="H151">
        <v>44.546900000000001</v>
      </c>
      <c r="J151" t="s">
        <v>211</v>
      </c>
      <c r="K151">
        <v>44.825899999999997</v>
      </c>
      <c r="M151" t="s">
        <v>211</v>
      </c>
      <c r="N151">
        <v>44.356900000000003</v>
      </c>
      <c r="P151" t="s">
        <v>211</v>
      </c>
      <c r="Q151">
        <v>45.295400000000001</v>
      </c>
      <c r="S151" t="s">
        <v>211</v>
      </c>
      <c r="T151">
        <v>44.849899999999998</v>
      </c>
    </row>
    <row r="152" spans="1:20">
      <c r="A152" t="s">
        <v>212</v>
      </c>
      <c r="B152">
        <v>45.161000000000001</v>
      </c>
      <c r="D152" t="s">
        <v>212</v>
      </c>
      <c r="E152">
        <v>44.443199999999997</v>
      </c>
      <c r="G152" t="s">
        <v>212</v>
      </c>
      <c r="H152">
        <v>44.491199999999999</v>
      </c>
      <c r="J152" t="s">
        <v>212</v>
      </c>
      <c r="K152">
        <v>44.908900000000003</v>
      </c>
      <c r="M152" t="s">
        <v>212</v>
      </c>
      <c r="N152">
        <v>44.4026</v>
      </c>
      <c r="P152" t="s">
        <v>212</v>
      </c>
      <c r="Q152">
        <v>45.268300000000004</v>
      </c>
      <c r="S152" t="s">
        <v>212</v>
      </c>
      <c r="T152">
        <v>44.889699999999998</v>
      </c>
    </row>
    <row r="153" spans="1:20">
      <c r="A153" t="s">
        <v>213</v>
      </c>
      <c r="B153">
        <v>45.225999999999999</v>
      </c>
      <c r="D153" t="s">
        <v>213</v>
      </c>
      <c r="E153">
        <v>44.643599999999999</v>
      </c>
      <c r="G153" t="s">
        <v>213</v>
      </c>
      <c r="H153">
        <v>44.534199999999998</v>
      </c>
      <c r="J153" t="s">
        <v>213</v>
      </c>
      <c r="K153">
        <v>44.898099999999999</v>
      </c>
      <c r="M153" t="s">
        <v>213</v>
      </c>
      <c r="N153">
        <v>44.383899999999997</v>
      </c>
      <c r="P153" t="s">
        <v>213</v>
      </c>
      <c r="Q153">
        <v>45.363399999999999</v>
      </c>
      <c r="S153" t="s">
        <v>213</v>
      </c>
      <c r="T153">
        <v>44.878300000000003</v>
      </c>
    </row>
    <row r="154" spans="1:20">
      <c r="A154" t="s">
        <v>214</v>
      </c>
      <c r="B154">
        <v>45.276000000000003</v>
      </c>
      <c r="D154" t="s">
        <v>214</v>
      </c>
      <c r="E154">
        <v>44.636499999999998</v>
      </c>
      <c r="G154" t="s">
        <v>214</v>
      </c>
      <c r="H154">
        <v>44.547499999999999</v>
      </c>
      <c r="J154" t="s">
        <v>214</v>
      </c>
      <c r="K154">
        <v>44.876899999999999</v>
      </c>
      <c r="M154" t="s">
        <v>214</v>
      </c>
      <c r="N154">
        <v>44.346200000000003</v>
      </c>
      <c r="P154" t="s">
        <v>214</v>
      </c>
      <c r="Q154">
        <v>45.353400000000001</v>
      </c>
      <c r="S154" t="s">
        <v>214</v>
      </c>
      <c r="T154">
        <v>44.9116</v>
      </c>
    </row>
    <row r="155" spans="1:20">
      <c r="A155" t="s">
        <v>215</v>
      </c>
      <c r="B155">
        <v>35.499299999999998</v>
      </c>
      <c r="D155" t="s">
        <v>215</v>
      </c>
      <c r="E155">
        <v>34.920299999999997</v>
      </c>
      <c r="G155" t="s">
        <v>215</v>
      </c>
      <c r="H155">
        <v>35.014499999999998</v>
      </c>
      <c r="J155" t="s">
        <v>215</v>
      </c>
      <c r="K155">
        <v>34.848599999999998</v>
      </c>
      <c r="M155" t="s">
        <v>215</v>
      </c>
      <c r="N155">
        <v>35.059699999999999</v>
      </c>
      <c r="P155" t="s">
        <v>215</v>
      </c>
      <c r="Q155">
        <v>35.030900000000003</v>
      </c>
      <c r="S155" t="s">
        <v>215</v>
      </c>
      <c r="T155">
        <v>34.953699999999998</v>
      </c>
    </row>
    <row r="156" spans="1:20">
      <c r="A156" t="s">
        <v>216</v>
      </c>
      <c r="B156">
        <v>34.955500000000001</v>
      </c>
      <c r="D156" t="s">
        <v>216</v>
      </c>
      <c r="E156">
        <v>35.133000000000003</v>
      </c>
      <c r="G156" t="s">
        <v>216</v>
      </c>
      <c r="H156">
        <v>35.015599999999999</v>
      </c>
      <c r="J156" t="s">
        <v>216</v>
      </c>
      <c r="K156">
        <v>34.927300000000002</v>
      </c>
      <c r="M156" t="s">
        <v>216</v>
      </c>
      <c r="N156">
        <v>35.081600000000002</v>
      </c>
      <c r="P156" t="s">
        <v>216</v>
      </c>
      <c r="Q156">
        <v>35.001399999999997</v>
      </c>
      <c r="S156" t="s">
        <v>216</v>
      </c>
      <c r="T156">
        <v>35.020299999999999</v>
      </c>
    </row>
    <row r="157" spans="1:20">
      <c r="A157" t="s">
        <v>217</v>
      </c>
      <c r="B157">
        <v>34.746699999999997</v>
      </c>
      <c r="D157" t="s">
        <v>217</v>
      </c>
      <c r="E157">
        <v>35.247100000000003</v>
      </c>
      <c r="G157" t="s">
        <v>217</v>
      </c>
      <c r="H157">
        <v>35.046999999999997</v>
      </c>
      <c r="J157" t="s">
        <v>217</v>
      </c>
      <c r="K157">
        <v>34.905900000000003</v>
      </c>
      <c r="M157" t="s">
        <v>217</v>
      </c>
      <c r="N157">
        <v>35.135300000000001</v>
      </c>
      <c r="P157" t="s">
        <v>217</v>
      </c>
      <c r="Q157">
        <v>35.060200000000002</v>
      </c>
      <c r="S157" t="s">
        <v>217</v>
      </c>
      <c r="T157">
        <v>35.034300000000002</v>
      </c>
    </row>
    <row r="158" spans="1:20">
      <c r="A158" t="s">
        <v>218</v>
      </c>
      <c r="B158">
        <v>34.740400000000001</v>
      </c>
      <c r="D158" t="s">
        <v>218</v>
      </c>
      <c r="E158">
        <v>35.207999999999998</v>
      </c>
      <c r="G158" t="s">
        <v>218</v>
      </c>
      <c r="H158">
        <v>35.080199999999998</v>
      </c>
      <c r="J158" t="s">
        <v>218</v>
      </c>
      <c r="K158">
        <v>34.948999999999998</v>
      </c>
      <c r="M158" t="s">
        <v>218</v>
      </c>
      <c r="N158">
        <v>35.191499999999998</v>
      </c>
      <c r="P158" t="s">
        <v>218</v>
      </c>
      <c r="Q158">
        <v>35.061799999999998</v>
      </c>
      <c r="S158" t="s">
        <v>218</v>
      </c>
      <c r="T158">
        <v>35.126399999999997</v>
      </c>
    </row>
    <row r="159" spans="1:20">
      <c r="A159" t="s">
        <v>219</v>
      </c>
      <c r="B159">
        <v>34.875500000000002</v>
      </c>
      <c r="D159" t="s">
        <v>219</v>
      </c>
      <c r="E159">
        <v>34.700299999999999</v>
      </c>
      <c r="G159" t="s">
        <v>219</v>
      </c>
      <c r="H159">
        <v>35.076300000000003</v>
      </c>
      <c r="J159" t="s">
        <v>219</v>
      </c>
      <c r="K159">
        <v>34.941400000000002</v>
      </c>
      <c r="M159" t="s">
        <v>219</v>
      </c>
      <c r="N159">
        <v>35.251100000000001</v>
      </c>
      <c r="P159" t="s">
        <v>219</v>
      </c>
      <c r="Q159">
        <v>35.095500000000001</v>
      </c>
      <c r="S159" t="s">
        <v>219</v>
      </c>
      <c r="T159">
        <v>35.096699999999998</v>
      </c>
    </row>
    <row r="160" spans="1:20">
      <c r="A160" t="s">
        <v>220</v>
      </c>
      <c r="B160">
        <v>34.996699999999997</v>
      </c>
      <c r="D160" t="s">
        <v>220</v>
      </c>
      <c r="E160">
        <v>34.8566</v>
      </c>
      <c r="G160" t="s">
        <v>220</v>
      </c>
      <c r="H160">
        <v>35.131300000000003</v>
      </c>
      <c r="J160" t="s">
        <v>220</v>
      </c>
      <c r="K160">
        <v>34.9788</v>
      </c>
      <c r="M160" t="s">
        <v>220</v>
      </c>
      <c r="N160">
        <v>35.243099999999998</v>
      </c>
      <c r="P160" t="s">
        <v>220</v>
      </c>
      <c r="Q160">
        <v>35.140900000000002</v>
      </c>
      <c r="S160" t="s">
        <v>220</v>
      </c>
      <c r="T160">
        <v>35.141300000000001</v>
      </c>
    </row>
    <row r="161" spans="1:20">
      <c r="A161" t="s">
        <v>221</v>
      </c>
      <c r="B161">
        <v>35.108699999999999</v>
      </c>
      <c r="D161" t="s">
        <v>221</v>
      </c>
      <c r="E161">
        <v>34.9893</v>
      </c>
      <c r="G161" t="s">
        <v>221</v>
      </c>
      <c r="H161">
        <v>35.097799999999999</v>
      </c>
      <c r="J161" t="s">
        <v>221</v>
      </c>
      <c r="K161">
        <v>35.080500000000001</v>
      </c>
      <c r="M161" t="s">
        <v>221</v>
      </c>
      <c r="N161">
        <v>35.261000000000003</v>
      </c>
      <c r="P161" t="s">
        <v>221</v>
      </c>
      <c r="Q161">
        <v>35.154699999999998</v>
      </c>
      <c r="S161" t="s">
        <v>221</v>
      </c>
      <c r="T161">
        <v>35.112099999999998</v>
      </c>
    </row>
    <row r="162" spans="1:20">
      <c r="A162" t="s">
        <v>222</v>
      </c>
      <c r="B162">
        <v>35.289700000000003</v>
      </c>
      <c r="D162" t="s">
        <v>222</v>
      </c>
      <c r="E162">
        <v>35.092199999999998</v>
      </c>
      <c r="G162" t="s">
        <v>222</v>
      </c>
      <c r="H162">
        <v>35.118400000000001</v>
      </c>
      <c r="J162" t="s">
        <v>222</v>
      </c>
      <c r="K162">
        <v>35.077500000000001</v>
      </c>
      <c r="M162" t="s">
        <v>222</v>
      </c>
      <c r="N162">
        <v>35.326099999999997</v>
      </c>
      <c r="P162" t="s">
        <v>222</v>
      </c>
      <c r="Q162">
        <v>35.130099999999999</v>
      </c>
      <c r="S162" t="s">
        <v>222</v>
      </c>
      <c r="T162">
        <v>35.167700000000004</v>
      </c>
    </row>
    <row r="163" spans="1:20">
      <c r="A163" t="s">
        <v>223</v>
      </c>
      <c r="B163">
        <v>35.490099999999998</v>
      </c>
      <c r="D163" t="s">
        <v>223</v>
      </c>
      <c r="E163">
        <v>34.875500000000002</v>
      </c>
      <c r="G163" t="s">
        <v>223</v>
      </c>
      <c r="H163">
        <v>35.168500000000002</v>
      </c>
      <c r="J163" t="s">
        <v>223</v>
      </c>
      <c r="K163">
        <v>35.037100000000002</v>
      </c>
      <c r="M163" t="s">
        <v>223</v>
      </c>
      <c r="N163">
        <v>35.225299999999997</v>
      </c>
      <c r="P163" t="s">
        <v>223</v>
      </c>
      <c r="Q163">
        <v>35.207599999999999</v>
      </c>
      <c r="S163" t="s">
        <v>223</v>
      </c>
      <c r="T163">
        <v>35.180500000000002</v>
      </c>
    </row>
    <row r="164" spans="1:20">
      <c r="A164" t="s">
        <v>224</v>
      </c>
      <c r="B164">
        <v>17.170000000000002</v>
      </c>
      <c r="D164" t="s">
        <v>224</v>
      </c>
      <c r="E164">
        <v>17.051200000000001</v>
      </c>
      <c r="G164" t="s">
        <v>224</v>
      </c>
      <c r="H164">
        <v>17.0791</v>
      </c>
      <c r="J164" t="s">
        <v>224</v>
      </c>
      <c r="K164">
        <v>17.187999999999999</v>
      </c>
      <c r="M164" t="s">
        <v>224</v>
      </c>
      <c r="N164">
        <v>17.268799999999999</v>
      </c>
      <c r="P164" t="s">
        <v>224</v>
      </c>
      <c r="Q164">
        <v>17.1799</v>
      </c>
      <c r="S164" t="s">
        <v>224</v>
      </c>
      <c r="T164">
        <v>17.182200000000002</v>
      </c>
    </row>
    <row r="165" spans="1:20">
      <c r="A165" t="s">
        <v>225</v>
      </c>
      <c r="B165">
        <v>16.956</v>
      </c>
      <c r="D165" t="s">
        <v>225</v>
      </c>
      <c r="E165">
        <v>17.065999999999999</v>
      </c>
      <c r="G165" t="s">
        <v>225</v>
      </c>
      <c r="H165">
        <v>17.0535</v>
      </c>
      <c r="J165" t="s">
        <v>225</v>
      </c>
      <c r="K165">
        <v>17.195399999999999</v>
      </c>
      <c r="M165" t="s">
        <v>225</v>
      </c>
      <c r="N165">
        <v>17.261800000000001</v>
      </c>
      <c r="P165" t="s">
        <v>225</v>
      </c>
      <c r="Q165">
        <v>17.185199999999998</v>
      </c>
      <c r="S165" t="s">
        <v>225</v>
      </c>
      <c r="T165">
        <v>17.185099999999998</v>
      </c>
    </row>
    <row r="166" spans="1:20">
      <c r="A166" t="s">
        <v>226</v>
      </c>
      <c r="B166">
        <v>16.930499999999999</v>
      </c>
      <c r="D166" t="s">
        <v>226</v>
      </c>
      <c r="E166">
        <v>17.075800000000001</v>
      </c>
      <c r="G166" t="s">
        <v>226</v>
      </c>
      <c r="H166">
        <v>17.071200000000001</v>
      </c>
      <c r="J166" t="s">
        <v>226</v>
      </c>
      <c r="K166">
        <v>17.1889</v>
      </c>
      <c r="M166" t="s">
        <v>226</v>
      </c>
      <c r="N166">
        <v>17.262699999999999</v>
      </c>
      <c r="P166" t="s">
        <v>226</v>
      </c>
      <c r="Q166">
        <v>17.1645</v>
      </c>
      <c r="S166" t="s">
        <v>226</v>
      </c>
      <c r="T166">
        <v>17.178100000000001</v>
      </c>
    </row>
    <row r="167" spans="1:20">
      <c r="A167" t="s">
        <v>227</v>
      </c>
      <c r="B167">
        <v>17.003900000000002</v>
      </c>
      <c r="D167" t="s">
        <v>227</v>
      </c>
      <c r="E167">
        <v>17.1204</v>
      </c>
      <c r="G167" t="s">
        <v>227</v>
      </c>
      <c r="H167">
        <v>17.0625</v>
      </c>
      <c r="J167" t="s">
        <v>227</v>
      </c>
      <c r="K167">
        <v>17.165900000000001</v>
      </c>
      <c r="M167" t="s">
        <v>227</v>
      </c>
      <c r="N167">
        <v>17.257400000000001</v>
      </c>
      <c r="P167" t="s">
        <v>227</v>
      </c>
      <c r="Q167">
        <v>17.1631</v>
      </c>
      <c r="S167" t="s">
        <v>227</v>
      </c>
      <c r="T167">
        <v>17.172999999999998</v>
      </c>
    </row>
    <row r="168" spans="1:20">
      <c r="A168" t="s">
        <v>228</v>
      </c>
      <c r="B168">
        <v>17.064900000000002</v>
      </c>
      <c r="D168" t="s">
        <v>228</v>
      </c>
      <c r="E168">
        <v>16.956099999999999</v>
      </c>
      <c r="G168" t="s">
        <v>228</v>
      </c>
      <c r="H168">
        <v>17.074400000000001</v>
      </c>
      <c r="J168" t="s">
        <v>228</v>
      </c>
      <c r="K168">
        <v>17.175799999999999</v>
      </c>
      <c r="M168" t="s">
        <v>228</v>
      </c>
      <c r="N168">
        <v>17.255400000000002</v>
      </c>
      <c r="P168" t="s">
        <v>228</v>
      </c>
      <c r="Q168">
        <v>17.152000000000001</v>
      </c>
      <c r="S168" t="s">
        <v>228</v>
      </c>
      <c r="T168">
        <v>17.159500000000001</v>
      </c>
    </row>
    <row r="169" spans="1:20">
      <c r="A169" t="s">
        <v>229</v>
      </c>
      <c r="B169">
        <v>17.0928</v>
      </c>
      <c r="D169" t="s">
        <v>229</v>
      </c>
      <c r="E169">
        <v>16.9529</v>
      </c>
      <c r="G169" t="s">
        <v>229</v>
      </c>
      <c r="H169">
        <v>17.0412</v>
      </c>
      <c r="J169" t="s">
        <v>229</v>
      </c>
      <c r="K169">
        <v>17.1783</v>
      </c>
      <c r="M169" t="s">
        <v>229</v>
      </c>
      <c r="N169">
        <v>17.252199999999998</v>
      </c>
      <c r="P169" t="s">
        <v>229</v>
      </c>
      <c r="Q169">
        <v>17.1526</v>
      </c>
      <c r="S169" t="s">
        <v>229</v>
      </c>
      <c r="T169">
        <v>17.155799999999999</v>
      </c>
    </row>
    <row r="170" spans="1:20">
      <c r="A170" t="s">
        <v>230</v>
      </c>
      <c r="B170">
        <v>17.122900000000001</v>
      </c>
      <c r="D170" t="s">
        <v>230</v>
      </c>
      <c r="E170">
        <v>16.974299999999999</v>
      </c>
      <c r="G170" t="s">
        <v>230</v>
      </c>
      <c r="H170">
        <v>17.043299999999999</v>
      </c>
      <c r="J170" t="s">
        <v>230</v>
      </c>
      <c r="K170">
        <v>17.151399999999999</v>
      </c>
      <c r="M170" t="s">
        <v>230</v>
      </c>
      <c r="N170">
        <v>17.252400000000002</v>
      </c>
      <c r="P170" t="s">
        <v>230</v>
      </c>
      <c r="Q170">
        <v>17.153500000000001</v>
      </c>
      <c r="S170" t="s">
        <v>230</v>
      </c>
      <c r="T170">
        <v>17.168500000000002</v>
      </c>
    </row>
    <row r="171" spans="1:20">
      <c r="A171" t="s">
        <v>231</v>
      </c>
      <c r="B171">
        <v>17.125900000000001</v>
      </c>
      <c r="D171" t="s">
        <v>231</v>
      </c>
      <c r="E171">
        <v>17.014700000000001</v>
      </c>
      <c r="G171" t="s">
        <v>231</v>
      </c>
      <c r="H171">
        <v>17.038900000000002</v>
      </c>
      <c r="J171" t="s">
        <v>231</v>
      </c>
      <c r="K171">
        <v>17.168900000000001</v>
      </c>
      <c r="M171" t="s">
        <v>231</v>
      </c>
      <c r="N171">
        <v>17.233699999999999</v>
      </c>
      <c r="P171" t="s">
        <v>231</v>
      </c>
      <c r="Q171">
        <v>17.1572</v>
      </c>
      <c r="S171" t="s">
        <v>231</v>
      </c>
      <c r="T171">
        <v>17.1511</v>
      </c>
    </row>
    <row r="172" spans="1:20">
      <c r="A172" t="s">
        <v>232</v>
      </c>
      <c r="B172">
        <v>17.105799999999999</v>
      </c>
      <c r="D172" t="s">
        <v>232</v>
      </c>
      <c r="E172">
        <v>17.019600000000001</v>
      </c>
      <c r="G172" t="s">
        <v>232</v>
      </c>
      <c r="H172">
        <v>17.0702</v>
      </c>
      <c r="J172" t="s">
        <v>232</v>
      </c>
      <c r="K172">
        <v>17.172999999999998</v>
      </c>
      <c r="M172" t="s">
        <v>232</v>
      </c>
      <c r="N172">
        <v>17.248899999999999</v>
      </c>
      <c r="P172" t="s">
        <v>232</v>
      </c>
      <c r="Q172">
        <v>17.172499999999999</v>
      </c>
      <c r="S172" t="s">
        <v>232</v>
      </c>
      <c r="T172">
        <v>17.145499999999998</v>
      </c>
    </row>
    <row r="173" spans="1:20">
      <c r="A173" t="s">
        <v>233</v>
      </c>
      <c r="B173">
        <v>19.560600000000001</v>
      </c>
      <c r="D173" t="s">
        <v>233</v>
      </c>
      <c r="E173">
        <v>19.384599999999999</v>
      </c>
      <c r="G173" t="s">
        <v>233</v>
      </c>
      <c r="H173">
        <v>19.597300000000001</v>
      </c>
      <c r="J173" t="s">
        <v>233</v>
      </c>
      <c r="K173">
        <v>19.354600000000001</v>
      </c>
      <c r="M173" t="s">
        <v>233</v>
      </c>
      <c r="N173">
        <v>19.6922</v>
      </c>
      <c r="P173" t="s">
        <v>233</v>
      </c>
      <c r="Q173">
        <v>19.3675</v>
      </c>
      <c r="S173" t="s">
        <v>233</v>
      </c>
      <c r="T173">
        <v>19.463899999999999</v>
      </c>
    </row>
    <row r="174" spans="1:20">
      <c r="A174" t="s">
        <v>234</v>
      </c>
      <c r="B174">
        <v>19.206900000000001</v>
      </c>
      <c r="D174" t="s">
        <v>234</v>
      </c>
      <c r="E174">
        <v>19.395800000000001</v>
      </c>
      <c r="G174" t="s">
        <v>234</v>
      </c>
      <c r="H174">
        <v>19.567799999999998</v>
      </c>
      <c r="J174" t="s">
        <v>234</v>
      </c>
      <c r="K174">
        <v>19.369599999999998</v>
      </c>
      <c r="M174" t="s">
        <v>234</v>
      </c>
      <c r="N174">
        <v>19.700399999999998</v>
      </c>
      <c r="P174" t="s">
        <v>234</v>
      </c>
      <c r="Q174">
        <v>19.351299999999998</v>
      </c>
      <c r="S174" t="s">
        <v>234</v>
      </c>
      <c r="T174">
        <v>19.475000000000001</v>
      </c>
    </row>
    <row r="175" spans="1:20">
      <c r="A175" t="s">
        <v>235</v>
      </c>
      <c r="B175">
        <v>19.222899999999999</v>
      </c>
      <c r="D175" t="s">
        <v>235</v>
      </c>
      <c r="E175">
        <v>19.466799999999999</v>
      </c>
      <c r="G175" t="s">
        <v>235</v>
      </c>
      <c r="H175">
        <v>19.587</v>
      </c>
      <c r="J175" t="s">
        <v>235</v>
      </c>
      <c r="K175">
        <v>19.368099999999998</v>
      </c>
      <c r="M175" t="s">
        <v>235</v>
      </c>
      <c r="N175">
        <v>19.7105</v>
      </c>
      <c r="P175" t="s">
        <v>235</v>
      </c>
      <c r="Q175">
        <v>19.364100000000001</v>
      </c>
      <c r="S175" t="s">
        <v>235</v>
      </c>
      <c r="T175">
        <v>19.470400000000001</v>
      </c>
    </row>
    <row r="176" spans="1:20">
      <c r="A176" t="s">
        <v>236</v>
      </c>
      <c r="B176">
        <v>19.311800000000002</v>
      </c>
      <c r="D176" t="s">
        <v>236</v>
      </c>
      <c r="E176">
        <v>19.541399999999999</v>
      </c>
      <c r="G176" t="s">
        <v>236</v>
      </c>
      <c r="H176">
        <v>19.573499999999999</v>
      </c>
      <c r="J176" t="s">
        <v>236</v>
      </c>
      <c r="K176">
        <v>19.3779</v>
      </c>
      <c r="M176" t="s">
        <v>236</v>
      </c>
      <c r="N176">
        <v>19.718599999999999</v>
      </c>
      <c r="P176" t="s">
        <v>236</v>
      </c>
      <c r="Q176">
        <v>19.3505</v>
      </c>
      <c r="S176" t="s">
        <v>236</v>
      </c>
      <c r="T176">
        <v>19.497599999999998</v>
      </c>
    </row>
    <row r="177" spans="1:20">
      <c r="A177" t="s">
        <v>237</v>
      </c>
      <c r="B177">
        <v>19.419499999999999</v>
      </c>
      <c r="D177" t="s">
        <v>237</v>
      </c>
      <c r="E177">
        <v>19.2042</v>
      </c>
      <c r="G177" t="s">
        <v>237</v>
      </c>
      <c r="H177">
        <v>19.5854</v>
      </c>
      <c r="J177" t="s">
        <v>237</v>
      </c>
      <c r="K177">
        <v>19.3584</v>
      </c>
      <c r="M177" t="s">
        <v>237</v>
      </c>
      <c r="N177">
        <v>19.720199999999998</v>
      </c>
      <c r="P177" t="s">
        <v>237</v>
      </c>
      <c r="Q177">
        <v>19.350300000000001</v>
      </c>
      <c r="S177" t="s">
        <v>237</v>
      </c>
      <c r="T177">
        <v>19.462499999999999</v>
      </c>
    </row>
    <row r="178" spans="1:20">
      <c r="A178" t="s">
        <v>238</v>
      </c>
      <c r="B178">
        <v>19.479700000000001</v>
      </c>
      <c r="D178" t="s">
        <v>238</v>
      </c>
      <c r="E178">
        <v>19.2075</v>
      </c>
      <c r="G178" t="s">
        <v>238</v>
      </c>
      <c r="H178">
        <v>19.578399999999998</v>
      </c>
      <c r="J178" t="s">
        <v>238</v>
      </c>
      <c r="K178">
        <v>19.370200000000001</v>
      </c>
      <c r="M178" t="s">
        <v>238</v>
      </c>
      <c r="N178">
        <v>19.711400000000001</v>
      </c>
      <c r="P178" t="s">
        <v>238</v>
      </c>
      <c r="Q178">
        <v>19.3474</v>
      </c>
      <c r="S178" t="s">
        <v>238</v>
      </c>
      <c r="T178">
        <v>19.481300000000001</v>
      </c>
    </row>
    <row r="179" spans="1:20">
      <c r="A179" t="s">
        <v>239</v>
      </c>
      <c r="B179">
        <v>19.522500000000001</v>
      </c>
      <c r="D179" t="s">
        <v>239</v>
      </c>
      <c r="E179">
        <v>19.238600000000002</v>
      </c>
      <c r="G179" t="s">
        <v>239</v>
      </c>
      <c r="H179">
        <v>19.5565</v>
      </c>
      <c r="J179" t="s">
        <v>239</v>
      </c>
      <c r="K179">
        <v>19.381900000000002</v>
      </c>
      <c r="M179" t="s">
        <v>239</v>
      </c>
      <c r="N179">
        <v>19.734100000000002</v>
      </c>
      <c r="P179" t="s">
        <v>239</v>
      </c>
      <c r="Q179">
        <v>19.358499999999999</v>
      </c>
      <c r="S179" t="s">
        <v>239</v>
      </c>
      <c r="T179">
        <v>19.4682</v>
      </c>
    </row>
    <row r="180" spans="1:20">
      <c r="A180" t="s">
        <v>240</v>
      </c>
      <c r="B180">
        <v>19.532599999999999</v>
      </c>
      <c r="D180" t="s">
        <v>240</v>
      </c>
      <c r="E180">
        <v>19.348500000000001</v>
      </c>
      <c r="G180" t="s">
        <v>240</v>
      </c>
      <c r="H180">
        <v>19.55</v>
      </c>
      <c r="J180" t="s">
        <v>240</v>
      </c>
      <c r="K180">
        <v>19.388999999999999</v>
      </c>
      <c r="M180" t="s">
        <v>240</v>
      </c>
      <c r="N180">
        <v>19.729099999999999</v>
      </c>
      <c r="P180" t="s">
        <v>240</v>
      </c>
      <c r="Q180">
        <v>19.370899999999999</v>
      </c>
      <c r="S180" t="s">
        <v>240</v>
      </c>
      <c r="T180">
        <v>19.471900000000002</v>
      </c>
    </row>
    <row r="181" spans="1:20">
      <c r="A181" t="s">
        <v>241</v>
      </c>
      <c r="B181">
        <v>19.539300000000001</v>
      </c>
      <c r="D181" t="s">
        <v>241</v>
      </c>
      <c r="E181">
        <v>19.346</v>
      </c>
      <c r="G181" t="s">
        <v>241</v>
      </c>
      <c r="H181">
        <v>19.579499999999999</v>
      </c>
      <c r="J181" t="s">
        <v>241</v>
      </c>
      <c r="K181">
        <v>19.354600000000001</v>
      </c>
      <c r="M181" t="s">
        <v>241</v>
      </c>
      <c r="N181">
        <v>19.716200000000001</v>
      </c>
      <c r="P181" t="s">
        <v>241</v>
      </c>
      <c r="Q181">
        <v>19.374300000000002</v>
      </c>
      <c r="S181" t="s">
        <v>241</v>
      </c>
      <c r="T181">
        <v>19.480599999999999</v>
      </c>
    </row>
    <row r="182" spans="1:20">
      <c r="A182" t="s">
        <v>242</v>
      </c>
      <c r="B182">
        <v>21.815200000000001</v>
      </c>
      <c r="D182" t="s">
        <v>242</v>
      </c>
      <c r="E182">
        <v>21.741700000000002</v>
      </c>
      <c r="G182" t="s">
        <v>242</v>
      </c>
      <c r="H182">
        <v>21.654800000000002</v>
      </c>
      <c r="J182" t="s">
        <v>242</v>
      </c>
      <c r="K182">
        <v>21.901199999999999</v>
      </c>
      <c r="M182" t="s">
        <v>242</v>
      </c>
      <c r="N182">
        <v>21.847100000000001</v>
      </c>
      <c r="P182" t="s">
        <v>242</v>
      </c>
      <c r="Q182">
        <v>21.972899999999999</v>
      </c>
      <c r="S182" t="s">
        <v>242</v>
      </c>
      <c r="T182">
        <v>21.8384</v>
      </c>
    </row>
    <row r="183" spans="1:20">
      <c r="A183" t="s">
        <v>243</v>
      </c>
      <c r="B183">
        <v>21.596599999999999</v>
      </c>
      <c r="D183" t="s">
        <v>243</v>
      </c>
      <c r="E183">
        <v>21.782</v>
      </c>
      <c r="G183" t="s">
        <v>243</v>
      </c>
      <c r="H183">
        <v>21.640799999999999</v>
      </c>
      <c r="J183" t="s">
        <v>243</v>
      </c>
      <c r="K183">
        <v>21.923400000000001</v>
      </c>
      <c r="M183" t="s">
        <v>243</v>
      </c>
      <c r="N183">
        <v>21.8248</v>
      </c>
      <c r="P183" t="s">
        <v>243</v>
      </c>
      <c r="Q183">
        <v>21.979600000000001</v>
      </c>
      <c r="S183" t="s">
        <v>243</v>
      </c>
      <c r="T183">
        <v>21.842600000000001</v>
      </c>
    </row>
    <row r="184" spans="1:20">
      <c r="A184" t="s">
        <v>244</v>
      </c>
      <c r="B184">
        <v>21.577999999999999</v>
      </c>
      <c r="D184" t="s">
        <v>244</v>
      </c>
      <c r="E184">
        <v>21.768799999999999</v>
      </c>
      <c r="G184" t="s">
        <v>244</v>
      </c>
      <c r="H184">
        <v>21.645099999999999</v>
      </c>
      <c r="J184" t="s">
        <v>244</v>
      </c>
      <c r="K184">
        <v>21.895099999999999</v>
      </c>
      <c r="M184" t="s">
        <v>244</v>
      </c>
      <c r="N184">
        <v>21.817499999999999</v>
      </c>
      <c r="P184" t="s">
        <v>244</v>
      </c>
      <c r="Q184">
        <v>21.950199999999999</v>
      </c>
      <c r="S184" t="s">
        <v>244</v>
      </c>
      <c r="T184">
        <v>21.842099999999999</v>
      </c>
    </row>
    <row r="185" spans="1:20">
      <c r="A185" t="s">
        <v>245</v>
      </c>
      <c r="B185">
        <v>21.684899999999999</v>
      </c>
      <c r="D185" t="s">
        <v>245</v>
      </c>
      <c r="E185">
        <v>21.824200000000001</v>
      </c>
      <c r="G185" t="s">
        <v>245</v>
      </c>
      <c r="H185">
        <v>21.645600000000002</v>
      </c>
      <c r="J185" t="s">
        <v>245</v>
      </c>
      <c r="K185">
        <v>21.861499999999999</v>
      </c>
      <c r="M185" t="s">
        <v>245</v>
      </c>
      <c r="N185">
        <v>21.817599999999999</v>
      </c>
      <c r="P185" t="s">
        <v>245</v>
      </c>
      <c r="Q185">
        <v>21.9513</v>
      </c>
      <c r="S185" t="s">
        <v>245</v>
      </c>
      <c r="T185">
        <v>21.8325</v>
      </c>
    </row>
    <row r="186" spans="1:20">
      <c r="A186" t="s">
        <v>246</v>
      </c>
      <c r="B186">
        <v>21.7591</v>
      </c>
      <c r="D186" t="s">
        <v>246</v>
      </c>
      <c r="E186">
        <v>21.676200000000001</v>
      </c>
      <c r="G186" t="s">
        <v>246</v>
      </c>
      <c r="H186">
        <v>21.6402</v>
      </c>
      <c r="J186" t="s">
        <v>246</v>
      </c>
      <c r="K186">
        <v>21.891500000000001</v>
      </c>
      <c r="M186" t="s">
        <v>246</v>
      </c>
      <c r="N186">
        <v>21.827100000000002</v>
      </c>
      <c r="P186" t="s">
        <v>246</v>
      </c>
      <c r="Q186">
        <v>21.938099999999999</v>
      </c>
      <c r="S186" t="s">
        <v>246</v>
      </c>
      <c r="T186">
        <v>21.8231</v>
      </c>
    </row>
    <row r="187" spans="1:20">
      <c r="A187" t="s">
        <v>247</v>
      </c>
      <c r="B187">
        <v>21.779</v>
      </c>
      <c r="D187" t="s">
        <v>247</v>
      </c>
      <c r="E187">
        <v>21.6357</v>
      </c>
      <c r="G187" t="s">
        <v>247</v>
      </c>
      <c r="H187">
        <v>21.613600000000002</v>
      </c>
      <c r="J187" t="s">
        <v>247</v>
      </c>
      <c r="K187">
        <v>21.877800000000001</v>
      </c>
      <c r="M187" t="s">
        <v>247</v>
      </c>
      <c r="N187">
        <v>21.814800000000002</v>
      </c>
      <c r="P187" t="s">
        <v>247</v>
      </c>
      <c r="Q187">
        <v>21.950800000000001</v>
      </c>
      <c r="S187" t="s">
        <v>247</v>
      </c>
      <c r="T187">
        <v>21.8064</v>
      </c>
    </row>
    <row r="188" spans="1:20">
      <c r="A188" t="s">
        <v>248</v>
      </c>
      <c r="B188">
        <v>21.781600000000001</v>
      </c>
      <c r="D188" t="s">
        <v>248</v>
      </c>
      <c r="E188">
        <v>21.6615</v>
      </c>
      <c r="G188" t="s">
        <v>248</v>
      </c>
      <c r="H188">
        <v>21.6099</v>
      </c>
      <c r="J188" t="s">
        <v>248</v>
      </c>
      <c r="K188">
        <v>21.85</v>
      </c>
      <c r="M188" t="s">
        <v>248</v>
      </c>
      <c r="N188">
        <v>21.7958</v>
      </c>
      <c r="P188" t="s">
        <v>248</v>
      </c>
      <c r="Q188">
        <v>21.933800000000002</v>
      </c>
      <c r="S188" t="s">
        <v>248</v>
      </c>
      <c r="T188">
        <v>21.813800000000001</v>
      </c>
    </row>
    <row r="189" spans="1:20">
      <c r="A189" t="s">
        <v>249</v>
      </c>
      <c r="B189">
        <v>21.7773</v>
      </c>
      <c r="D189" t="s">
        <v>249</v>
      </c>
      <c r="E189">
        <v>21.689800000000002</v>
      </c>
      <c r="G189" t="s">
        <v>249</v>
      </c>
      <c r="H189">
        <v>21.610299999999999</v>
      </c>
      <c r="J189" t="s">
        <v>249</v>
      </c>
      <c r="K189">
        <v>21.863199999999999</v>
      </c>
      <c r="M189" t="s">
        <v>249</v>
      </c>
      <c r="N189">
        <v>21.777999999999999</v>
      </c>
      <c r="P189" t="s">
        <v>249</v>
      </c>
      <c r="Q189">
        <v>21.910299999999999</v>
      </c>
      <c r="S189" t="s">
        <v>249</v>
      </c>
      <c r="T189">
        <v>21.79</v>
      </c>
    </row>
    <row r="190" spans="1:20">
      <c r="A190" t="s">
        <v>250</v>
      </c>
      <c r="B190">
        <v>21.735299999999999</v>
      </c>
      <c r="D190" t="s">
        <v>250</v>
      </c>
      <c r="E190">
        <v>21.724299999999999</v>
      </c>
      <c r="G190" t="s">
        <v>250</v>
      </c>
      <c r="H190">
        <v>21.639500000000002</v>
      </c>
      <c r="J190" t="s">
        <v>250</v>
      </c>
      <c r="K190">
        <v>21.8796</v>
      </c>
      <c r="M190" t="s">
        <v>250</v>
      </c>
      <c r="N190">
        <v>21.775700000000001</v>
      </c>
      <c r="P190" t="s">
        <v>250</v>
      </c>
      <c r="Q190">
        <v>21.939499999999999</v>
      </c>
      <c r="S190" t="s">
        <v>250</v>
      </c>
      <c r="T190">
        <v>21.78</v>
      </c>
    </row>
    <row r="191" spans="1:20">
      <c r="A191" t="s">
        <v>251</v>
      </c>
      <c r="B191">
        <v>22.017700000000001</v>
      </c>
      <c r="D191" t="s">
        <v>251</v>
      </c>
      <c r="E191">
        <v>21.898199999999999</v>
      </c>
      <c r="G191" t="s">
        <v>251</v>
      </c>
      <c r="H191">
        <v>22.0441</v>
      </c>
      <c r="J191" t="s">
        <v>251</v>
      </c>
      <c r="K191">
        <v>22.026299999999999</v>
      </c>
      <c r="M191" t="s">
        <v>251</v>
      </c>
      <c r="N191">
        <v>22.166</v>
      </c>
      <c r="P191" t="s">
        <v>251</v>
      </c>
      <c r="Q191">
        <v>22.033899999999999</v>
      </c>
      <c r="S191" t="s">
        <v>251</v>
      </c>
      <c r="T191">
        <v>22.072500000000002</v>
      </c>
    </row>
    <row r="192" spans="1:20">
      <c r="A192" t="s">
        <v>252</v>
      </c>
      <c r="B192">
        <v>21.788799999999998</v>
      </c>
      <c r="D192" t="s">
        <v>252</v>
      </c>
      <c r="E192">
        <v>21.922000000000001</v>
      </c>
      <c r="G192" t="s">
        <v>252</v>
      </c>
      <c r="H192">
        <v>22.0137</v>
      </c>
      <c r="J192" t="s">
        <v>252</v>
      </c>
      <c r="K192">
        <v>22.049199999999999</v>
      </c>
      <c r="M192" t="s">
        <v>252</v>
      </c>
      <c r="N192">
        <v>22.1584</v>
      </c>
      <c r="P192" t="s">
        <v>252</v>
      </c>
      <c r="Q192">
        <v>22.018799999999999</v>
      </c>
      <c r="S192" t="s">
        <v>252</v>
      </c>
      <c r="T192">
        <v>22.075600000000001</v>
      </c>
    </row>
    <row r="193" spans="1:20">
      <c r="A193" t="s">
        <v>253</v>
      </c>
      <c r="B193">
        <v>21.7788</v>
      </c>
      <c r="D193" t="s">
        <v>253</v>
      </c>
      <c r="E193">
        <v>21.944900000000001</v>
      </c>
      <c r="G193" t="s">
        <v>253</v>
      </c>
      <c r="H193">
        <v>22.024999999999999</v>
      </c>
      <c r="J193" t="s">
        <v>253</v>
      </c>
      <c r="K193">
        <v>22.0259</v>
      </c>
      <c r="M193" t="s">
        <v>253</v>
      </c>
      <c r="N193">
        <v>22.158100000000001</v>
      </c>
      <c r="P193" t="s">
        <v>253</v>
      </c>
      <c r="Q193">
        <v>22.010899999999999</v>
      </c>
      <c r="S193" t="s">
        <v>253</v>
      </c>
      <c r="T193">
        <v>22.07</v>
      </c>
    </row>
    <row r="194" spans="1:20">
      <c r="A194" t="s">
        <v>254</v>
      </c>
      <c r="B194">
        <v>21.870799999999999</v>
      </c>
      <c r="D194" t="s">
        <v>254</v>
      </c>
      <c r="E194">
        <v>22.004799999999999</v>
      </c>
      <c r="G194" t="s">
        <v>254</v>
      </c>
      <c r="H194">
        <v>22.012499999999999</v>
      </c>
      <c r="J194" t="s">
        <v>254</v>
      </c>
      <c r="K194">
        <v>22.005099999999999</v>
      </c>
      <c r="M194" t="s">
        <v>254</v>
      </c>
      <c r="N194">
        <v>22.157</v>
      </c>
      <c r="P194" t="s">
        <v>254</v>
      </c>
      <c r="Q194">
        <v>21.990500000000001</v>
      </c>
      <c r="S194" t="s">
        <v>254</v>
      </c>
      <c r="T194">
        <v>22.072199999999999</v>
      </c>
    </row>
    <row r="195" spans="1:20">
      <c r="A195" t="s">
        <v>255</v>
      </c>
      <c r="B195">
        <v>21.954599999999999</v>
      </c>
      <c r="D195" t="s">
        <v>255</v>
      </c>
      <c r="E195">
        <v>21.8172</v>
      </c>
      <c r="G195" t="s">
        <v>255</v>
      </c>
      <c r="H195">
        <v>22.0167</v>
      </c>
      <c r="J195" t="s">
        <v>255</v>
      </c>
      <c r="K195">
        <v>22.005400000000002</v>
      </c>
      <c r="M195" t="s">
        <v>255</v>
      </c>
      <c r="N195">
        <v>22.157800000000002</v>
      </c>
      <c r="P195" t="s">
        <v>255</v>
      </c>
      <c r="Q195">
        <v>22.002199999999998</v>
      </c>
      <c r="S195" t="s">
        <v>255</v>
      </c>
      <c r="T195">
        <v>22.051600000000001</v>
      </c>
    </row>
    <row r="196" spans="1:20">
      <c r="A196" t="s">
        <v>256</v>
      </c>
      <c r="B196">
        <v>22.000900000000001</v>
      </c>
      <c r="D196" t="s">
        <v>256</v>
      </c>
      <c r="E196">
        <v>21.781199999999998</v>
      </c>
      <c r="G196" t="s">
        <v>256</v>
      </c>
      <c r="H196">
        <v>21.9984</v>
      </c>
      <c r="J196" t="s">
        <v>256</v>
      </c>
      <c r="K196">
        <v>22.0075</v>
      </c>
      <c r="M196" t="s">
        <v>256</v>
      </c>
      <c r="N196">
        <v>22.150700000000001</v>
      </c>
      <c r="P196" t="s">
        <v>256</v>
      </c>
      <c r="Q196">
        <v>21.995899999999999</v>
      </c>
      <c r="S196" t="s">
        <v>256</v>
      </c>
      <c r="T196">
        <v>22.042100000000001</v>
      </c>
    </row>
    <row r="197" spans="1:20">
      <c r="A197" t="s">
        <v>257</v>
      </c>
      <c r="B197">
        <v>22.013000000000002</v>
      </c>
      <c r="D197" t="s">
        <v>257</v>
      </c>
      <c r="E197">
        <v>21.8048</v>
      </c>
      <c r="G197" t="s">
        <v>257</v>
      </c>
      <c r="H197">
        <v>21.9815</v>
      </c>
      <c r="J197" t="s">
        <v>257</v>
      </c>
      <c r="K197">
        <v>22.016400000000001</v>
      </c>
      <c r="M197" t="s">
        <v>257</v>
      </c>
      <c r="N197">
        <v>22.15</v>
      </c>
      <c r="P197" t="s">
        <v>257</v>
      </c>
      <c r="Q197">
        <v>21.9876</v>
      </c>
      <c r="S197" t="s">
        <v>257</v>
      </c>
      <c r="T197">
        <v>22.0519</v>
      </c>
    </row>
    <row r="198" spans="1:20">
      <c r="A198" t="s">
        <v>258</v>
      </c>
      <c r="B198">
        <v>21.998699999999999</v>
      </c>
      <c r="D198" t="s">
        <v>258</v>
      </c>
      <c r="E198">
        <v>21.881900000000002</v>
      </c>
      <c r="G198" t="s">
        <v>258</v>
      </c>
      <c r="H198">
        <v>21.972100000000001</v>
      </c>
      <c r="J198" t="s">
        <v>258</v>
      </c>
      <c r="K198">
        <v>22.016200000000001</v>
      </c>
      <c r="M198" t="s">
        <v>258</v>
      </c>
      <c r="N198">
        <v>22.136900000000001</v>
      </c>
      <c r="P198" t="s">
        <v>258</v>
      </c>
      <c r="Q198">
        <v>21.983699999999999</v>
      </c>
      <c r="S198" t="s">
        <v>258</v>
      </c>
      <c r="T198">
        <v>22.0459</v>
      </c>
    </row>
    <row r="199" spans="1:20">
      <c r="A199" t="s">
        <v>259</v>
      </c>
      <c r="B199">
        <v>21.979199999999999</v>
      </c>
      <c r="D199" t="s">
        <v>259</v>
      </c>
      <c r="E199">
        <v>21.879000000000001</v>
      </c>
      <c r="G199" t="s">
        <v>259</v>
      </c>
      <c r="H199">
        <v>22.006699999999999</v>
      </c>
      <c r="J199" t="s">
        <v>259</v>
      </c>
      <c r="K199">
        <v>22.0121</v>
      </c>
      <c r="M199" t="s">
        <v>259</v>
      </c>
      <c r="N199">
        <v>22.135300000000001</v>
      </c>
      <c r="P199" t="s">
        <v>259</v>
      </c>
      <c r="Q199">
        <v>22.011299999999999</v>
      </c>
      <c r="S199" t="s">
        <v>259</v>
      </c>
      <c r="T199">
        <v>22.029199999999999</v>
      </c>
    </row>
    <row r="200" spans="1:20">
      <c r="A200" t="s">
        <v>260</v>
      </c>
      <c r="B200">
        <v>16.104199999999999</v>
      </c>
      <c r="D200" t="s">
        <v>260</v>
      </c>
      <c r="E200">
        <v>16.020299999999999</v>
      </c>
      <c r="G200" t="s">
        <v>260</v>
      </c>
      <c r="H200">
        <v>15.7972</v>
      </c>
      <c r="J200" t="s">
        <v>260</v>
      </c>
      <c r="K200">
        <v>15.7944</v>
      </c>
      <c r="M200" t="s">
        <v>260</v>
      </c>
      <c r="N200">
        <v>15.806800000000001</v>
      </c>
      <c r="P200" t="s">
        <v>260</v>
      </c>
      <c r="Q200">
        <v>16.0291</v>
      </c>
      <c r="S200" t="s">
        <v>260</v>
      </c>
      <c r="T200">
        <v>15.7867</v>
      </c>
    </row>
    <row r="201" spans="1:20">
      <c r="A201" t="s">
        <v>261</v>
      </c>
      <c r="B201">
        <v>15.6431</v>
      </c>
      <c r="D201" t="s">
        <v>261</v>
      </c>
      <c r="E201">
        <v>16.031199999999998</v>
      </c>
      <c r="G201" t="s">
        <v>261</v>
      </c>
      <c r="H201">
        <v>15.795400000000001</v>
      </c>
      <c r="J201" t="s">
        <v>261</v>
      </c>
      <c r="K201">
        <v>15.7949</v>
      </c>
      <c r="M201" t="s">
        <v>261</v>
      </c>
      <c r="N201">
        <v>15.805199999999999</v>
      </c>
      <c r="P201" t="s">
        <v>261</v>
      </c>
      <c r="Q201">
        <v>16.056100000000001</v>
      </c>
      <c r="S201" t="s">
        <v>261</v>
      </c>
      <c r="T201">
        <v>15.804600000000001</v>
      </c>
    </row>
    <row r="202" spans="1:20">
      <c r="A202" t="s">
        <v>262</v>
      </c>
      <c r="B202">
        <v>15.696300000000001</v>
      </c>
      <c r="D202" t="s">
        <v>262</v>
      </c>
      <c r="E202">
        <v>16.087399999999999</v>
      </c>
      <c r="G202" t="s">
        <v>262</v>
      </c>
      <c r="H202">
        <v>15.809799999999999</v>
      </c>
      <c r="J202" t="s">
        <v>262</v>
      </c>
      <c r="K202">
        <v>15.815</v>
      </c>
      <c r="M202" t="s">
        <v>262</v>
      </c>
      <c r="N202">
        <v>15.812900000000001</v>
      </c>
      <c r="P202" t="s">
        <v>262</v>
      </c>
      <c r="Q202">
        <v>16.0517</v>
      </c>
      <c r="S202" t="s">
        <v>262</v>
      </c>
      <c r="T202">
        <v>15.805899999999999</v>
      </c>
    </row>
    <row r="203" spans="1:20">
      <c r="A203" t="s">
        <v>263</v>
      </c>
      <c r="B203">
        <v>15.818300000000001</v>
      </c>
      <c r="D203" t="s">
        <v>263</v>
      </c>
      <c r="E203">
        <v>16.185400000000001</v>
      </c>
      <c r="G203" t="s">
        <v>263</v>
      </c>
      <c r="H203">
        <v>15.821999999999999</v>
      </c>
      <c r="J203" t="s">
        <v>263</v>
      </c>
      <c r="K203">
        <v>15.8291</v>
      </c>
      <c r="M203" t="s">
        <v>263</v>
      </c>
      <c r="N203">
        <v>15.827</v>
      </c>
      <c r="P203" t="s">
        <v>263</v>
      </c>
      <c r="Q203">
        <v>16.086300000000001</v>
      </c>
      <c r="S203" t="s">
        <v>263</v>
      </c>
      <c r="T203">
        <v>15.839</v>
      </c>
    </row>
    <row r="204" spans="1:20">
      <c r="A204" t="s">
        <v>264</v>
      </c>
      <c r="B204">
        <v>15.9412</v>
      </c>
      <c r="D204" t="s">
        <v>264</v>
      </c>
      <c r="E204">
        <v>15.764200000000001</v>
      </c>
      <c r="G204" t="s">
        <v>264</v>
      </c>
      <c r="H204">
        <v>15.827199999999999</v>
      </c>
      <c r="J204" t="s">
        <v>264</v>
      </c>
      <c r="K204">
        <v>15.840199999999999</v>
      </c>
      <c r="M204" t="s">
        <v>264</v>
      </c>
      <c r="N204">
        <v>15.853199999999999</v>
      </c>
      <c r="P204" t="s">
        <v>264</v>
      </c>
      <c r="Q204">
        <v>16.0229</v>
      </c>
      <c r="S204" t="s">
        <v>264</v>
      </c>
      <c r="T204">
        <v>15.815</v>
      </c>
    </row>
    <row r="205" spans="1:20">
      <c r="A205" t="s">
        <v>265</v>
      </c>
      <c r="B205">
        <v>15.953900000000001</v>
      </c>
      <c r="D205" t="s">
        <v>265</v>
      </c>
      <c r="E205">
        <v>15.789199999999999</v>
      </c>
      <c r="G205" t="s">
        <v>265</v>
      </c>
      <c r="H205">
        <v>15.8155</v>
      </c>
      <c r="J205" t="s">
        <v>265</v>
      </c>
      <c r="K205">
        <v>15.835800000000001</v>
      </c>
      <c r="M205" t="s">
        <v>265</v>
      </c>
      <c r="N205">
        <v>15.8299</v>
      </c>
      <c r="P205" t="s">
        <v>265</v>
      </c>
      <c r="Q205">
        <v>16.0563</v>
      </c>
      <c r="S205" t="s">
        <v>265</v>
      </c>
      <c r="T205">
        <v>15.853199999999999</v>
      </c>
    </row>
    <row r="206" spans="1:20">
      <c r="A206" t="s">
        <v>266</v>
      </c>
      <c r="B206">
        <v>16.000800000000002</v>
      </c>
      <c r="D206" t="s">
        <v>266</v>
      </c>
      <c r="E206">
        <v>15.8247</v>
      </c>
      <c r="G206" t="s">
        <v>266</v>
      </c>
      <c r="H206">
        <v>15.813700000000001</v>
      </c>
      <c r="J206" t="s">
        <v>266</v>
      </c>
      <c r="K206">
        <v>15.7829</v>
      </c>
      <c r="M206" t="s">
        <v>266</v>
      </c>
      <c r="N206">
        <v>15.849399999999999</v>
      </c>
      <c r="P206" t="s">
        <v>266</v>
      </c>
      <c r="Q206">
        <v>16.0749</v>
      </c>
      <c r="S206" t="s">
        <v>266</v>
      </c>
      <c r="T206">
        <v>15.799200000000001</v>
      </c>
    </row>
    <row r="207" spans="1:20">
      <c r="A207" t="s">
        <v>267</v>
      </c>
      <c r="B207">
        <v>16.0487</v>
      </c>
      <c r="D207" t="s">
        <v>267</v>
      </c>
      <c r="E207">
        <v>15.8809</v>
      </c>
      <c r="G207" t="s">
        <v>267</v>
      </c>
      <c r="H207">
        <v>15.823700000000001</v>
      </c>
      <c r="J207" t="s">
        <v>267</v>
      </c>
      <c r="K207">
        <v>15.820600000000001</v>
      </c>
      <c r="M207" t="s">
        <v>267</v>
      </c>
      <c r="N207">
        <v>15.84</v>
      </c>
      <c r="P207" t="s">
        <v>267</v>
      </c>
      <c r="Q207">
        <v>16.064399999999999</v>
      </c>
      <c r="S207" t="s">
        <v>267</v>
      </c>
      <c r="T207">
        <v>15.778499999999999</v>
      </c>
    </row>
    <row r="208" spans="1:20">
      <c r="A208" t="s">
        <v>268</v>
      </c>
      <c r="B208">
        <v>16.025400000000001</v>
      </c>
      <c r="D208" t="s">
        <v>268</v>
      </c>
      <c r="E208">
        <v>15.969799999999999</v>
      </c>
      <c r="G208" t="s">
        <v>268</v>
      </c>
      <c r="H208">
        <v>15.831200000000001</v>
      </c>
      <c r="J208" t="s">
        <v>268</v>
      </c>
      <c r="K208">
        <v>15.7898</v>
      </c>
      <c r="M208" t="s">
        <v>268</v>
      </c>
      <c r="N208">
        <v>15.808999999999999</v>
      </c>
      <c r="P208" t="s">
        <v>268</v>
      </c>
      <c r="Q208">
        <v>16.045999999999999</v>
      </c>
      <c r="S208" t="s">
        <v>268</v>
      </c>
      <c r="T208">
        <v>15.831300000000001</v>
      </c>
    </row>
    <row r="209" spans="1:20">
      <c r="A209" t="s">
        <v>269</v>
      </c>
      <c r="B209">
        <v>19.560600000000001</v>
      </c>
      <c r="D209" t="s">
        <v>269</v>
      </c>
      <c r="E209">
        <v>19.384599999999999</v>
      </c>
      <c r="G209" t="s">
        <v>269</v>
      </c>
      <c r="H209">
        <v>18.7578</v>
      </c>
      <c r="J209" t="s">
        <v>269</v>
      </c>
      <c r="K209">
        <v>18.687899999999999</v>
      </c>
      <c r="M209" t="s">
        <v>269</v>
      </c>
      <c r="N209">
        <v>18.9407</v>
      </c>
      <c r="P209" t="s">
        <v>269</v>
      </c>
      <c r="Q209">
        <v>18.736899999999999</v>
      </c>
      <c r="S209" t="s">
        <v>269</v>
      </c>
      <c r="T209">
        <v>18.739100000000001</v>
      </c>
    </row>
    <row r="210" spans="1:20">
      <c r="A210" t="s">
        <v>270</v>
      </c>
      <c r="B210">
        <v>19.206900000000001</v>
      </c>
      <c r="D210" t="s">
        <v>270</v>
      </c>
      <c r="E210">
        <v>19.395800000000001</v>
      </c>
      <c r="G210" t="s">
        <v>270</v>
      </c>
      <c r="H210">
        <v>18.734000000000002</v>
      </c>
      <c r="J210" t="s">
        <v>270</v>
      </c>
      <c r="K210">
        <v>18.710899999999999</v>
      </c>
      <c r="M210" t="s">
        <v>270</v>
      </c>
      <c r="N210">
        <v>18.939800000000002</v>
      </c>
      <c r="P210" t="s">
        <v>270</v>
      </c>
      <c r="Q210">
        <v>18.719200000000001</v>
      </c>
      <c r="S210" t="s">
        <v>270</v>
      </c>
      <c r="T210">
        <v>18.735800000000001</v>
      </c>
    </row>
    <row r="211" spans="1:20">
      <c r="A211" t="s">
        <v>271</v>
      </c>
      <c r="B211">
        <v>19.222899999999999</v>
      </c>
      <c r="D211" t="s">
        <v>271</v>
      </c>
      <c r="E211">
        <v>19.466799999999999</v>
      </c>
      <c r="G211" t="s">
        <v>271</v>
      </c>
      <c r="H211">
        <v>18.742899999999999</v>
      </c>
      <c r="J211" t="s">
        <v>271</v>
      </c>
      <c r="K211">
        <v>18.681799999999999</v>
      </c>
      <c r="M211" t="s">
        <v>271</v>
      </c>
      <c r="N211">
        <v>18.9377</v>
      </c>
      <c r="P211" t="s">
        <v>271</v>
      </c>
      <c r="Q211">
        <v>18.727499999999999</v>
      </c>
      <c r="S211" t="s">
        <v>271</v>
      </c>
      <c r="T211">
        <v>18.734000000000002</v>
      </c>
    </row>
    <row r="212" spans="1:20">
      <c r="A212" t="s">
        <v>272</v>
      </c>
      <c r="B212">
        <v>19.311800000000002</v>
      </c>
      <c r="D212" t="s">
        <v>272</v>
      </c>
      <c r="E212">
        <v>19.541399999999999</v>
      </c>
      <c r="G212" t="s">
        <v>272</v>
      </c>
      <c r="H212">
        <v>18.741499999999998</v>
      </c>
      <c r="J212" t="s">
        <v>272</v>
      </c>
      <c r="K212">
        <v>18.680399999999999</v>
      </c>
      <c r="M212" t="s">
        <v>272</v>
      </c>
      <c r="N212">
        <v>18.941299999999998</v>
      </c>
      <c r="P212" t="s">
        <v>272</v>
      </c>
      <c r="Q212">
        <v>18.703900000000001</v>
      </c>
      <c r="S212" t="s">
        <v>272</v>
      </c>
      <c r="T212">
        <v>18.745200000000001</v>
      </c>
    </row>
    <row r="213" spans="1:20">
      <c r="A213" t="s">
        <v>273</v>
      </c>
      <c r="B213">
        <v>19.419499999999999</v>
      </c>
      <c r="D213" t="s">
        <v>273</v>
      </c>
      <c r="E213">
        <v>19.2042</v>
      </c>
      <c r="G213" t="s">
        <v>273</v>
      </c>
      <c r="H213">
        <v>18.727399999999999</v>
      </c>
      <c r="J213" t="s">
        <v>273</v>
      </c>
      <c r="K213">
        <v>18.676400000000001</v>
      </c>
      <c r="M213" t="s">
        <v>273</v>
      </c>
      <c r="N213">
        <v>18.937899999999999</v>
      </c>
      <c r="P213" t="s">
        <v>273</v>
      </c>
      <c r="Q213">
        <v>18.6995</v>
      </c>
      <c r="S213" t="s">
        <v>273</v>
      </c>
      <c r="T213">
        <v>18.720700000000001</v>
      </c>
    </row>
    <row r="214" spans="1:20">
      <c r="A214" t="s">
        <v>274</v>
      </c>
      <c r="B214">
        <v>19.479700000000001</v>
      </c>
      <c r="D214" t="s">
        <v>274</v>
      </c>
      <c r="E214">
        <v>19.2075</v>
      </c>
      <c r="G214" t="s">
        <v>274</v>
      </c>
      <c r="H214">
        <v>18.7165</v>
      </c>
      <c r="J214" t="s">
        <v>274</v>
      </c>
      <c r="K214">
        <v>18.671800000000001</v>
      </c>
      <c r="M214" t="s">
        <v>274</v>
      </c>
      <c r="N214">
        <v>18.927900000000001</v>
      </c>
      <c r="P214" t="s">
        <v>274</v>
      </c>
      <c r="Q214">
        <v>18.7104</v>
      </c>
      <c r="S214" t="s">
        <v>274</v>
      </c>
      <c r="T214">
        <v>18.713799999999999</v>
      </c>
    </row>
    <row r="215" spans="1:20">
      <c r="A215" t="s">
        <v>275</v>
      </c>
      <c r="B215">
        <v>19.522500000000001</v>
      </c>
      <c r="D215" t="s">
        <v>275</v>
      </c>
      <c r="E215">
        <v>19.238600000000002</v>
      </c>
      <c r="G215" t="s">
        <v>275</v>
      </c>
      <c r="H215">
        <v>18.7056</v>
      </c>
      <c r="J215" t="s">
        <v>275</v>
      </c>
      <c r="K215">
        <v>18.676100000000002</v>
      </c>
      <c r="M215" t="s">
        <v>275</v>
      </c>
      <c r="N215">
        <v>18.9251</v>
      </c>
      <c r="P215" t="s">
        <v>275</v>
      </c>
      <c r="Q215">
        <v>18.704799999999999</v>
      </c>
      <c r="S215" t="s">
        <v>275</v>
      </c>
      <c r="T215">
        <v>18.709499999999998</v>
      </c>
    </row>
    <row r="216" spans="1:20">
      <c r="A216" t="s">
        <v>276</v>
      </c>
      <c r="B216">
        <v>19.532599999999999</v>
      </c>
      <c r="D216" t="s">
        <v>276</v>
      </c>
      <c r="E216">
        <v>19.348500000000001</v>
      </c>
      <c r="G216" t="s">
        <v>276</v>
      </c>
      <c r="H216">
        <v>18.689299999999999</v>
      </c>
      <c r="J216" t="s">
        <v>276</v>
      </c>
      <c r="K216">
        <v>18.668299999999999</v>
      </c>
      <c r="M216" t="s">
        <v>276</v>
      </c>
      <c r="N216">
        <v>18.9162</v>
      </c>
      <c r="P216" t="s">
        <v>276</v>
      </c>
      <c r="Q216">
        <v>18.688300000000002</v>
      </c>
      <c r="S216" t="s">
        <v>276</v>
      </c>
      <c r="T216">
        <v>18.696300000000001</v>
      </c>
    </row>
    <row r="217" spans="1:20">
      <c r="A217" t="s">
        <v>277</v>
      </c>
      <c r="B217">
        <v>19.539300000000001</v>
      </c>
      <c r="D217" t="s">
        <v>277</v>
      </c>
      <c r="E217">
        <v>19.346</v>
      </c>
      <c r="G217" t="s">
        <v>277</v>
      </c>
      <c r="H217">
        <v>18.722899999999999</v>
      </c>
      <c r="J217" t="s">
        <v>277</v>
      </c>
      <c r="K217">
        <v>18.6615</v>
      </c>
      <c r="M217" t="s">
        <v>277</v>
      </c>
      <c r="N217">
        <v>18.905899999999999</v>
      </c>
      <c r="P217" t="s">
        <v>277</v>
      </c>
      <c r="Q217">
        <v>18.696000000000002</v>
      </c>
      <c r="S217" t="s">
        <v>277</v>
      </c>
      <c r="T217">
        <v>18.6922</v>
      </c>
    </row>
    <row r="218" spans="1:20">
      <c r="A218" t="s">
        <v>278</v>
      </c>
      <c r="B218">
        <v>21.815200000000001</v>
      </c>
      <c r="D218" t="s">
        <v>278</v>
      </c>
      <c r="E218">
        <v>21.741700000000002</v>
      </c>
      <c r="G218" t="s">
        <v>278</v>
      </c>
      <c r="H218">
        <v>38.085299999999997</v>
      </c>
      <c r="J218" t="s">
        <v>278</v>
      </c>
      <c r="K218">
        <v>38.137799999999999</v>
      </c>
      <c r="M218" t="s">
        <v>278</v>
      </c>
      <c r="N218">
        <v>38.238300000000002</v>
      </c>
      <c r="P218" t="s">
        <v>278</v>
      </c>
      <c r="Q218">
        <v>37.938099999999999</v>
      </c>
      <c r="S218" t="s">
        <v>278</v>
      </c>
      <c r="T218">
        <v>38.105699999999999</v>
      </c>
    </row>
    <row r="219" spans="1:20">
      <c r="A219" t="s">
        <v>279</v>
      </c>
      <c r="B219">
        <v>21.596599999999999</v>
      </c>
      <c r="D219" t="s">
        <v>279</v>
      </c>
      <c r="E219">
        <v>21.782</v>
      </c>
      <c r="G219" t="s">
        <v>279</v>
      </c>
      <c r="H219">
        <v>38.045999999999999</v>
      </c>
      <c r="J219" t="s">
        <v>279</v>
      </c>
      <c r="K219">
        <v>38.148099999999999</v>
      </c>
      <c r="M219" t="s">
        <v>279</v>
      </c>
      <c r="N219">
        <v>38.204099999999997</v>
      </c>
      <c r="P219" t="s">
        <v>279</v>
      </c>
      <c r="Q219">
        <v>38.009</v>
      </c>
      <c r="S219" t="s">
        <v>279</v>
      </c>
      <c r="T219">
        <v>38.247300000000003</v>
      </c>
    </row>
    <row r="220" spans="1:20">
      <c r="A220" t="s">
        <v>280</v>
      </c>
      <c r="B220">
        <v>21.577999999999999</v>
      </c>
      <c r="D220" t="s">
        <v>280</v>
      </c>
      <c r="E220">
        <v>21.768799999999999</v>
      </c>
      <c r="G220" t="s">
        <v>280</v>
      </c>
      <c r="H220">
        <v>38.123699999999999</v>
      </c>
      <c r="J220" t="s">
        <v>280</v>
      </c>
      <c r="K220">
        <v>38.263500000000001</v>
      </c>
      <c r="M220" t="s">
        <v>280</v>
      </c>
      <c r="N220">
        <v>38.2774</v>
      </c>
      <c r="P220" t="s">
        <v>280</v>
      </c>
      <c r="Q220">
        <v>37.933199999999999</v>
      </c>
      <c r="S220" t="s">
        <v>280</v>
      </c>
      <c r="T220">
        <v>38.250100000000003</v>
      </c>
    </row>
    <row r="221" spans="1:20">
      <c r="A221" t="s">
        <v>281</v>
      </c>
      <c r="B221">
        <v>21.684899999999999</v>
      </c>
      <c r="D221" t="s">
        <v>281</v>
      </c>
      <c r="E221">
        <v>21.824200000000001</v>
      </c>
      <c r="G221" t="s">
        <v>281</v>
      </c>
      <c r="H221">
        <v>38.067</v>
      </c>
      <c r="J221" t="s">
        <v>281</v>
      </c>
      <c r="K221">
        <v>38.177999999999997</v>
      </c>
      <c r="M221" t="s">
        <v>281</v>
      </c>
      <c r="N221">
        <v>38.266399999999997</v>
      </c>
      <c r="P221" t="s">
        <v>281</v>
      </c>
      <c r="Q221">
        <v>38.049199999999999</v>
      </c>
      <c r="S221" t="s">
        <v>281</v>
      </c>
      <c r="T221">
        <v>38.2164</v>
      </c>
    </row>
    <row r="222" spans="1:20">
      <c r="A222" t="s">
        <v>282</v>
      </c>
      <c r="B222">
        <v>21.7591</v>
      </c>
      <c r="D222" t="s">
        <v>282</v>
      </c>
      <c r="E222">
        <v>21.676200000000001</v>
      </c>
      <c r="G222" t="s">
        <v>282</v>
      </c>
      <c r="H222">
        <v>38.206299999999999</v>
      </c>
      <c r="J222" t="s">
        <v>282</v>
      </c>
      <c r="K222">
        <v>38.264899999999997</v>
      </c>
      <c r="M222" t="s">
        <v>282</v>
      </c>
      <c r="N222">
        <v>38.352800000000002</v>
      </c>
      <c r="P222" t="s">
        <v>282</v>
      </c>
      <c r="Q222">
        <v>38.036799999999999</v>
      </c>
      <c r="S222" t="s">
        <v>282</v>
      </c>
      <c r="T222">
        <v>38.216999999999999</v>
      </c>
    </row>
    <row r="223" spans="1:20">
      <c r="A223" t="s">
        <v>283</v>
      </c>
      <c r="B223">
        <v>21.779</v>
      </c>
      <c r="D223" t="s">
        <v>283</v>
      </c>
      <c r="E223">
        <v>21.6357</v>
      </c>
      <c r="G223" t="s">
        <v>283</v>
      </c>
      <c r="H223">
        <v>38.159100000000002</v>
      </c>
      <c r="J223" t="s">
        <v>283</v>
      </c>
      <c r="K223">
        <v>38.276800000000001</v>
      </c>
      <c r="M223" t="s">
        <v>283</v>
      </c>
      <c r="N223">
        <v>38.3185</v>
      </c>
      <c r="P223" t="s">
        <v>283</v>
      </c>
      <c r="Q223">
        <v>37.985999999999997</v>
      </c>
      <c r="S223" t="s">
        <v>283</v>
      </c>
      <c r="T223">
        <v>38.312800000000003</v>
      </c>
    </row>
    <row r="224" spans="1:20">
      <c r="A224" t="s">
        <v>284</v>
      </c>
      <c r="B224">
        <v>21.781600000000001</v>
      </c>
      <c r="D224" t="s">
        <v>284</v>
      </c>
      <c r="E224">
        <v>21.6615</v>
      </c>
      <c r="G224" t="s">
        <v>284</v>
      </c>
      <c r="H224">
        <v>38.120699999999999</v>
      </c>
      <c r="J224" t="s">
        <v>284</v>
      </c>
      <c r="K224">
        <v>38.182400000000001</v>
      </c>
      <c r="M224" t="s">
        <v>284</v>
      </c>
      <c r="N224">
        <v>38.4</v>
      </c>
      <c r="P224" t="s">
        <v>284</v>
      </c>
      <c r="Q224">
        <v>38.023499999999999</v>
      </c>
      <c r="S224" t="s">
        <v>284</v>
      </c>
      <c r="T224">
        <v>38.3249</v>
      </c>
    </row>
    <row r="225" spans="1:20">
      <c r="A225" t="s">
        <v>285</v>
      </c>
      <c r="B225">
        <v>21.7773</v>
      </c>
      <c r="D225" t="s">
        <v>285</v>
      </c>
      <c r="E225">
        <v>21.689800000000002</v>
      </c>
      <c r="G225" t="s">
        <v>285</v>
      </c>
      <c r="H225">
        <v>38.240099999999998</v>
      </c>
      <c r="J225" t="s">
        <v>285</v>
      </c>
      <c r="K225">
        <v>38.339300000000001</v>
      </c>
      <c r="M225" t="s">
        <v>285</v>
      </c>
      <c r="N225">
        <v>38.347000000000001</v>
      </c>
      <c r="P225" t="s">
        <v>285</v>
      </c>
      <c r="Q225">
        <v>38.109000000000002</v>
      </c>
      <c r="S225" t="s">
        <v>285</v>
      </c>
      <c r="T225">
        <v>38.3444</v>
      </c>
    </row>
    <row r="226" spans="1:20">
      <c r="A226" t="s">
        <v>286</v>
      </c>
      <c r="B226">
        <v>21.735299999999999</v>
      </c>
      <c r="D226" t="s">
        <v>286</v>
      </c>
      <c r="E226">
        <v>21.724299999999999</v>
      </c>
      <c r="G226" t="s">
        <v>286</v>
      </c>
      <c r="H226">
        <v>38.236400000000003</v>
      </c>
      <c r="J226" t="s">
        <v>286</v>
      </c>
      <c r="K226">
        <v>38.2913</v>
      </c>
      <c r="M226" t="s">
        <v>286</v>
      </c>
      <c r="N226">
        <v>38.4</v>
      </c>
      <c r="P226" t="s">
        <v>286</v>
      </c>
      <c r="Q226">
        <v>38.199800000000003</v>
      </c>
      <c r="S226" t="s">
        <v>286</v>
      </c>
      <c r="T226">
        <v>38.408299999999997</v>
      </c>
    </row>
    <row r="227" spans="1:20">
      <c r="A227" t="s">
        <v>287</v>
      </c>
      <c r="B227">
        <v>19.0548</v>
      </c>
      <c r="D227" t="s">
        <v>287</v>
      </c>
      <c r="E227">
        <v>18.898499999999999</v>
      </c>
      <c r="G227" t="s">
        <v>287</v>
      </c>
      <c r="H227">
        <v>19.025099999999998</v>
      </c>
      <c r="J227" t="s">
        <v>287</v>
      </c>
      <c r="K227">
        <v>18.995200000000001</v>
      </c>
      <c r="M227" t="s">
        <v>287</v>
      </c>
      <c r="N227">
        <v>19.0227</v>
      </c>
      <c r="P227" t="s">
        <v>287</v>
      </c>
      <c r="Q227">
        <v>19.014299999999999</v>
      </c>
      <c r="S227" t="s">
        <v>287</v>
      </c>
      <c r="T227">
        <v>19.002600000000001</v>
      </c>
    </row>
    <row r="228" spans="1:20">
      <c r="A228" t="s">
        <v>288</v>
      </c>
      <c r="B228">
        <v>18.739899999999999</v>
      </c>
      <c r="D228" t="s">
        <v>288</v>
      </c>
      <c r="E228">
        <v>18.929500000000001</v>
      </c>
      <c r="G228" t="s">
        <v>288</v>
      </c>
      <c r="H228">
        <v>19.012499999999999</v>
      </c>
      <c r="J228" t="s">
        <v>288</v>
      </c>
      <c r="K228">
        <v>19.0137</v>
      </c>
      <c r="M228" t="s">
        <v>288</v>
      </c>
      <c r="N228">
        <v>19.026700000000002</v>
      </c>
      <c r="P228" t="s">
        <v>288</v>
      </c>
      <c r="Q228">
        <v>19.013300000000001</v>
      </c>
      <c r="S228" t="s">
        <v>288</v>
      </c>
      <c r="T228">
        <v>19.0212</v>
      </c>
    </row>
    <row r="229" spans="1:20">
      <c r="A229" t="s">
        <v>289</v>
      </c>
      <c r="B229">
        <v>18.746200000000002</v>
      </c>
      <c r="D229" t="s">
        <v>289</v>
      </c>
      <c r="E229">
        <v>18.9892</v>
      </c>
      <c r="G229" t="s">
        <v>289</v>
      </c>
      <c r="H229">
        <v>19.028199999999998</v>
      </c>
      <c r="J229" t="s">
        <v>289</v>
      </c>
      <c r="K229">
        <v>19.010200000000001</v>
      </c>
      <c r="M229" t="s">
        <v>289</v>
      </c>
      <c r="N229">
        <v>19.040600000000001</v>
      </c>
      <c r="P229" t="s">
        <v>289</v>
      </c>
      <c r="Q229">
        <v>19.020600000000002</v>
      </c>
      <c r="S229" t="s">
        <v>289</v>
      </c>
      <c r="T229">
        <v>19.017399999999999</v>
      </c>
    </row>
    <row r="230" spans="1:20">
      <c r="A230" t="s">
        <v>290</v>
      </c>
      <c r="B230">
        <v>18.856999999999999</v>
      </c>
      <c r="D230" t="s">
        <v>290</v>
      </c>
      <c r="E230">
        <v>19.0624</v>
      </c>
      <c r="G230" t="s">
        <v>290</v>
      </c>
      <c r="H230">
        <v>19.024100000000001</v>
      </c>
      <c r="J230" t="s">
        <v>290</v>
      </c>
      <c r="K230">
        <v>19.005700000000001</v>
      </c>
      <c r="M230" t="s">
        <v>290</v>
      </c>
      <c r="N230">
        <v>19.0503</v>
      </c>
      <c r="P230" t="s">
        <v>290</v>
      </c>
      <c r="Q230">
        <v>19.022099999999998</v>
      </c>
      <c r="S230" t="s">
        <v>290</v>
      </c>
      <c r="T230">
        <v>19.038399999999999</v>
      </c>
    </row>
    <row r="231" spans="1:20">
      <c r="A231" t="s">
        <v>291</v>
      </c>
      <c r="B231">
        <v>18.9649</v>
      </c>
      <c r="D231" t="s">
        <v>291</v>
      </c>
      <c r="E231">
        <v>18.7775</v>
      </c>
      <c r="G231" t="s">
        <v>291</v>
      </c>
      <c r="H231">
        <v>19.0318</v>
      </c>
      <c r="J231" t="s">
        <v>291</v>
      </c>
      <c r="K231">
        <v>19.0091</v>
      </c>
      <c r="M231" t="s">
        <v>291</v>
      </c>
      <c r="N231">
        <v>19.055800000000001</v>
      </c>
      <c r="P231" t="s">
        <v>291</v>
      </c>
      <c r="Q231">
        <v>19.002300000000002</v>
      </c>
      <c r="S231" t="s">
        <v>291</v>
      </c>
      <c r="T231">
        <v>19.0212</v>
      </c>
    </row>
    <row r="232" spans="1:20">
      <c r="A232" t="s">
        <v>292</v>
      </c>
      <c r="B232">
        <v>19.022400000000001</v>
      </c>
      <c r="D232" t="s">
        <v>292</v>
      </c>
      <c r="E232">
        <v>18.753</v>
      </c>
      <c r="G232" t="s">
        <v>292</v>
      </c>
      <c r="H232">
        <v>19.026700000000002</v>
      </c>
      <c r="J232" t="s">
        <v>292</v>
      </c>
      <c r="K232">
        <v>19.011099999999999</v>
      </c>
      <c r="M232" t="s">
        <v>292</v>
      </c>
      <c r="N232">
        <v>19.048400000000001</v>
      </c>
      <c r="P232" t="s">
        <v>292</v>
      </c>
      <c r="Q232">
        <v>19.015599999999999</v>
      </c>
      <c r="S232" t="s">
        <v>292</v>
      </c>
      <c r="T232">
        <v>19.0306</v>
      </c>
    </row>
    <row r="233" spans="1:20">
      <c r="A233" t="s">
        <v>293</v>
      </c>
      <c r="B233">
        <v>19.051500000000001</v>
      </c>
      <c r="D233" t="s">
        <v>293</v>
      </c>
      <c r="E233">
        <v>18.790600000000001</v>
      </c>
      <c r="G233" t="s">
        <v>293</v>
      </c>
      <c r="H233">
        <v>18.9894</v>
      </c>
      <c r="J233" t="s">
        <v>293</v>
      </c>
      <c r="K233">
        <v>19.0166</v>
      </c>
      <c r="M233" t="s">
        <v>293</v>
      </c>
      <c r="N233">
        <v>19.0611</v>
      </c>
      <c r="P233" t="s">
        <v>293</v>
      </c>
      <c r="Q233">
        <v>19.015999999999998</v>
      </c>
      <c r="S233" t="s">
        <v>293</v>
      </c>
      <c r="T233">
        <v>19.017299999999999</v>
      </c>
    </row>
    <row r="234" spans="1:20">
      <c r="A234" t="s">
        <v>294</v>
      </c>
      <c r="B234">
        <v>19.0548</v>
      </c>
      <c r="D234" t="s">
        <v>294</v>
      </c>
      <c r="E234">
        <v>18.8779</v>
      </c>
      <c r="G234" t="s">
        <v>294</v>
      </c>
      <c r="H234">
        <v>19.015999999999998</v>
      </c>
      <c r="J234" t="s">
        <v>294</v>
      </c>
      <c r="K234">
        <v>19.021999999999998</v>
      </c>
      <c r="M234" t="s">
        <v>294</v>
      </c>
      <c r="N234">
        <v>19.057500000000001</v>
      </c>
      <c r="P234" t="s">
        <v>294</v>
      </c>
      <c r="Q234">
        <v>19.0213</v>
      </c>
      <c r="S234" t="s">
        <v>294</v>
      </c>
      <c r="T234">
        <v>19.018699999999999</v>
      </c>
    </row>
    <row r="235" spans="1:20">
      <c r="A235" t="s">
        <v>295</v>
      </c>
      <c r="B235">
        <v>19.0564</v>
      </c>
      <c r="D235" t="s">
        <v>295</v>
      </c>
      <c r="E235">
        <v>18.907900000000001</v>
      </c>
      <c r="G235" t="s">
        <v>295</v>
      </c>
      <c r="H235">
        <v>19.038</v>
      </c>
      <c r="J235" t="s">
        <v>295</v>
      </c>
      <c r="K235">
        <v>19.013999999999999</v>
      </c>
      <c r="M235" t="s">
        <v>295</v>
      </c>
      <c r="N235">
        <v>19.0534</v>
      </c>
      <c r="P235" t="s">
        <v>295</v>
      </c>
      <c r="Q235">
        <v>19.0398</v>
      </c>
      <c r="S235" t="s">
        <v>295</v>
      </c>
      <c r="T235">
        <v>19.0291</v>
      </c>
    </row>
    <row r="236" spans="1:20">
      <c r="A236" t="s">
        <v>296</v>
      </c>
      <c r="B236">
        <v>23.029800000000002</v>
      </c>
      <c r="D236" t="s">
        <v>296</v>
      </c>
      <c r="E236">
        <v>22.9621</v>
      </c>
      <c r="G236" t="s">
        <v>296</v>
      </c>
      <c r="H236">
        <v>22.884799999999998</v>
      </c>
      <c r="J236" t="s">
        <v>296</v>
      </c>
      <c r="K236">
        <v>22.9315</v>
      </c>
      <c r="M236" t="s">
        <v>296</v>
      </c>
      <c r="N236">
        <v>23.177700000000002</v>
      </c>
      <c r="P236" t="s">
        <v>296</v>
      </c>
      <c r="Q236">
        <v>23.0458</v>
      </c>
      <c r="S236" t="s">
        <v>296</v>
      </c>
      <c r="T236">
        <v>23.012799999999999</v>
      </c>
    </row>
    <row r="237" spans="1:20">
      <c r="A237" t="s">
        <v>297</v>
      </c>
      <c r="B237">
        <v>22.778500000000001</v>
      </c>
      <c r="D237" t="s">
        <v>297</v>
      </c>
      <c r="E237">
        <v>22.979099999999999</v>
      </c>
      <c r="G237" t="s">
        <v>297</v>
      </c>
      <c r="H237">
        <v>22.848800000000001</v>
      </c>
      <c r="J237" t="s">
        <v>297</v>
      </c>
      <c r="K237">
        <v>22.949100000000001</v>
      </c>
      <c r="M237" t="s">
        <v>297</v>
      </c>
      <c r="N237">
        <v>23.159600000000001</v>
      </c>
      <c r="P237" t="s">
        <v>297</v>
      </c>
      <c r="Q237">
        <v>23.036799999999999</v>
      </c>
      <c r="S237" t="s">
        <v>297</v>
      </c>
      <c r="T237">
        <v>23.001300000000001</v>
      </c>
    </row>
    <row r="238" spans="1:20">
      <c r="A238" t="s">
        <v>298</v>
      </c>
      <c r="B238">
        <v>22.762</v>
      </c>
      <c r="D238" t="s">
        <v>298</v>
      </c>
      <c r="E238">
        <v>22.970500000000001</v>
      </c>
      <c r="G238" t="s">
        <v>298</v>
      </c>
      <c r="H238">
        <v>22.860099999999999</v>
      </c>
      <c r="J238" t="s">
        <v>298</v>
      </c>
      <c r="K238">
        <v>22.923500000000001</v>
      </c>
      <c r="M238" t="s">
        <v>298</v>
      </c>
      <c r="N238">
        <v>23.146000000000001</v>
      </c>
      <c r="P238" t="s">
        <v>298</v>
      </c>
      <c r="Q238">
        <v>23.009699999999999</v>
      </c>
      <c r="S238" t="s">
        <v>298</v>
      </c>
      <c r="T238">
        <v>23.003799999999998</v>
      </c>
    </row>
    <row r="239" spans="1:20">
      <c r="A239" t="s">
        <v>299</v>
      </c>
      <c r="B239">
        <v>22.837199999999999</v>
      </c>
      <c r="D239" t="s">
        <v>299</v>
      </c>
      <c r="E239">
        <v>23.024799999999999</v>
      </c>
      <c r="G239" t="s">
        <v>299</v>
      </c>
      <c r="H239">
        <v>22.8492</v>
      </c>
      <c r="J239" t="s">
        <v>299</v>
      </c>
      <c r="K239">
        <v>22.899799999999999</v>
      </c>
      <c r="M239" t="s">
        <v>299</v>
      </c>
      <c r="N239">
        <v>23.142299999999999</v>
      </c>
      <c r="P239" t="s">
        <v>299</v>
      </c>
      <c r="Q239">
        <v>22.9893</v>
      </c>
      <c r="S239" t="s">
        <v>299</v>
      </c>
      <c r="T239">
        <v>22.998899999999999</v>
      </c>
    </row>
    <row r="240" spans="1:20">
      <c r="A240" t="s">
        <v>300</v>
      </c>
      <c r="B240">
        <v>22.905999999999999</v>
      </c>
      <c r="D240" t="s">
        <v>300</v>
      </c>
      <c r="E240">
        <v>22.829899999999999</v>
      </c>
      <c r="G240" t="s">
        <v>300</v>
      </c>
      <c r="H240">
        <v>22.848800000000001</v>
      </c>
      <c r="J240" t="s">
        <v>300</v>
      </c>
      <c r="K240">
        <v>22.9041</v>
      </c>
      <c r="M240" t="s">
        <v>300</v>
      </c>
      <c r="N240">
        <v>23.150700000000001</v>
      </c>
      <c r="P240" t="s">
        <v>300</v>
      </c>
      <c r="Q240">
        <v>23.005700000000001</v>
      </c>
      <c r="S240" t="s">
        <v>300</v>
      </c>
      <c r="T240">
        <v>22.968699999999998</v>
      </c>
    </row>
    <row r="241" spans="1:20">
      <c r="A241" t="s">
        <v>301</v>
      </c>
      <c r="B241">
        <v>22.925000000000001</v>
      </c>
      <c r="D241" t="s">
        <v>301</v>
      </c>
      <c r="E241">
        <v>22.826799999999999</v>
      </c>
      <c r="G241" t="s">
        <v>301</v>
      </c>
      <c r="H241">
        <v>22.815300000000001</v>
      </c>
      <c r="J241" t="s">
        <v>301</v>
      </c>
      <c r="K241">
        <v>22.906600000000001</v>
      </c>
      <c r="M241" t="s">
        <v>301</v>
      </c>
      <c r="N241">
        <v>23.136299999999999</v>
      </c>
      <c r="P241" t="s">
        <v>301</v>
      </c>
      <c r="Q241">
        <v>22.999199999999998</v>
      </c>
      <c r="S241" t="s">
        <v>301</v>
      </c>
      <c r="T241">
        <v>22.9603</v>
      </c>
    </row>
    <row r="242" spans="1:20">
      <c r="A242" t="s">
        <v>302</v>
      </c>
      <c r="B242">
        <v>22.944800000000001</v>
      </c>
      <c r="D242" t="s">
        <v>302</v>
      </c>
      <c r="E242">
        <v>22.843699999999998</v>
      </c>
      <c r="G242" t="s">
        <v>302</v>
      </c>
      <c r="H242">
        <v>22.8399</v>
      </c>
      <c r="J242" t="s">
        <v>302</v>
      </c>
      <c r="K242">
        <v>22.878599999999999</v>
      </c>
      <c r="M242" t="s">
        <v>302</v>
      </c>
      <c r="N242">
        <v>23.124600000000001</v>
      </c>
      <c r="P242" t="s">
        <v>302</v>
      </c>
      <c r="Q242">
        <v>22.9894</v>
      </c>
      <c r="S242" t="s">
        <v>302</v>
      </c>
      <c r="T242">
        <v>22.971900000000002</v>
      </c>
    </row>
    <row r="243" spans="1:20">
      <c r="A243" t="s">
        <v>303</v>
      </c>
      <c r="B243">
        <v>22.9498</v>
      </c>
      <c r="D243" t="s">
        <v>303</v>
      </c>
      <c r="E243">
        <v>22.892299999999999</v>
      </c>
      <c r="G243" t="s">
        <v>303</v>
      </c>
      <c r="H243">
        <v>22.79</v>
      </c>
      <c r="J243" t="s">
        <v>303</v>
      </c>
      <c r="K243">
        <v>22.898700000000002</v>
      </c>
      <c r="M243" t="s">
        <v>303</v>
      </c>
      <c r="N243">
        <v>23.106300000000001</v>
      </c>
      <c r="P243" t="s">
        <v>303</v>
      </c>
      <c r="Q243">
        <v>22.971299999999999</v>
      </c>
      <c r="S243" t="s">
        <v>303</v>
      </c>
      <c r="T243">
        <v>22.946899999999999</v>
      </c>
    </row>
    <row r="244" spans="1:20">
      <c r="A244" t="s">
        <v>304</v>
      </c>
      <c r="B244">
        <v>22.909300000000002</v>
      </c>
      <c r="D244" t="s">
        <v>304</v>
      </c>
      <c r="E244">
        <v>22.8796</v>
      </c>
      <c r="G244" t="s">
        <v>304</v>
      </c>
      <c r="H244">
        <v>22.832699999999999</v>
      </c>
      <c r="J244" t="s">
        <v>304</v>
      </c>
      <c r="K244">
        <v>22.8841</v>
      </c>
      <c r="M244" t="s">
        <v>304</v>
      </c>
      <c r="N244">
        <v>23.091100000000001</v>
      </c>
      <c r="P244" t="s">
        <v>304</v>
      </c>
      <c r="Q244">
        <v>22.985499999999998</v>
      </c>
      <c r="S244" t="s">
        <v>304</v>
      </c>
      <c r="T244">
        <v>22.930900000000001</v>
      </c>
    </row>
    <row r="245" spans="1:20">
      <c r="G245" t="s">
        <v>305</v>
      </c>
      <c r="H245">
        <v>15.595599999999999</v>
      </c>
      <c r="J245" t="s">
        <v>305</v>
      </c>
      <c r="K245">
        <v>15.3894</v>
      </c>
      <c r="M245" t="s">
        <v>305</v>
      </c>
      <c r="N245">
        <v>15.6777</v>
      </c>
      <c r="P245" t="s">
        <v>305</v>
      </c>
      <c r="Q245">
        <v>15.487</v>
      </c>
      <c r="S245" t="s">
        <v>305</v>
      </c>
      <c r="T245">
        <v>15.5076</v>
      </c>
    </row>
    <row r="246" spans="1:20">
      <c r="G246" t="s">
        <v>306</v>
      </c>
      <c r="H246">
        <v>15.5756</v>
      </c>
      <c r="J246" t="s">
        <v>306</v>
      </c>
      <c r="K246">
        <v>15.404199999999999</v>
      </c>
      <c r="M246" t="s">
        <v>306</v>
      </c>
      <c r="N246">
        <v>15.6814</v>
      </c>
      <c r="P246" t="s">
        <v>306</v>
      </c>
      <c r="Q246">
        <v>15.4786</v>
      </c>
      <c r="S246" t="s">
        <v>306</v>
      </c>
      <c r="T246">
        <v>15.5162</v>
      </c>
    </row>
    <row r="247" spans="1:20">
      <c r="G247" t="s">
        <v>307</v>
      </c>
      <c r="H247">
        <v>15.5875</v>
      </c>
      <c r="J247" t="s">
        <v>307</v>
      </c>
      <c r="K247">
        <v>15.3881</v>
      </c>
      <c r="M247" t="s">
        <v>307</v>
      </c>
      <c r="N247">
        <v>15.6713</v>
      </c>
      <c r="P247" t="s">
        <v>307</v>
      </c>
      <c r="Q247">
        <v>15.4908</v>
      </c>
      <c r="S247" t="s">
        <v>307</v>
      </c>
      <c r="T247">
        <v>15.5023</v>
      </c>
    </row>
    <row r="248" spans="1:20">
      <c r="G248" t="s">
        <v>308</v>
      </c>
      <c r="H248">
        <v>15.569900000000001</v>
      </c>
      <c r="J248" t="s">
        <v>308</v>
      </c>
      <c r="K248">
        <v>15.388400000000001</v>
      </c>
      <c r="M248" t="s">
        <v>308</v>
      </c>
      <c r="N248">
        <v>15.675599999999999</v>
      </c>
      <c r="P248" t="s">
        <v>308</v>
      </c>
      <c r="Q248">
        <v>15.4581</v>
      </c>
      <c r="S248" t="s">
        <v>308</v>
      </c>
      <c r="T248">
        <v>15.529500000000001</v>
      </c>
    </row>
    <row r="249" spans="1:20">
      <c r="G249" t="s">
        <v>309</v>
      </c>
      <c r="H249">
        <v>15.547000000000001</v>
      </c>
      <c r="J249" t="s">
        <v>309</v>
      </c>
      <c r="K249">
        <v>15.3865</v>
      </c>
      <c r="M249" t="s">
        <v>309</v>
      </c>
      <c r="N249">
        <v>15.671099999999999</v>
      </c>
      <c r="P249" t="s">
        <v>309</v>
      </c>
      <c r="Q249">
        <v>15.4651</v>
      </c>
      <c r="S249" t="s">
        <v>309</v>
      </c>
      <c r="T249">
        <v>15.497400000000001</v>
      </c>
    </row>
    <row r="250" spans="1:20">
      <c r="G250" t="s">
        <v>310</v>
      </c>
      <c r="H250">
        <v>15.5547</v>
      </c>
      <c r="J250" t="s">
        <v>310</v>
      </c>
      <c r="K250">
        <v>15.3689</v>
      </c>
      <c r="M250" t="s">
        <v>310</v>
      </c>
      <c r="N250">
        <v>15.660399999999999</v>
      </c>
      <c r="P250" t="s">
        <v>310</v>
      </c>
      <c r="Q250">
        <v>15.457700000000001</v>
      </c>
      <c r="S250" t="s">
        <v>310</v>
      </c>
      <c r="T250">
        <v>15.508699999999999</v>
      </c>
    </row>
    <row r="251" spans="1:20">
      <c r="G251" t="s">
        <v>311</v>
      </c>
      <c r="H251">
        <v>15.533099999999999</v>
      </c>
      <c r="J251" t="s">
        <v>311</v>
      </c>
      <c r="K251">
        <v>15.3812</v>
      </c>
      <c r="M251" t="s">
        <v>311</v>
      </c>
      <c r="N251">
        <v>15.6473</v>
      </c>
      <c r="P251" t="s">
        <v>311</v>
      </c>
      <c r="Q251">
        <v>15.4505</v>
      </c>
      <c r="S251" t="s">
        <v>311</v>
      </c>
      <c r="T251">
        <v>15.4739</v>
      </c>
    </row>
    <row r="252" spans="1:20">
      <c r="G252" t="s">
        <v>312</v>
      </c>
      <c r="H252">
        <v>15.516999999999999</v>
      </c>
      <c r="J252" t="s">
        <v>312</v>
      </c>
      <c r="K252">
        <v>15.364699999999999</v>
      </c>
      <c r="M252" t="s">
        <v>312</v>
      </c>
      <c r="N252">
        <v>15.651899999999999</v>
      </c>
      <c r="P252" t="s">
        <v>312</v>
      </c>
      <c r="Q252">
        <v>15.4298</v>
      </c>
      <c r="S252" t="s">
        <v>312</v>
      </c>
      <c r="T252">
        <v>15.462899999999999</v>
      </c>
    </row>
    <row r="253" spans="1:20">
      <c r="G253" t="s">
        <v>313</v>
      </c>
      <c r="H253">
        <v>15.5318</v>
      </c>
      <c r="J253" t="s">
        <v>313</v>
      </c>
      <c r="K253">
        <v>15.341100000000001</v>
      </c>
      <c r="M253" t="s">
        <v>313</v>
      </c>
      <c r="N253">
        <v>15.632</v>
      </c>
      <c r="P253" t="s">
        <v>313</v>
      </c>
      <c r="Q253">
        <v>15.420299999999999</v>
      </c>
      <c r="S253" t="s">
        <v>313</v>
      </c>
      <c r="T253">
        <v>15.4695</v>
      </c>
    </row>
    <row r="254" spans="1:20">
      <c r="G254" t="s">
        <v>314</v>
      </c>
      <c r="H254">
        <v>29.832699999999999</v>
      </c>
      <c r="J254" t="s">
        <v>314</v>
      </c>
      <c r="K254">
        <v>29.9758</v>
      </c>
      <c r="M254" t="s">
        <v>314</v>
      </c>
      <c r="N254">
        <v>29.9452</v>
      </c>
      <c r="P254" t="s">
        <v>314</v>
      </c>
      <c r="Q254">
        <v>29.927700000000002</v>
      </c>
      <c r="S254" t="s">
        <v>314</v>
      </c>
      <c r="T254">
        <v>29.854500000000002</v>
      </c>
    </row>
    <row r="255" spans="1:20">
      <c r="G255" t="s">
        <v>315</v>
      </c>
      <c r="H255">
        <v>29.796199999999999</v>
      </c>
      <c r="J255" t="s">
        <v>315</v>
      </c>
      <c r="K255">
        <v>29.998699999999999</v>
      </c>
      <c r="M255" t="s">
        <v>315</v>
      </c>
      <c r="N255">
        <v>29.9101</v>
      </c>
      <c r="P255" t="s">
        <v>315</v>
      </c>
      <c r="Q255">
        <v>29.928899999999999</v>
      </c>
      <c r="S255" t="s">
        <v>315</v>
      </c>
      <c r="T255">
        <v>29.854800000000001</v>
      </c>
    </row>
    <row r="256" spans="1:20">
      <c r="G256" t="s">
        <v>316</v>
      </c>
      <c r="H256">
        <v>29.805700000000002</v>
      </c>
      <c r="J256" t="s">
        <v>316</v>
      </c>
      <c r="K256">
        <v>29.973099999999999</v>
      </c>
      <c r="M256" t="s">
        <v>316</v>
      </c>
      <c r="N256">
        <v>29.924600000000002</v>
      </c>
      <c r="P256" t="s">
        <v>316</v>
      </c>
      <c r="Q256">
        <v>29.89</v>
      </c>
      <c r="S256" t="s">
        <v>316</v>
      </c>
      <c r="T256">
        <v>29.866900000000001</v>
      </c>
    </row>
    <row r="257" spans="7:20">
      <c r="G257" t="s">
        <v>317</v>
      </c>
      <c r="H257">
        <v>29.796199999999999</v>
      </c>
      <c r="J257" t="s">
        <v>317</v>
      </c>
      <c r="K257">
        <v>29.930900000000001</v>
      </c>
      <c r="M257" t="s">
        <v>317</v>
      </c>
      <c r="N257">
        <v>29.9178</v>
      </c>
      <c r="P257" t="s">
        <v>317</v>
      </c>
      <c r="Q257">
        <v>29.922999999999998</v>
      </c>
      <c r="S257" t="s">
        <v>317</v>
      </c>
      <c r="T257">
        <v>29.832999999999998</v>
      </c>
    </row>
    <row r="258" spans="7:20">
      <c r="G258" t="s">
        <v>318</v>
      </c>
      <c r="H258">
        <v>29.845500000000001</v>
      </c>
      <c r="J258" t="s">
        <v>318</v>
      </c>
      <c r="K258">
        <v>29.9419</v>
      </c>
      <c r="M258" t="s">
        <v>318</v>
      </c>
      <c r="N258">
        <v>29.933499999999999</v>
      </c>
      <c r="P258" t="s">
        <v>318</v>
      </c>
      <c r="Q258">
        <v>29.891400000000001</v>
      </c>
      <c r="S258" t="s">
        <v>318</v>
      </c>
      <c r="T258">
        <v>29.818999999999999</v>
      </c>
    </row>
    <row r="259" spans="7:20">
      <c r="G259" t="s">
        <v>319</v>
      </c>
      <c r="H259">
        <v>29.786100000000001</v>
      </c>
      <c r="J259" t="s">
        <v>319</v>
      </c>
      <c r="K259">
        <v>29.962599999999998</v>
      </c>
      <c r="M259" t="s">
        <v>319</v>
      </c>
      <c r="N259">
        <v>29.9087</v>
      </c>
      <c r="P259" t="s">
        <v>319</v>
      </c>
      <c r="Q259">
        <v>29.895700000000001</v>
      </c>
      <c r="S259" t="s">
        <v>319</v>
      </c>
      <c r="T259">
        <v>29.798300000000001</v>
      </c>
    </row>
    <row r="260" spans="7:20">
      <c r="G260" t="s">
        <v>320</v>
      </c>
      <c r="H260">
        <v>29.769100000000002</v>
      </c>
      <c r="J260" t="s">
        <v>320</v>
      </c>
      <c r="K260">
        <v>29.9175</v>
      </c>
      <c r="M260" t="s">
        <v>320</v>
      </c>
      <c r="N260">
        <v>29.933299999999999</v>
      </c>
      <c r="P260" t="s">
        <v>320</v>
      </c>
      <c r="Q260">
        <v>29.897600000000001</v>
      </c>
      <c r="S260" t="s">
        <v>320</v>
      </c>
      <c r="T260">
        <v>29.834599999999998</v>
      </c>
    </row>
    <row r="261" spans="7:20">
      <c r="G261" t="s">
        <v>321</v>
      </c>
      <c r="H261">
        <v>29.7818</v>
      </c>
      <c r="J261" t="s">
        <v>321</v>
      </c>
      <c r="K261">
        <v>29.959499999999998</v>
      </c>
      <c r="M261" t="s">
        <v>321</v>
      </c>
      <c r="N261">
        <v>29.8856</v>
      </c>
      <c r="P261" t="s">
        <v>321</v>
      </c>
      <c r="Q261">
        <v>29.9054</v>
      </c>
      <c r="S261" t="s">
        <v>321</v>
      </c>
      <c r="T261">
        <v>29.825700000000001</v>
      </c>
    </row>
    <row r="262" spans="7:20">
      <c r="G262" t="s">
        <v>322</v>
      </c>
      <c r="H262">
        <v>29.823899999999998</v>
      </c>
      <c r="J262" t="s">
        <v>322</v>
      </c>
      <c r="K262">
        <v>29.964600000000001</v>
      </c>
      <c r="M262" t="s">
        <v>322</v>
      </c>
      <c r="N262">
        <v>29.902100000000001</v>
      </c>
      <c r="P262" t="s">
        <v>322</v>
      </c>
      <c r="Q262">
        <v>29.9588</v>
      </c>
      <c r="S262" t="s">
        <v>322</v>
      </c>
      <c r="T262">
        <v>29.811900000000001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56A5-6996-4DE8-9540-785218D7FDA4}">
  <dimension ref="A1:G16"/>
  <sheetViews>
    <sheetView workbookViewId="0"/>
  </sheetViews>
  <sheetFormatPr baseColWidth="10" defaultRowHeight="12.75"/>
  <cols>
    <col min="1" max="7" width="12.140625" customWidth="1"/>
    <col min="8" max="8" width="11.42578125" customWidth="1"/>
  </cols>
  <sheetData>
    <row r="1" spans="1:7" ht="15">
      <c r="A1" t="s">
        <v>323</v>
      </c>
      <c r="B1" t="s">
        <v>1</v>
      </c>
      <c r="C1" t="s">
        <v>324</v>
      </c>
      <c r="D1" t="s">
        <v>325</v>
      </c>
      <c r="E1" t="s">
        <v>326</v>
      </c>
      <c r="F1" t="s">
        <v>327</v>
      </c>
      <c r="G1" t="s">
        <v>328</v>
      </c>
    </row>
    <row r="2" spans="1:7" ht="15">
      <c r="A2">
        <v>1</v>
      </c>
      <c r="B2">
        <f t="shared" ref="B2:B16" si="0">-465-300*$A2*$A2</f>
        <v>-765</v>
      </c>
      <c r="C2">
        <f t="shared" ref="C2:C16" si="1">-465-300*$A2*($A2-1)</f>
        <v>-465</v>
      </c>
      <c r="D2">
        <f t="shared" ref="D2:D16" si="2">-465-150*$A2*(2*$A2-1)</f>
        <v>-615</v>
      </c>
      <c r="E2">
        <f t="shared" ref="E2:E16" si="3">-465-150*$A2*$A2</f>
        <v>-615</v>
      </c>
      <c r="F2" s="1">
        <f t="shared" ref="F2:F16" si="4">C2/B2-1</f>
        <v>-0.39215686274509809</v>
      </c>
      <c r="G2" s="1">
        <f t="shared" ref="G2:G16" si="5">D2/B2-1</f>
        <v>-0.19607843137254899</v>
      </c>
    </row>
    <row r="3" spans="1:7" ht="15">
      <c r="A3">
        <f t="shared" ref="A3:A16" si="6">1+A2</f>
        <v>2</v>
      </c>
      <c r="B3">
        <f t="shared" si="0"/>
        <v>-1665</v>
      </c>
      <c r="C3">
        <f t="shared" si="1"/>
        <v>-1065</v>
      </c>
      <c r="D3">
        <f t="shared" si="2"/>
        <v>-1365</v>
      </c>
      <c r="E3">
        <f t="shared" si="3"/>
        <v>-1065</v>
      </c>
      <c r="F3" s="1">
        <f t="shared" si="4"/>
        <v>-0.36036036036036034</v>
      </c>
      <c r="G3" s="1">
        <f t="shared" si="5"/>
        <v>-0.18018018018018023</v>
      </c>
    </row>
    <row r="4" spans="1:7" ht="15">
      <c r="A4">
        <f t="shared" si="6"/>
        <v>3</v>
      </c>
      <c r="B4">
        <f t="shared" si="0"/>
        <v>-3165</v>
      </c>
      <c r="C4">
        <f t="shared" si="1"/>
        <v>-2265</v>
      </c>
      <c r="D4">
        <f t="shared" si="2"/>
        <v>-2715</v>
      </c>
      <c r="E4">
        <f t="shared" si="3"/>
        <v>-1815</v>
      </c>
      <c r="F4" s="1">
        <f t="shared" si="4"/>
        <v>-0.28436018957345977</v>
      </c>
      <c r="G4" s="1">
        <f t="shared" si="5"/>
        <v>-0.14218009478672988</v>
      </c>
    </row>
    <row r="5" spans="1:7" ht="15">
      <c r="A5">
        <f t="shared" si="6"/>
        <v>4</v>
      </c>
      <c r="B5">
        <f t="shared" si="0"/>
        <v>-5265</v>
      </c>
      <c r="C5">
        <f t="shared" si="1"/>
        <v>-4065</v>
      </c>
      <c r="D5">
        <f t="shared" si="2"/>
        <v>-4665</v>
      </c>
      <c r="E5">
        <f t="shared" si="3"/>
        <v>-2865</v>
      </c>
      <c r="F5" s="1">
        <f t="shared" si="4"/>
        <v>-0.22792022792022792</v>
      </c>
      <c r="G5" s="1">
        <f t="shared" si="5"/>
        <v>-0.11396011396011396</v>
      </c>
    </row>
    <row r="6" spans="1:7" ht="15">
      <c r="A6">
        <f t="shared" si="6"/>
        <v>5</v>
      </c>
      <c r="B6">
        <f t="shared" si="0"/>
        <v>-7965</v>
      </c>
      <c r="C6">
        <f t="shared" si="1"/>
        <v>-6465</v>
      </c>
      <c r="D6">
        <f t="shared" si="2"/>
        <v>-7215</v>
      </c>
      <c r="E6">
        <f t="shared" si="3"/>
        <v>-4215</v>
      </c>
      <c r="F6" s="1">
        <f t="shared" si="4"/>
        <v>-0.18832391713747643</v>
      </c>
      <c r="G6" s="1">
        <f t="shared" si="5"/>
        <v>-9.4161958568738213E-2</v>
      </c>
    </row>
    <row r="7" spans="1:7" ht="15">
      <c r="A7">
        <f t="shared" si="6"/>
        <v>6</v>
      </c>
      <c r="B7">
        <f t="shared" si="0"/>
        <v>-11265</v>
      </c>
      <c r="C7">
        <f t="shared" si="1"/>
        <v>-9465</v>
      </c>
      <c r="D7">
        <f t="shared" si="2"/>
        <v>-10365</v>
      </c>
      <c r="E7">
        <f t="shared" si="3"/>
        <v>-5865</v>
      </c>
      <c r="F7" s="1">
        <f t="shared" si="4"/>
        <v>-0.15978695073235683</v>
      </c>
      <c r="G7" s="1">
        <f t="shared" si="5"/>
        <v>-7.9893475366178413E-2</v>
      </c>
    </row>
    <row r="8" spans="1:7" ht="15">
      <c r="A8">
        <f t="shared" si="6"/>
        <v>7</v>
      </c>
      <c r="B8">
        <f t="shared" si="0"/>
        <v>-15165</v>
      </c>
      <c r="C8">
        <f t="shared" si="1"/>
        <v>-13065</v>
      </c>
      <c r="D8">
        <f t="shared" si="2"/>
        <v>-14115</v>
      </c>
      <c r="E8">
        <f t="shared" si="3"/>
        <v>-7815</v>
      </c>
      <c r="F8" s="1">
        <f t="shared" si="4"/>
        <v>-0.13847675568743822</v>
      </c>
      <c r="G8" s="1">
        <f t="shared" si="5"/>
        <v>-6.9238377843719112E-2</v>
      </c>
    </row>
    <row r="9" spans="1:7" ht="15">
      <c r="A9">
        <f t="shared" si="6"/>
        <v>8</v>
      </c>
      <c r="B9">
        <f t="shared" si="0"/>
        <v>-19665</v>
      </c>
      <c r="C9">
        <f t="shared" si="1"/>
        <v>-17265</v>
      </c>
      <c r="D9">
        <f t="shared" si="2"/>
        <v>-18465</v>
      </c>
      <c r="E9">
        <f t="shared" si="3"/>
        <v>-10065</v>
      </c>
      <c r="F9" s="1">
        <f t="shared" si="4"/>
        <v>-0.1220442410373761</v>
      </c>
      <c r="G9" s="1">
        <f t="shared" si="5"/>
        <v>-6.102212051868805E-2</v>
      </c>
    </row>
    <row r="10" spans="1:7" ht="15">
      <c r="A10">
        <f t="shared" si="6"/>
        <v>9</v>
      </c>
      <c r="B10">
        <f t="shared" si="0"/>
        <v>-24765</v>
      </c>
      <c r="C10">
        <f t="shared" si="1"/>
        <v>-22065</v>
      </c>
      <c r="D10">
        <f t="shared" si="2"/>
        <v>-23415</v>
      </c>
      <c r="E10">
        <f t="shared" si="3"/>
        <v>-12615</v>
      </c>
      <c r="F10" s="1">
        <f t="shared" si="4"/>
        <v>-0.10902483343428226</v>
      </c>
      <c r="G10" s="1">
        <f t="shared" si="5"/>
        <v>-5.4512416717141132E-2</v>
      </c>
    </row>
    <row r="11" spans="1:7" ht="15">
      <c r="A11">
        <f t="shared" si="6"/>
        <v>10</v>
      </c>
      <c r="B11">
        <f t="shared" si="0"/>
        <v>-30465</v>
      </c>
      <c r="C11">
        <f t="shared" si="1"/>
        <v>-27465</v>
      </c>
      <c r="D11">
        <f t="shared" si="2"/>
        <v>-28965</v>
      </c>
      <c r="E11">
        <f t="shared" si="3"/>
        <v>-15465</v>
      </c>
      <c r="F11" s="1">
        <f t="shared" si="4"/>
        <v>-9.8473658296405753E-2</v>
      </c>
      <c r="G11" s="1">
        <f t="shared" si="5"/>
        <v>-4.9236829148202821E-2</v>
      </c>
    </row>
    <row r="12" spans="1:7" ht="15">
      <c r="A12">
        <f t="shared" si="6"/>
        <v>11</v>
      </c>
      <c r="B12">
        <f t="shared" si="0"/>
        <v>-36765</v>
      </c>
      <c r="C12">
        <f t="shared" si="1"/>
        <v>-33465</v>
      </c>
      <c r="D12">
        <f t="shared" si="2"/>
        <v>-35115</v>
      </c>
      <c r="E12">
        <f t="shared" si="3"/>
        <v>-18615</v>
      </c>
      <c r="F12" s="1">
        <f t="shared" si="4"/>
        <v>-8.9759281925744561E-2</v>
      </c>
      <c r="G12" s="1">
        <f t="shared" si="5"/>
        <v>-4.4879640962872336E-2</v>
      </c>
    </row>
    <row r="13" spans="1:7" ht="15">
      <c r="A13">
        <f t="shared" si="6"/>
        <v>12</v>
      </c>
      <c r="B13">
        <f t="shared" si="0"/>
        <v>-43665</v>
      </c>
      <c r="C13">
        <f t="shared" si="1"/>
        <v>-40065</v>
      </c>
      <c r="D13">
        <f t="shared" si="2"/>
        <v>-41865</v>
      </c>
      <c r="E13">
        <f t="shared" si="3"/>
        <v>-22065</v>
      </c>
      <c r="F13" s="1">
        <f t="shared" si="4"/>
        <v>-8.2445894881484016E-2</v>
      </c>
      <c r="G13" s="1">
        <f t="shared" si="5"/>
        <v>-4.1222947440742064E-2</v>
      </c>
    </row>
    <row r="14" spans="1:7" ht="15">
      <c r="A14">
        <f t="shared" si="6"/>
        <v>13</v>
      </c>
      <c r="B14">
        <f t="shared" si="0"/>
        <v>-51165</v>
      </c>
      <c r="C14">
        <f t="shared" si="1"/>
        <v>-47265</v>
      </c>
      <c r="D14">
        <f t="shared" si="2"/>
        <v>-49215</v>
      </c>
      <c r="E14">
        <f t="shared" si="3"/>
        <v>-25815</v>
      </c>
      <c r="F14" s="1">
        <f t="shared" si="4"/>
        <v>-7.6223981237173888E-2</v>
      </c>
      <c r="G14" s="1">
        <f t="shared" si="5"/>
        <v>-3.8111990618586944E-2</v>
      </c>
    </row>
    <row r="15" spans="1:7" ht="15">
      <c r="A15">
        <f t="shared" si="6"/>
        <v>14</v>
      </c>
      <c r="B15">
        <f t="shared" si="0"/>
        <v>-59265</v>
      </c>
      <c r="C15">
        <f t="shared" si="1"/>
        <v>-55065</v>
      </c>
      <c r="D15">
        <f t="shared" si="2"/>
        <v>-57165</v>
      </c>
      <c r="E15">
        <f t="shared" si="3"/>
        <v>-29865</v>
      </c>
      <c r="F15" s="1">
        <f t="shared" si="4"/>
        <v>-7.086813464945585E-2</v>
      </c>
      <c r="G15" s="1">
        <f t="shared" si="5"/>
        <v>-3.5434067324727869E-2</v>
      </c>
    </row>
    <row r="16" spans="1:7" ht="15">
      <c r="A16">
        <f t="shared" si="6"/>
        <v>15</v>
      </c>
      <c r="B16">
        <f t="shared" si="0"/>
        <v>-67965</v>
      </c>
      <c r="C16">
        <f t="shared" si="1"/>
        <v>-63465</v>
      </c>
      <c r="D16">
        <f t="shared" si="2"/>
        <v>-65715</v>
      </c>
      <c r="E16">
        <f t="shared" si="3"/>
        <v>-34215</v>
      </c>
      <c r="F16" s="1">
        <f t="shared" si="4"/>
        <v>-6.6210549547561226E-2</v>
      </c>
      <c r="G16" s="1">
        <f t="shared" si="5"/>
        <v>-3.3105274773780669E-2</v>
      </c>
    </row>
  </sheetData>
  <pageMargins left="0" right="0" top="0.39370078740157505" bottom="0.39370078740157505" header="0" footer="0"/>
  <headerFooter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11</vt:i4>
      </vt:variant>
      <vt:variant>
        <vt:lpstr>Benannte Bereiche</vt:lpstr>
      </vt:variant>
      <vt:variant>
        <vt:i4>10</vt:i4>
      </vt:variant>
    </vt:vector>
  </HeadingPairs>
  <TitlesOfParts>
    <vt:vector size="21" baseType="lpstr">
      <vt:lpstr>depth_stats_ltc_new</vt:lpstr>
      <vt:lpstr>depth_stats_stc_new</vt:lpstr>
      <vt:lpstr>depth_stats_ltc</vt:lpstr>
      <vt:lpstr>depth_stats_stc</vt:lpstr>
      <vt:lpstr>Tabelle4</vt:lpstr>
      <vt:lpstr>Tabelle1</vt:lpstr>
      <vt:lpstr>allnode</vt:lpstr>
      <vt:lpstr>!pvnode</vt:lpstr>
      <vt:lpstr>Tabelle5</vt:lpstr>
      <vt:lpstr>Tabelle6</vt:lpstr>
      <vt:lpstr>Tabelle7</vt:lpstr>
      <vt:lpstr>Tabelle4!Verbindung1</vt:lpstr>
      <vt:lpstr>Tabelle4!Verbindung2</vt:lpstr>
      <vt:lpstr>Tabelle6!Verbindung2</vt:lpstr>
      <vt:lpstr>Tabelle6!Verbindung3</vt:lpstr>
      <vt:lpstr>Tabelle6!Verbindung4</vt:lpstr>
      <vt:lpstr>Tabelle6!Verbindung5</vt:lpstr>
      <vt:lpstr>Tabelle6!Verbindung6</vt:lpstr>
      <vt:lpstr>Tabelle6!Verbindung7</vt:lpstr>
      <vt:lpstr>Tabelle6!Verbindung8</vt:lpstr>
      <vt:lpstr>Tabelle6!Verbindung9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Stefan Geschwentner - code'n'ground AG</cp:lastModifiedBy>
  <cp:revision>114</cp:revision>
  <dcterms:created xsi:type="dcterms:W3CDTF">2026-06-21T01:23:42Z</dcterms:created>
  <dcterms:modified xsi:type="dcterms:W3CDTF">2026-07-20T20:55:12Z</dcterms:modified>
</cp:coreProperties>
</file>