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olors12.xml" ContentType="application/vnd.ms-office.chartcolorstyle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1.xml" ContentType="application/vnd.ms-office.chartcolorstyle+xml"/>
  <Override PartName="/xl/charts/style1.xml" ContentType="application/vnd.ms-office.chartstyle+xml"/>
  <Override PartName="/xl/charts/chart3.xml" ContentType="application/vnd.openxmlformats-officedocument.drawingml.chart+xml"/>
  <Override PartName="/xl/charts/colors10.xml" ContentType="application/vnd.ms-office.chartcolorstyle+xml"/>
  <Override PartName="/xl/charts/colors1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14.xml" ContentType="application/vnd.ms-office.chartcolorstyle+xml"/>
  <Override PartName="/xl/charts/colors5.xml" ContentType="application/vnd.ms-office.chartcolorstyle+xml"/>
  <Override PartName="/xl/charts/style4.xml" ContentType="application/vnd.ms-office.chartstyle+xml"/>
  <Override PartName="/xl/charts/colors1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7.xml" ContentType="application/vnd.ms-office.chartcolorstyle+xml"/>
  <Override PartName="/xl/charts/style6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9.xml" ContentType="application/vnd.ms-office.chartcolorstyle+xml"/>
  <Override PartName="/xl/charts/style8.xml" ContentType="application/vnd.ms-office.chartstyle+xml"/>
  <Override PartName="/xl/charts/style9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hart10.xml" ContentType="application/vnd.openxmlformats-officedocument.drawingml.chart+xml"/>
  <Override PartName="/xl/charts/style10.xml" ContentType="application/vnd.ms-office.chartstyle+xml"/>
  <Override PartName="/xl/charts/style12.xml" ContentType="application/vnd.ms-office.chartstyle+xml"/>
  <Override PartName="/xl/charts/chart11.xml" ContentType="application/vnd.openxmlformats-officedocument.drawingml.chart+xml"/>
  <Override PartName="/xl/charts/style13.xml" ContentType="application/vnd.ms-office.chartstyle+xml"/>
  <Override PartName="/xl/charts/chart12.xml" ContentType="application/vnd.openxmlformats-officedocument.drawingml.chart+xml"/>
  <Override PartName="/xl/charts/style14.xml" ContentType="application/vnd.ms-office.chartstyle+xml"/>
  <Override PartName="/xl/charts/chart13.xml" ContentType="application/vnd.openxmlformats-officedocument.drawingml.chart+xml"/>
  <Override PartName="/xl/charts/style15.xml" ContentType="application/vnd.ms-office.chartstyle+xml"/>
  <Override PartName="/xl/charts/chart14.xml" ContentType="application/vnd.openxmlformats-officedocument.drawingml.chart+xml"/>
  <Override PartName="/xl/charts/chart15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pth_stats_ltc_new" sheetId="1" state="visible" r:id="rId3"/>
    <sheet name="depth_stats_stc_new" sheetId="2" state="visible" r:id="rId4"/>
    <sheet name="depth_stats_ltc" sheetId="3" state="visible" r:id="rId5"/>
    <sheet name="depth_stats_stc" sheetId="4" state="visible" r:id="rId6"/>
    <sheet name="Tabelle4" sheetId="5" state="visible" r:id="rId7"/>
    <sheet name="Tabelle1" sheetId="6" state="visible" r:id="rId8"/>
    <sheet name="allnode" sheetId="7" state="visible" r:id="rId9"/>
    <sheet name="!pvnode" sheetId="8" state="visible" r:id="rId10"/>
    <sheet name="Tabelle5" sheetId="9" state="visible" r:id="rId11"/>
    <sheet name="Tabelle6" sheetId="10" state="visible" r:id="rId12"/>
    <sheet name="Tabelle7" sheetId="11" state="visible" r:id="rId13"/>
  </sheets>
  <definedNames>
    <definedName function="false" hidden="false" localSheetId="4" name="Verbindung1" vbProcedure="false">Tabelle4!$B$2:$C$202</definedName>
    <definedName function="false" hidden="false" localSheetId="4" name="Verbindung2" vbProcedure="false">Tabelle4!$B$2:$C$202</definedName>
    <definedName function="false" hidden="false" localSheetId="9" name="Verbindung2" vbProcedure="false">Tabelle6!$A$2:$B$244</definedName>
    <definedName function="false" hidden="false" localSheetId="9" name="Verbindung3" vbProcedure="false">Tabelle6!$A$2:$B$244</definedName>
    <definedName function="false" hidden="false" localSheetId="9" name="Verbindung4" vbProcedure="false">Tabelle6!$D$2:$E$244</definedName>
    <definedName function="false" hidden="false" localSheetId="9" name="Verbindung5" vbProcedure="false">Tabelle6!$G$2:$H$262</definedName>
    <definedName function="false" hidden="false" localSheetId="9" name="Verbindung6" vbProcedure="false">Tabelle6!$J$2:$K$262</definedName>
    <definedName function="false" hidden="false" localSheetId="9" name="Verbindung7" vbProcedure="false">Tabelle6!$M$2:$N$262</definedName>
    <definedName function="false" hidden="false" localSheetId="9" name="Verbindung8" vbProcedure="false">Tabelle6!$P$2:$Q$262</definedName>
    <definedName function="false" hidden="false" localSheetId="9" name="Verbindung9" vbProcedure="false">Tabelle6!$S$2:$T$262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00-0000-0000-000000000000}" keepAlive="0" interval="0" name="Verbindung1" type="4" reconnectionMethod="1" refreshedVersion="3" minRefreshableVersion="0" savePassword="0" new="0" deleted="0" onlyUseConnectionFile="0" background="1" refreshOnLoad="0" saveData="1">
    <webPr xml="0" sourceData="1" parsePre="1" consecutive="1" firstRow="0" xl97="0" textDates="0" xl2000="1" htmlTables="1" url="file://wsl.localhost/Ubuntu-24.04/home/toor/git/Stockfish/src/b.txt">
      <tables count="1">
        <s v="CSV_all"/>
      </tables>
    </webPr>
  </connection>
  <connection id="2" xr16:uid="{00000000-0000-0000-0000-000000000000}" keepAlive="0" interval="0" name="Verbindung2" type="4" reconnectionMethod="1" refreshedVersion="3" minRefreshableVersion="0" savePassword="0" new="0" deleted="0" onlyUseConnectionFile="0" background="1" refreshOnLoad="0" saveData="1">
    <webPr xml="0" sourceData="1" parsePre="1" consecutive="1" firstRow="0" xl97="0" textDates="0" xl2000="1" htmlTables="1" url="file://wsl.localhost/Ubuntu-24.04/home/toor/git/Stockfish/src/b.txt">
      <tables count="1">
        <s v="CSV_all"/>
      </tables>
    </webPr>
  </connection>
  <connection id="3" xr16:uid="{00000000-0000-0000-0000-000000000000}" keepAlive="0" interval="0" name="Verbindung3" type="4" reconnectionMethod="1" refreshedVersion="3" minRefreshableVersion="0" savePassword="0" new="0" deleted="0" onlyUseConnectionFile="0" background="1" refreshOnLoad="0" saveData="1">
    <webPr xml="0" sourceData="1" parsePre="1" consecutive="1" firstRow="0" xl97="0" textDates="0" xl2000="1" htmlTables="1" url="file://wsl.localhost/Ubuntu-24.04/home/toor/git/Stockfish/src/b1.txt">
      <tables count="1">
        <s v="CSV_all"/>
      </tables>
    </webPr>
  </connection>
  <connection id="4" xr16:uid="{00000000-0000-0000-0000-000000000000}" keepAlive="0" interval="0" name="Verbindung4" type="4" reconnectionMethod="1" refreshedVersion="3" minRefreshableVersion="0" savePassword="0" new="0" deleted="0" onlyUseConnectionFile="0" background="1" refreshOnLoad="0" saveData="1">
    <webPr xml="0" sourceData="1" parsePre="1" consecutive="1" firstRow="0" xl97="0" textDates="0" xl2000="1" htmlTables="1" url="file://wsl.localhost/Ubuntu-24.04/home/toor/git/Stockfish/src/b2.txt">
      <tables count="1">
        <s v="CSV_all"/>
      </tables>
    </webPr>
  </connection>
  <connection id="5" xr16:uid="{00000000-0000-0000-0000-000000000000}" keepAlive="0" interval="0" name="Verbindung5" type="4" reconnectionMethod="1" refreshedVersion="3" minRefreshableVersion="0" savePassword="0" new="0" deleted="0" onlyUseConnectionFile="0" background="1" refreshOnLoad="0" saveData="1">
    <webPr xml="0" sourceData="1" parsePre="1" consecutive="1" firstRow="0" xl97="0" textDates="0" xl2000="1" htmlTables="1" url="file://wsl.localhost/Ubuntu-24.04/home/toor/git/Stockfish/src/b3.txt">
      <tables count="1">
        <s v="CSV_all"/>
      </tables>
    </webPr>
  </connection>
  <connection id="6" xr16:uid="{00000000-0000-0000-0000-000000000000}" keepAlive="0" interval="0" name="Verbindung6" type="4" reconnectionMethod="1" refreshedVersion="3" minRefreshableVersion="0" savePassword="0" new="0" deleted="0" onlyUseConnectionFile="0" background="1" refreshOnLoad="0" saveData="1">
    <webPr xml="0" sourceData="1" parsePre="1" consecutive="1" firstRow="0" xl97="0" textDates="0" xl2000="1" htmlTables="1" url="file://wsl.localhost/Ubuntu-24.04/home/toor/git/Stockfish/src/b4.txt">
      <tables count="1">
        <s v="CSV_all"/>
      </tables>
    </webPr>
  </connection>
  <connection id="7" xr16:uid="{00000000-0000-0000-0000-000000000000}" keepAlive="0" interval="0" name="Verbindung7" type="4" reconnectionMethod="1" refreshedVersion="3" minRefreshableVersion="0" savePassword="0" new="0" deleted="0" onlyUseConnectionFile="0" background="1" refreshOnLoad="0" saveData="1">
    <webPr xml="0" sourceData="1" parsePre="1" consecutive="1" firstRow="0" xl97="0" textDates="0" xl2000="1" htmlTables="1" url="file://wsl.localhost/Ubuntu-24.04/home/toor/git/Stockfish/src/b5.txt">
      <tables count="1">
        <s v="CSV_all"/>
      </tables>
    </webPr>
  </connection>
  <connection id="8" xr16:uid="{00000000-0000-0000-0000-000000000000}" keepAlive="0" interval="0" name="Verbindung8" type="4" reconnectionMethod="1" refreshedVersion="3" minRefreshableVersion="0" savePassword="0" new="0" deleted="0" onlyUseConnectionFile="0" background="1" refreshOnLoad="0" saveData="1">
    <webPr xml="0" sourceData="1" parsePre="1" consecutive="1" firstRow="0" xl97="0" textDates="0" xl2000="1" htmlTables="1" url="file://wsl.localhost/Ubuntu-24.04/home/toor/git/Stockfish/src/b6.txt">
      <tables count="1">
        <s v="CSV_all"/>
      </tables>
    </webPr>
  </connection>
</connections>
</file>

<file path=xl/sharedStrings.xml><?xml version="1.0" encoding="utf-8"?>
<sst xmlns="http://schemas.openxmlformats.org/spreadsheetml/2006/main" count="1934" uniqueCount="342">
  <si>
    <t xml:space="preserve">depth</t>
  </si>
  <si>
    <t xml:space="preserve">master(3pp-net)</t>
  </si>
  <si>
    <t xml:space="preserve">master_old</t>
  </si>
  <si>
    <t xml:space="preserve">n%(w+6)</t>
  </si>
  <si>
    <t xml:space="preserve">n%(w+4)</t>
  </si>
  <si>
    <t xml:space="preserve">n%(w+5)</t>
  </si>
  <si>
    <t xml:space="preserve">n%(w+8)</t>
  </si>
  <si>
    <t xml:space="preserve">n%(w+16)</t>
  </si>
  <si>
    <t xml:space="preserve">n%(w+10)</t>
  </si>
  <si>
    <t xml:space="preserve">n%(razor+64pc)</t>
  </si>
  <si>
    <t xml:space="preserve">n%(razor+128pc)</t>
  </si>
  <si>
    <t xml:space="preserve">n%(w-d)</t>
  </si>
  <si>
    <t xml:space="preserve">n%(w+28m)</t>
  </si>
  <si>
    <t xml:space="preserve">n%(w-2d)</t>
  </si>
  <si>
    <t xml:space="preserve">master</t>
  </si>
  <si>
    <t xml:space="preserve">n%(r+653)</t>
  </si>
  <si>
    <t xml:space="preserve">n%(+128)</t>
  </si>
  <si>
    <t xml:space="preserve">V</t>
  </si>
  <si>
    <t xml:space="preserve">n</t>
  </si>
  <si>
    <t xml:space="preserve">fh%</t>
  </si>
  <si>
    <t xml:space="preserve">n%</t>
  </si>
  <si>
    <t xml:space="preserve">cum_n%</t>
  </si>
  <si>
    <t xml:space="preserve">Die Verknüpfung konnte nicht aktualisiert werden.</t>
  </si>
  <si>
    <t xml:space="preserve">#70:</t>
  </si>
  <si>
    <t xml:space="preserve">PF</t>
  </si>
  <si>
    <t xml:space="preserve">#50:</t>
  </si>
  <si>
    <t xml:space="preserve">#10:</t>
  </si>
  <si>
    <t xml:space="preserve">#150:</t>
  </si>
  <si>
    <t xml:space="preserve">#100:</t>
  </si>
  <si>
    <t xml:space="preserve">#190:</t>
  </si>
  <si>
    <t xml:space="preserve">#260:</t>
  </si>
  <si>
    <t xml:space="preserve">#240:</t>
  </si>
  <si>
    <t xml:space="preserve">#170:</t>
  </si>
  <si>
    <t xml:space="preserve">#220:</t>
  </si>
  <si>
    <t xml:space="preserve">#40:</t>
  </si>
  <si>
    <t xml:space="preserve">#120:</t>
  </si>
  <si>
    <t xml:space="preserve">#0:</t>
  </si>
  <si>
    <t xml:space="preserve">#140:</t>
  </si>
  <si>
    <t xml:space="preserve">#180:</t>
  </si>
  <si>
    <t xml:space="preserve">#160:</t>
  </si>
  <si>
    <t xml:space="preserve">#30:</t>
  </si>
  <si>
    <t xml:space="preserve">#110:</t>
  </si>
  <si>
    <t xml:space="preserve">#60:</t>
  </si>
  <si>
    <t xml:space="preserve">#230:</t>
  </si>
  <si>
    <t xml:space="preserve">#250:</t>
  </si>
  <si>
    <t xml:space="preserve">#200:</t>
  </si>
  <si>
    <t xml:space="preserve">#20:</t>
  </si>
  <si>
    <t xml:space="preserve">#210:</t>
  </si>
  <si>
    <t xml:space="preserve">#80:</t>
  </si>
  <si>
    <t xml:space="preserve">#90:</t>
  </si>
  <si>
    <t xml:space="preserve">#1:</t>
  </si>
  <si>
    <t xml:space="preserve">#11:</t>
  </si>
  <si>
    <t xml:space="preserve">#21:</t>
  </si>
  <si>
    <t xml:space="preserve">#31:</t>
  </si>
  <si>
    <t xml:space="preserve">#41:</t>
  </si>
  <si>
    <t xml:space="preserve">#51:</t>
  </si>
  <si>
    <t xml:space="preserve">#61:</t>
  </si>
  <si>
    <t xml:space="preserve">#71:</t>
  </si>
  <si>
    <t xml:space="preserve">#81:</t>
  </si>
  <si>
    <t xml:space="preserve">#91:</t>
  </si>
  <si>
    <t xml:space="preserve">#101:</t>
  </si>
  <si>
    <t xml:space="preserve">#111:</t>
  </si>
  <si>
    <t xml:space="preserve">#121:</t>
  </si>
  <si>
    <t xml:space="preserve">#141:</t>
  </si>
  <si>
    <t xml:space="preserve">#151:</t>
  </si>
  <si>
    <t xml:space="preserve">#161:</t>
  </si>
  <si>
    <t xml:space="preserve">#171:</t>
  </si>
  <si>
    <t xml:space="preserve">#181:</t>
  </si>
  <si>
    <t xml:space="preserve">#191:</t>
  </si>
  <si>
    <t xml:space="preserve">#201:</t>
  </si>
  <si>
    <t xml:space="preserve">#211:</t>
  </si>
  <si>
    <t xml:space="preserve">#221:</t>
  </si>
  <si>
    <t xml:space="preserve">#231:</t>
  </si>
  <si>
    <t xml:space="preserve">#241:</t>
  </si>
  <si>
    <t xml:space="preserve">#251:</t>
  </si>
  <si>
    <t xml:space="preserve">#261:</t>
  </si>
  <si>
    <t xml:space="preserve">A=1</t>
  </si>
  <si>
    <t xml:space="preserve">A=2</t>
  </si>
  <si>
    <t xml:space="preserve">A=4</t>
  </si>
  <si>
    <t xml:space="preserve">A=5</t>
  </si>
  <si>
    <t xml:space="preserve">A=7</t>
  </si>
  <si>
    <t xml:space="preserve">A=8</t>
  </si>
  <si>
    <t xml:space="preserve">condition</t>
  </si>
  <si>
    <t xml:space="preserve">26</t>
  </si>
  <si>
    <t xml:space="preserve">2861</t>
  </si>
  <si>
    <t xml:space="preserve">#12:</t>
  </si>
  <si>
    <t xml:space="preserve">#13:</t>
  </si>
  <si>
    <t xml:space="preserve">#14:</t>
  </si>
  <si>
    <t xml:space="preserve">#15:</t>
  </si>
  <si>
    <t xml:space="preserve">#16:</t>
  </si>
  <si>
    <t xml:space="preserve">#17:</t>
  </si>
  <si>
    <t xml:space="preserve">#18:</t>
  </si>
  <si>
    <t xml:space="preserve">#102:</t>
  </si>
  <si>
    <t xml:space="preserve">#103:</t>
  </si>
  <si>
    <t xml:space="preserve">#104:</t>
  </si>
  <si>
    <t xml:space="preserve">#105:</t>
  </si>
  <si>
    <t xml:space="preserve">#106:</t>
  </si>
  <si>
    <t xml:space="preserve">#107:</t>
  </si>
  <si>
    <t xml:space="preserve">#108:</t>
  </si>
  <si>
    <t xml:space="preserve">#112:</t>
  </si>
  <si>
    <t xml:space="preserve">#113:</t>
  </si>
  <si>
    <t xml:space="preserve">#114:</t>
  </si>
  <si>
    <t xml:space="preserve">#115:</t>
  </si>
  <si>
    <t xml:space="preserve">#116:</t>
  </si>
  <si>
    <t xml:space="preserve">#117:</t>
  </si>
  <si>
    <t xml:space="preserve">#118:</t>
  </si>
  <si>
    <t xml:space="preserve">#202:</t>
  </si>
  <si>
    <t xml:space="preserve">#203:</t>
  </si>
  <si>
    <t xml:space="preserve">#204:</t>
  </si>
  <si>
    <t xml:space="preserve">#205:</t>
  </si>
  <si>
    <t xml:space="preserve">#206:</t>
  </si>
  <si>
    <t xml:space="preserve">#207:</t>
  </si>
  <si>
    <t xml:space="preserve">#208:</t>
  </si>
  <si>
    <t xml:space="preserve">#212:</t>
  </si>
  <si>
    <t xml:space="preserve">#213:</t>
  </si>
  <si>
    <t xml:space="preserve">#214:</t>
  </si>
  <si>
    <t xml:space="preserve">#215:</t>
  </si>
  <si>
    <t xml:space="preserve">#216:</t>
  </si>
  <si>
    <t xml:space="preserve">#217:</t>
  </si>
  <si>
    <t xml:space="preserve">#218:</t>
  </si>
  <si>
    <t xml:space="preserve">#300:</t>
  </si>
  <si>
    <t xml:space="preserve">#301:</t>
  </si>
  <si>
    <t xml:space="preserve">#302:</t>
  </si>
  <si>
    <t xml:space="preserve">#303:</t>
  </si>
  <si>
    <t xml:space="preserve">#304:</t>
  </si>
  <si>
    <t xml:space="preserve">#305:</t>
  </si>
  <si>
    <t xml:space="preserve">#306:</t>
  </si>
  <si>
    <t xml:space="preserve">#307:</t>
  </si>
  <si>
    <t xml:space="preserve">#308:</t>
  </si>
  <si>
    <t xml:space="preserve">#310:</t>
  </si>
  <si>
    <t xml:space="preserve">#311:</t>
  </si>
  <si>
    <t xml:space="preserve">#312:</t>
  </si>
  <si>
    <t xml:space="preserve">#313:</t>
  </si>
  <si>
    <t xml:space="preserve">#314:</t>
  </si>
  <si>
    <t xml:space="preserve">#315:</t>
  </si>
  <si>
    <t xml:space="preserve">#316:</t>
  </si>
  <si>
    <t xml:space="preserve">#317:</t>
  </si>
  <si>
    <t xml:space="preserve">#318:</t>
  </si>
  <si>
    <t xml:space="preserve">#400:</t>
  </si>
  <si>
    <t xml:space="preserve">#401:</t>
  </si>
  <si>
    <t xml:space="preserve">#402:</t>
  </si>
  <si>
    <t xml:space="preserve">#403:</t>
  </si>
  <si>
    <t xml:space="preserve">#404:</t>
  </si>
  <si>
    <t xml:space="preserve">#405:</t>
  </si>
  <si>
    <t xml:space="preserve">#406:</t>
  </si>
  <si>
    <t xml:space="preserve">#407:</t>
  </si>
  <si>
    <t xml:space="preserve">#408:</t>
  </si>
  <si>
    <t xml:space="preserve">#410:</t>
  </si>
  <si>
    <t xml:space="preserve">#411:</t>
  </si>
  <si>
    <t xml:space="preserve">#412:</t>
  </si>
  <si>
    <t xml:space="preserve">#413:</t>
  </si>
  <si>
    <t xml:space="preserve">#414:</t>
  </si>
  <si>
    <t xml:space="preserve">#415:</t>
  </si>
  <si>
    <t xml:space="preserve">#416:</t>
  </si>
  <si>
    <t xml:space="preserve">#417:</t>
  </si>
  <si>
    <t xml:space="preserve">#418:</t>
  </si>
  <si>
    <t xml:space="preserve">#500:</t>
  </si>
  <si>
    <t xml:space="preserve">#501:</t>
  </si>
  <si>
    <t xml:space="preserve">#502:</t>
  </si>
  <si>
    <t xml:space="preserve">#503:</t>
  </si>
  <si>
    <t xml:space="preserve">#504:</t>
  </si>
  <si>
    <t xml:space="preserve">#505:</t>
  </si>
  <si>
    <t xml:space="preserve">#506:</t>
  </si>
  <si>
    <t xml:space="preserve">#507:</t>
  </si>
  <si>
    <t xml:space="preserve">#508:</t>
  </si>
  <si>
    <t xml:space="preserve">#510:</t>
  </si>
  <si>
    <t xml:space="preserve">#511:</t>
  </si>
  <si>
    <t xml:space="preserve">#512:</t>
  </si>
  <si>
    <t xml:space="preserve">#513:</t>
  </si>
  <si>
    <t xml:space="preserve">#514:</t>
  </si>
  <si>
    <t xml:space="preserve">#515:</t>
  </si>
  <si>
    <t xml:space="preserve">#516:</t>
  </si>
  <si>
    <t xml:space="preserve">#517:</t>
  </si>
  <si>
    <t xml:space="preserve">#518:</t>
  </si>
  <si>
    <t xml:space="preserve">#600:</t>
  </si>
  <si>
    <t xml:space="preserve">#601:</t>
  </si>
  <si>
    <t xml:space="preserve">#602:</t>
  </si>
  <si>
    <t xml:space="preserve">#603:</t>
  </si>
  <si>
    <t xml:space="preserve">#604:</t>
  </si>
  <si>
    <t xml:space="preserve">#605:</t>
  </si>
  <si>
    <t xml:space="preserve">#606:</t>
  </si>
  <si>
    <t xml:space="preserve">#607:</t>
  </si>
  <si>
    <t xml:space="preserve">#608:</t>
  </si>
  <si>
    <t xml:space="preserve">#610:</t>
  </si>
  <si>
    <t xml:space="preserve">#611:</t>
  </si>
  <si>
    <t xml:space="preserve">#612:</t>
  </si>
  <si>
    <t xml:space="preserve">#613:</t>
  </si>
  <si>
    <t xml:space="preserve">#614:</t>
  </si>
  <si>
    <t xml:space="preserve">#615:</t>
  </si>
  <si>
    <t xml:space="preserve">#616:</t>
  </si>
  <si>
    <t xml:space="preserve">#617:</t>
  </si>
  <si>
    <t xml:space="preserve">#618:</t>
  </si>
  <si>
    <t xml:space="preserve">#700:</t>
  </si>
  <si>
    <t xml:space="preserve">#701:</t>
  </si>
  <si>
    <t xml:space="preserve">#702:</t>
  </si>
  <si>
    <t xml:space="preserve">#703:</t>
  </si>
  <si>
    <t xml:space="preserve">#704:</t>
  </si>
  <si>
    <t xml:space="preserve">#705:</t>
  </si>
  <si>
    <t xml:space="preserve">#706:</t>
  </si>
  <si>
    <t xml:space="preserve">#707:</t>
  </si>
  <si>
    <t xml:space="preserve">#708:</t>
  </si>
  <si>
    <t xml:space="preserve">#710:</t>
  </si>
  <si>
    <t xml:space="preserve">#711:</t>
  </si>
  <si>
    <t xml:space="preserve">#712:</t>
  </si>
  <si>
    <t xml:space="preserve">#713:</t>
  </si>
  <si>
    <t xml:space="preserve">#714:</t>
  </si>
  <si>
    <t xml:space="preserve">#715:</t>
  </si>
  <si>
    <t xml:space="preserve">#716:</t>
  </si>
  <si>
    <t xml:space="preserve">#717:</t>
  </si>
  <si>
    <t xml:space="preserve">#718:</t>
  </si>
  <si>
    <t xml:space="preserve">#800:</t>
  </si>
  <si>
    <t xml:space="preserve">#801:</t>
  </si>
  <si>
    <t xml:space="preserve">#802:</t>
  </si>
  <si>
    <t xml:space="preserve">#803:</t>
  </si>
  <si>
    <t xml:space="preserve">#804:</t>
  </si>
  <si>
    <t xml:space="preserve">#805:</t>
  </si>
  <si>
    <t xml:space="preserve">#806:</t>
  </si>
  <si>
    <t xml:space="preserve">#807:</t>
  </si>
  <si>
    <t xml:space="preserve">#808:</t>
  </si>
  <si>
    <t xml:space="preserve">#810:</t>
  </si>
  <si>
    <t xml:space="preserve">#811:</t>
  </si>
  <si>
    <t xml:space="preserve">#812:</t>
  </si>
  <si>
    <t xml:space="preserve">#813:</t>
  </si>
  <si>
    <t xml:space="preserve">#814:</t>
  </si>
  <si>
    <t xml:space="preserve">#815:</t>
  </si>
  <si>
    <t xml:space="preserve">#816:</t>
  </si>
  <si>
    <t xml:space="preserve">#817:</t>
  </si>
  <si>
    <t xml:space="preserve">#818:</t>
  </si>
  <si>
    <t xml:space="preserve">#900:</t>
  </si>
  <si>
    <t xml:space="preserve">#901:</t>
  </si>
  <si>
    <t xml:space="preserve">#902:</t>
  </si>
  <si>
    <t xml:space="preserve">#903:</t>
  </si>
  <si>
    <t xml:space="preserve">#904:</t>
  </si>
  <si>
    <t xml:space="preserve">#905:</t>
  </si>
  <si>
    <t xml:space="preserve">#906:</t>
  </si>
  <si>
    <t xml:space="preserve">#907:</t>
  </si>
  <si>
    <t xml:space="preserve">#908:</t>
  </si>
  <si>
    <t xml:space="preserve">#910:</t>
  </si>
  <si>
    <t xml:space="preserve">#911:</t>
  </si>
  <si>
    <t xml:space="preserve">#912:</t>
  </si>
  <si>
    <t xml:space="preserve">#913:</t>
  </si>
  <si>
    <t xml:space="preserve">#914:</t>
  </si>
  <si>
    <t xml:space="preserve">#915:</t>
  </si>
  <si>
    <t xml:space="preserve">#916:</t>
  </si>
  <si>
    <t xml:space="preserve">#917:</t>
  </si>
  <si>
    <t xml:space="preserve">#918:</t>
  </si>
  <si>
    <t xml:space="preserve">#1000:</t>
  </si>
  <si>
    <t xml:space="preserve">#1001:</t>
  </si>
  <si>
    <t xml:space="preserve">#1002:</t>
  </si>
  <si>
    <t xml:space="preserve">#1003:</t>
  </si>
  <si>
    <t xml:space="preserve">#1004:</t>
  </si>
  <si>
    <t xml:space="preserve">#1005:</t>
  </si>
  <si>
    <t xml:space="preserve">#1006:</t>
  </si>
  <si>
    <t xml:space="preserve">#1007:</t>
  </si>
  <si>
    <t xml:space="preserve">#1008:</t>
  </si>
  <si>
    <t xml:space="preserve">#1010:</t>
  </si>
  <si>
    <t xml:space="preserve">#1011:</t>
  </si>
  <si>
    <t xml:space="preserve">#1012:</t>
  </si>
  <si>
    <t xml:space="preserve">#1013:</t>
  </si>
  <si>
    <t xml:space="preserve">#1014:</t>
  </si>
  <si>
    <t xml:space="preserve">#1015:</t>
  </si>
  <si>
    <t xml:space="preserve">#1016:</t>
  </si>
  <si>
    <t xml:space="preserve">#1017:</t>
  </si>
  <si>
    <t xml:space="preserve">#1018:</t>
  </si>
  <si>
    <t xml:space="preserve">#1100:</t>
  </si>
  <si>
    <t xml:space="preserve">#1101:</t>
  </si>
  <si>
    <t xml:space="preserve">#1102:</t>
  </si>
  <si>
    <t xml:space="preserve">#1103:</t>
  </si>
  <si>
    <t xml:space="preserve">#1104:</t>
  </si>
  <si>
    <t xml:space="preserve">#1105:</t>
  </si>
  <si>
    <t xml:space="preserve">#1106:</t>
  </si>
  <si>
    <t xml:space="preserve">#1107:</t>
  </si>
  <si>
    <t xml:space="preserve">#1108:</t>
  </si>
  <si>
    <t xml:space="preserve">#1110:</t>
  </si>
  <si>
    <t xml:space="preserve">#1111:</t>
  </si>
  <si>
    <t xml:space="preserve">#1112:</t>
  </si>
  <si>
    <t xml:space="preserve">#1113:</t>
  </si>
  <si>
    <t xml:space="preserve">#1114:</t>
  </si>
  <si>
    <t xml:space="preserve">#1115:</t>
  </si>
  <si>
    <t xml:space="preserve">#1116:</t>
  </si>
  <si>
    <t xml:space="preserve">#1117:</t>
  </si>
  <si>
    <t xml:space="preserve">#1118:</t>
  </si>
  <si>
    <t xml:space="preserve">#1200:</t>
  </si>
  <si>
    <t xml:space="preserve">#1201:</t>
  </si>
  <si>
    <t xml:space="preserve">#1202:</t>
  </si>
  <si>
    <t xml:space="preserve">#1203:</t>
  </si>
  <si>
    <t xml:space="preserve">#1204:</t>
  </si>
  <si>
    <t xml:space="preserve">#1205:</t>
  </si>
  <si>
    <t xml:space="preserve">#1206:</t>
  </si>
  <si>
    <t xml:space="preserve">#1207:</t>
  </si>
  <si>
    <t xml:space="preserve">#1208:</t>
  </si>
  <si>
    <t xml:space="preserve">#1210:</t>
  </si>
  <si>
    <t xml:space="preserve">#1211:</t>
  </si>
  <si>
    <t xml:space="preserve">#1212:</t>
  </si>
  <si>
    <t xml:space="preserve">#1213:</t>
  </si>
  <si>
    <t xml:space="preserve">#1214:</t>
  </si>
  <si>
    <t xml:space="preserve">#1215:</t>
  </si>
  <si>
    <t xml:space="preserve">#1216:</t>
  </si>
  <si>
    <t xml:space="preserve">#1217:</t>
  </si>
  <si>
    <t xml:space="preserve">#1218:</t>
  </si>
  <si>
    <t xml:space="preserve">#1300:</t>
  </si>
  <si>
    <t xml:space="preserve">#1301:</t>
  </si>
  <si>
    <t xml:space="preserve">#1302:</t>
  </si>
  <si>
    <t xml:space="preserve">#1303:</t>
  </si>
  <si>
    <t xml:space="preserve">#1304:</t>
  </si>
  <si>
    <t xml:space="preserve">#1305:</t>
  </si>
  <si>
    <t xml:space="preserve">#1306:</t>
  </si>
  <si>
    <t xml:space="preserve">#1307:</t>
  </si>
  <si>
    <t xml:space="preserve">#1308:</t>
  </si>
  <si>
    <t xml:space="preserve">#1310:</t>
  </si>
  <si>
    <t xml:space="preserve">#1311:</t>
  </si>
  <si>
    <t xml:space="preserve">#1312:</t>
  </si>
  <si>
    <t xml:space="preserve">#1313:</t>
  </si>
  <si>
    <t xml:space="preserve">#1314:</t>
  </si>
  <si>
    <t xml:space="preserve">#1315:</t>
  </si>
  <si>
    <t xml:space="preserve">#1316:</t>
  </si>
  <si>
    <t xml:space="preserve">#1317:</t>
  </si>
  <si>
    <t xml:space="preserve">#1318:</t>
  </si>
  <si>
    <t xml:space="preserve">#1400:</t>
  </si>
  <si>
    <t xml:space="preserve">#1401:</t>
  </si>
  <si>
    <t xml:space="preserve">#1402:</t>
  </si>
  <si>
    <t xml:space="preserve">#1403:</t>
  </si>
  <si>
    <t xml:space="preserve">#1404:</t>
  </si>
  <si>
    <t xml:space="preserve">#1405:</t>
  </si>
  <si>
    <t xml:space="preserve">#1406:</t>
  </si>
  <si>
    <t xml:space="preserve">#1407:</t>
  </si>
  <si>
    <t xml:space="preserve">#1408:</t>
  </si>
  <si>
    <t xml:space="preserve">#1410:</t>
  </si>
  <si>
    <t xml:space="preserve">#1411:</t>
  </si>
  <si>
    <t xml:space="preserve">#1412:</t>
  </si>
  <si>
    <t xml:space="preserve">#1413:</t>
  </si>
  <si>
    <t xml:space="preserve">#1414:</t>
  </si>
  <si>
    <t xml:space="preserve">#1415:</t>
  </si>
  <si>
    <t xml:space="preserve">#1416:</t>
  </si>
  <si>
    <t xml:space="preserve">#1417:</t>
  </si>
  <si>
    <t xml:space="preserve">#1418:</t>
  </si>
  <si>
    <t xml:space="preserve">d</t>
  </si>
  <si>
    <t xml:space="preserve">prior</t>
  </si>
  <si>
    <t xml:space="preserve">prior2</t>
  </si>
  <si>
    <t xml:space="preserve">priorf</t>
  </si>
  <si>
    <t xml:space="preserve">prior%</t>
  </si>
  <si>
    <t xml:space="preserve">prior2%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</si>
</sst>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 %"/>
    <numFmt numFmtId="166" formatCode="0.00E+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CC0000"/>
      <name val="Calibri"/>
      <family val="2"/>
      <charset val="1"/>
    </font>
    <font>
      <sz val="10"/>
      <color rgb="FF000000"/>
      <name val="Arial"/>
      <family val="0"/>
      <charset val="1"/>
    </font>
    <font>
      <i val="true"/>
      <sz val="11"/>
      <color rgb="FF808080"/>
      <name val="Calibri"/>
      <family val="2"/>
      <charset val="1"/>
    </font>
    <font>
      <sz val="11"/>
      <color rgb="FF006600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2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u val="single"/>
      <sz val="11"/>
      <color rgb="FF0000EE"/>
      <name val="Calibri"/>
      <family val="2"/>
      <charset val="1"/>
    </font>
    <font>
      <sz val="11"/>
      <color rgb="FF333333"/>
      <name val="Calibri"/>
      <family val="2"/>
      <charset val="1"/>
    </font>
    <font>
      <b val="true"/>
      <i val="true"/>
      <u val="single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A5A5A5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Default 9" xfId="25"/>
    <cellStyle name="Error 10" xfId="26"/>
    <cellStyle name="Footnote 11" xfId="27"/>
    <cellStyle name="Good 12" xfId="28"/>
    <cellStyle name="Heading 1 14" xfId="29"/>
    <cellStyle name="Heading 13" xfId="30"/>
    <cellStyle name="Heading 2 15" xfId="31"/>
    <cellStyle name="Hyperlink 16" xfId="32"/>
    <cellStyle name="Note 17" xfId="33"/>
    <cellStyle name="Result 18" xfId="34"/>
    <cellStyle name="Status 19" xfId="35"/>
    <cellStyle name="Text 20" xfId="36"/>
    <cellStyle name="Warning 21" xfId="37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EE"/>
      <rgbColor rgb="FFFFD320"/>
      <rgbColor rgb="FFFF00FF"/>
      <rgbColor rgb="FF00FFFF"/>
      <rgbColor rgb="FF7E0021"/>
      <rgbColor rgb="FF006600"/>
      <rgbColor rgb="FF000080"/>
      <rgbColor rgb="FF808000"/>
      <rgbColor rgb="FF800080"/>
      <rgbColor rgb="FF008080"/>
      <rgbColor rgb="FFBFBFBF"/>
      <rgbColor rgb="FF808080"/>
      <rgbColor rgb="FF90A2D3"/>
      <rgbColor rgb="FF993366"/>
      <rgbColor rgb="FFFFFFCC"/>
      <rgbColor rgb="FFDDDDD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78B"/>
      <rgbColor rgb="FFB3B3B3"/>
      <rgbColor rgb="FFFFCCCC"/>
      <rgbColor rgb="FF4472C4"/>
      <rgbColor rgb="FF83CAFF"/>
      <rgbColor rgb="FF99CC00"/>
      <rgbColor rgb="FFFFC000"/>
      <rgbColor rgb="FFFF9900"/>
      <rgbColor rgb="FFED7D31"/>
      <rgbColor rgb="FF595959"/>
      <rgbColor rgb="FFA5A5A5"/>
      <rgbColor rgb="FF004586"/>
      <rgbColor rgb="FF579D1C"/>
      <rgbColor rgb="FF003300"/>
      <rgbColor rgb="FF314004"/>
      <rgbColor rgb="FFFF42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connections" Target="connection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400" b="0" u="none" strike="noStrike">
                <a:solidFill>
                  <a:srgbClr val="595959"/>
                </a:solidFill>
                <a:uFillTx/>
                <a:latin typeface="Calibri"/>
              </a:rPr>
              <a:t>ln(p)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depth_stats_ltc_new!$J$1</c:f>
              <c:strCache>
                <c:ptCount val="1"/>
                <c:pt idx="0">
                  <c:v>master_old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depth_stats_ltc_new!$J$2:$J$33</c:f>
              <c:numCache>
                <c:formatCode>0.00\ %</c:formatCode>
                <c:ptCount val="32"/>
                <c:pt idx="0">
                  <c:v>0.0178114866635362</c:v>
                </c:pt>
                <c:pt idx="1">
                  <c:v>0.00403712695833924</c:v>
                </c:pt>
                <c:pt idx="2">
                  <c:v>0.00777836985729596</c:v>
                </c:pt>
                <c:pt idx="3">
                  <c:v>0.0132819226906982</c:v>
                </c:pt>
                <c:pt idx="4">
                  <c:v>-0.000753301690025632</c:v>
                </c:pt>
                <c:pt idx="5">
                  <c:v>-0.026816363274953</c:v>
                </c:pt>
                <c:pt idx="6">
                  <c:v>-0.0444917843465427</c:v>
                </c:pt>
                <c:pt idx="7">
                  <c:v>-0.0492268387003705</c:v>
                </c:pt>
                <c:pt idx="8">
                  <c:v>-0.0378081930295061</c:v>
                </c:pt>
                <c:pt idx="9">
                  <c:v>-0.022702176460234</c:v>
                </c:pt>
                <c:pt idx="10">
                  <c:v>-0.0112553435366719</c:v>
                </c:pt>
                <c:pt idx="11">
                  <c:v>-0.000416666672694854</c:v>
                </c:pt>
                <c:pt idx="12">
                  <c:v>-0.00550475256304554</c:v>
                </c:pt>
                <c:pt idx="13">
                  <c:v>-0.0207215213982717</c:v>
                </c:pt>
                <c:pt idx="14">
                  <c:v>-0.0394202486477018</c:v>
                </c:pt>
                <c:pt idx="15">
                  <c:v>-0.0584996286424508</c:v>
                </c:pt>
                <c:pt idx="16">
                  <c:v>-0.068528078042329</c:v>
                </c:pt>
                <c:pt idx="17">
                  <c:v>-0.0731788299751202</c:v>
                </c:pt>
                <c:pt idx="18">
                  <c:v>-0.0693250817756039</c:v>
                </c:pt>
                <c:pt idx="19">
                  <c:v>-0.0594914913950704</c:v>
                </c:pt>
                <c:pt idx="20">
                  <c:v>-0.043359261482764</c:v>
                </c:pt>
                <c:pt idx="21">
                  <c:v>-0.0239234829844839</c:v>
                </c:pt>
                <c:pt idx="22">
                  <c:v>-8.75569985101521E-005</c:v>
                </c:pt>
                <c:pt idx="23">
                  <c:v>0.0318626202386163</c:v>
                </c:pt>
                <c:pt idx="24">
                  <c:v>0.0661291610831603</c:v>
                </c:pt>
                <c:pt idx="25">
                  <c:v>0.102177903367762</c:v>
                </c:pt>
                <c:pt idx="26">
                  <c:v>0.145183585678521</c:v>
                </c:pt>
                <c:pt idx="27">
                  <c:v>0.196661789598448</c:v>
                </c:pt>
                <c:pt idx="28">
                  <c:v>0.249892263440537</c:v>
                </c:pt>
                <c:pt idx="29">
                  <c:v>0.325517275707599</c:v>
                </c:pt>
                <c:pt idx="30">
                  <c:v>0.407392474546374</c:v>
                </c:pt>
                <c:pt idx="31">
                  <c:v>0.494486116546997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depth_stats_ltc_new!$L$1</c:f>
              <c:strCache>
                <c:ptCount val="1"/>
                <c:pt idx="0">
                  <c:v>n%(w+6)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depth_stats_ltc_new!$L$2:$L$33</c:f>
              <c:numCache>
                <c:formatCode>0.00\ %</c:formatCode>
                <c:ptCount val="32"/>
                <c:pt idx="0">
                  <c:v>0.00861693399175767</c:v>
                </c:pt>
                <c:pt idx="1">
                  <c:v>0.0137762750299388</c:v>
                </c:pt>
                <c:pt idx="2">
                  <c:v>-0.00064874974846596</c:v>
                </c:pt>
                <c:pt idx="3">
                  <c:v>-0.00448380334012022</c:v>
                </c:pt>
                <c:pt idx="4">
                  <c:v>-0.00768193667486794</c:v>
                </c:pt>
                <c:pt idx="5">
                  <c:v>-0.0107405818195152</c:v>
                </c:pt>
                <c:pt idx="6">
                  <c:v>-0.0129832088796527</c:v>
                </c:pt>
                <c:pt idx="7">
                  <c:v>-0.0170191365162571</c:v>
                </c:pt>
                <c:pt idx="8">
                  <c:v>-0.0238962795111546</c:v>
                </c:pt>
                <c:pt idx="9">
                  <c:v>-0.036628410145608</c:v>
                </c:pt>
                <c:pt idx="10">
                  <c:v>-0.0420768379081183</c:v>
                </c:pt>
                <c:pt idx="11">
                  <c:v>-0.0458160451130907</c:v>
                </c:pt>
                <c:pt idx="12">
                  <c:v>-0.0422346652613313</c:v>
                </c:pt>
                <c:pt idx="13">
                  <c:v>-0.0338400576049281</c:v>
                </c:pt>
                <c:pt idx="14">
                  <c:v>-0.0243616686586515</c:v>
                </c:pt>
                <c:pt idx="15">
                  <c:v>-0.0190832499977153</c:v>
                </c:pt>
                <c:pt idx="16">
                  <c:v>-0.0161264616463241</c:v>
                </c:pt>
                <c:pt idx="17">
                  <c:v>-0.0139696922250434</c:v>
                </c:pt>
                <c:pt idx="18">
                  <c:v>-0.012083377277891</c:v>
                </c:pt>
                <c:pt idx="19">
                  <c:v>-0.0079423498147424</c:v>
                </c:pt>
                <c:pt idx="20">
                  <c:v>0.00103041830035311</c:v>
                </c:pt>
                <c:pt idx="21">
                  <c:v>0.0143595174786118</c:v>
                </c:pt>
                <c:pt idx="22">
                  <c:v>0.0327376463156521</c:v>
                </c:pt>
                <c:pt idx="23">
                  <c:v>0.0612375586456828</c:v>
                </c:pt>
                <c:pt idx="24">
                  <c:v>0.0947863425534972</c:v>
                </c:pt>
                <c:pt idx="25">
                  <c:v>0.133270717701675</c:v>
                </c:pt>
                <c:pt idx="26">
                  <c:v>0.182486933724174</c:v>
                </c:pt>
                <c:pt idx="27">
                  <c:v>0.238578487419583</c:v>
                </c:pt>
                <c:pt idx="28">
                  <c:v>0.291312487134426</c:v>
                </c:pt>
                <c:pt idx="29">
                  <c:v>0.358800843072534</c:v>
                </c:pt>
                <c:pt idx="30">
                  <c:v>0.421540690773673</c:v>
                </c:pt>
                <c:pt idx="31">
                  <c:v>0.470962652944801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depth_stats_ltc_new!$N$1</c:f>
              <c:strCache>
                <c:ptCount val="1"/>
                <c:pt idx="0">
                  <c:v>n%(w+4)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depth_stats_ltc_new!$N$2:$N$33</c:f>
              <c:numCache>
                <c:formatCode>0.00\ %</c:formatCode>
                <c:ptCount val="32"/>
                <c:pt idx="0">
                  <c:v>-0.000798688022978666</c:v>
                </c:pt>
                <c:pt idx="1">
                  <c:v>-0.0087527753458696</c:v>
                </c:pt>
                <c:pt idx="2">
                  <c:v>0.000458879353177899</c:v>
                </c:pt>
                <c:pt idx="3">
                  <c:v>0.00959275083480193</c:v>
                </c:pt>
                <c:pt idx="4">
                  <c:v>0.0180686600570117</c:v>
                </c:pt>
                <c:pt idx="5">
                  <c:v>0.0278042561603327</c:v>
                </c:pt>
                <c:pt idx="6">
                  <c:v>0.0336257064337213</c:v>
                </c:pt>
                <c:pt idx="7">
                  <c:v>0.0228764552009735</c:v>
                </c:pt>
                <c:pt idx="8">
                  <c:v>0.00510191671171334</c:v>
                </c:pt>
                <c:pt idx="9">
                  <c:v>-0.0195222700220222</c:v>
                </c:pt>
                <c:pt idx="10">
                  <c:v>-0.0369001753617212</c:v>
                </c:pt>
                <c:pt idx="11">
                  <c:v>-0.045545392839463</c:v>
                </c:pt>
                <c:pt idx="12">
                  <c:v>-0.0456094133268199</c:v>
                </c:pt>
                <c:pt idx="13">
                  <c:v>-0.0406777695003085</c:v>
                </c:pt>
                <c:pt idx="14">
                  <c:v>-0.0346360604322143</c:v>
                </c:pt>
                <c:pt idx="15">
                  <c:v>-0.029343625539538</c:v>
                </c:pt>
                <c:pt idx="16">
                  <c:v>-0.0239953700882445</c:v>
                </c:pt>
                <c:pt idx="17">
                  <c:v>-0.018234959579154</c:v>
                </c:pt>
                <c:pt idx="18">
                  <c:v>-0.0105967004446474</c:v>
                </c:pt>
                <c:pt idx="19">
                  <c:v>-0.000755170642798841</c:v>
                </c:pt>
                <c:pt idx="20">
                  <c:v>0.0121804052506587</c:v>
                </c:pt>
                <c:pt idx="21">
                  <c:v>0.027238892422933</c:v>
                </c:pt>
                <c:pt idx="22">
                  <c:v>0.047927206731726</c:v>
                </c:pt>
                <c:pt idx="23">
                  <c:v>0.0762938821680157</c:v>
                </c:pt>
                <c:pt idx="24">
                  <c:v>0.110029976467986</c:v>
                </c:pt>
                <c:pt idx="25">
                  <c:v>0.144481413164857</c:v>
                </c:pt>
                <c:pt idx="26">
                  <c:v>0.184770452475558</c:v>
                </c:pt>
                <c:pt idx="27">
                  <c:v>0.226647135250142</c:v>
                </c:pt>
                <c:pt idx="28">
                  <c:v>0.275041299430256</c:v>
                </c:pt>
                <c:pt idx="29">
                  <c:v>0.336403138115149</c:v>
                </c:pt>
                <c:pt idx="30">
                  <c:v>0.38998094569373</c:v>
                </c:pt>
                <c:pt idx="31">
                  <c:v>0.433387334723603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depth_stats_ltc_new!$P$1</c:f>
              <c:strCache>
                <c:ptCount val="1"/>
                <c:pt idx="0">
                  <c:v>n%(w+5)</c:v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depth_stats_ltc_new!$P$2:$P$33</c:f>
              <c:numCache>
                <c:formatCode>0.00\ %</c:formatCode>
                <c:ptCount val="32"/>
                <c:pt idx="0">
                  <c:v>0.00143680689599313</c:v>
                </c:pt>
                <c:pt idx="1">
                  <c:v>0.00741035261842393</c:v>
                </c:pt>
                <c:pt idx="2">
                  <c:v>-0.00280672197338339</c:v>
                </c:pt>
                <c:pt idx="3">
                  <c:v>-0.0019132052143731</c:v>
                </c:pt>
                <c:pt idx="4">
                  <c:v>-0.0017697276329256</c:v>
                </c:pt>
                <c:pt idx="5">
                  <c:v>-0.00178555238352618</c:v>
                </c:pt>
                <c:pt idx="6">
                  <c:v>-0.00304913104993632</c:v>
                </c:pt>
                <c:pt idx="7">
                  <c:v>-0.00667821513864242</c:v>
                </c:pt>
                <c:pt idx="8">
                  <c:v>-0.0124586630356263</c:v>
                </c:pt>
                <c:pt idx="9">
                  <c:v>-0.0236938600299754</c:v>
                </c:pt>
                <c:pt idx="10">
                  <c:v>-0.0267145717308667</c:v>
                </c:pt>
                <c:pt idx="11">
                  <c:v>-0.0282560434749672</c:v>
                </c:pt>
                <c:pt idx="12">
                  <c:v>-0.0227365591715485</c:v>
                </c:pt>
                <c:pt idx="13">
                  <c:v>-0.0122332998351375</c:v>
                </c:pt>
                <c:pt idx="14">
                  <c:v>-0.000643244884320104</c:v>
                </c:pt>
                <c:pt idx="15">
                  <c:v>0.00849297853508346</c:v>
                </c:pt>
                <c:pt idx="16">
                  <c:v>0.0150754474256323</c:v>
                </c:pt>
                <c:pt idx="17">
                  <c:v>0.0197441393348003</c:v>
                </c:pt>
                <c:pt idx="18">
                  <c:v>0.0257683796709491</c:v>
                </c:pt>
                <c:pt idx="19">
                  <c:v>0.0335918465787111</c:v>
                </c:pt>
                <c:pt idx="20">
                  <c:v>0.0442599763217313</c:v>
                </c:pt>
                <c:pt idx="21">
                  <c:v>0.0578978441258071</c:v>
                </c:pt>
                <c:pt idx="22">
                  <c:v>0.0734053251476272</c:v>
                </c:pt>
                <c:pt idx="23">
                  <c:v>0.0969891194059631</c:v>
                </c:pt>
                <c:pt idx="24">
                  <c:v>0.121503617975683</c:v>
                </c:pt>
                <c:pt idx="25">
                  <c:v>0.145468234927568</c:v>
                </c:pt>
                <c:pt idx="26">
                  <c:v>0.174482109151492</c:v>
                </c:pt>
                <c:pt idx="27">
                  <c:v>0.211083509396749</c:v>
                </c:pt>
                <c:pt idx="28">
                  <c:v>0.251882728385081</c:v>
                </c:pt>
                <c:pt idx="29">
                  <c:v>0.316519115215162</c:v>
                </c:pt>
                <c:pt idx="30">
                  <c:v>0.388388889761568</c:v>
                </c:pt>
                <c:pt idx="31">
                  <c:v>0.476049187430727</c:v>
                </c:pt>
              </c:numCache>
            </c:numRef>
          </c:yVal>
          <c:smooth val="1"/>
        </c:ser>
        <c:axId val="9683263"/>
        <c:axId val="17161029"/>
      </c:scatterChart>
      <c:valAx>
        <c:axId val="968326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7161029"/>
        <c:crosses val="autoZero"/>
        <c:crossBetween val="midCat"/>
      </c:valAx>
      <c:valAx>
        <c:axId val="171610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\ 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68326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de-DE"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400" b="0" u="none" strike="noStrike">
                <a:solidFill>
                  <a:srgbClr val="595959"/>
                </a:solidFill>
                <a:uFillTx/>
                <a:latin typeface="Calibri"/>
              </a:rPr>
              <a:t>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depth_stats_ltc_new!$K$1</c:f>
              <c:strCache>
                <c:ptCount val="1"/>
                <c:pt idx="0">
                  <c:v>master_old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depth_stats_ltc_new!$K$2:$K$33</c:f>
              <c:numCache>
                <c:formatCode>0.00\ %</c:formatCode>
                <c:ptCount val="32"/>
                <c:pt idx="0">
                  <c:v>0.463699999999999</c:v>
                </c:pt>
                <c:pt idx="1">
                  <c:v>0.1128</c:v>
                </c:pt>
                <c:pt idx="2">
                  <c:v>0.0655000000000001</c:v>
                </c:pt>
                <c:pt idx="3">
                  <c:v>0.10269</c:v>
                </c:pt>
                <c:pt idx="4">
                  <c:v>-0.00473999999999997</c:v>
                </c:pt>
                <c:pt idx="5">
                  <c:v>-0.12815</c:v>
                </c:pt>
                <c:pt idx="6">
                  <c:v>-0.16409</c:v>
                </c:pt>
                <c:pt idx="7">
                  <c:v>-0.15112</c:v>
                </c:pt>
                <c:pt idx="8">
                  <c:v>-0.0977799999999998</c:v>
                </c:pt>
                <c:pt idx="9">
                  <c:v>-0.04888</c:v>
                </c:pt>
                <c:pt idx="10">
                  <c:v>-0.01959</c:v>
                </c:pt>
                <c:pt idx="11">
                  <c:v>-0.000580000000000025</c:v>
                </c:pt>
                <c:pt idx="12">
                  <c:v>-0.00600000000000001</c:v>
                </c:pt>
                <c:pt idx="13">
                  <c:v>-0.017169</c:v>
                </c:pt>
                <c:pt idx="14">
                  <c:v>-0.024465</c:v>
                </c:pt>
                <c:pt idx="15">
                  <c:v>-0.026808</c:v>
                </c:pt>
                <c:pt idx="16">
                  <c:v>-0.023049</c:v>
                </c:pt>
                <c:pt idx="17">
                  <c:v>-0.017956</c:v>
                </c:pt>
                <c:pt idx="18">
                  <c:v>-0.012257</c:v>
                </c:pt>
                <c:pt idx="19">
                  <c:v>-0.00749799999999999</c:v>
                </c:pt>
                <c:pt idx="20">
                  <c:v>-0.00386069999999999</c:v>
                </c:pt>
                <c:pt idx="21">
                  <c:v>-0.00149439999999999</c:v>
                </c:pt>
                <c:pt idx="22">
                  <c:v>-3.80000000000519E-006</c:v>
                </c:pt>
                <c:pt idx="23">
                  <c:v>0.0009511</c:v>
                </c:pt>
                <c:pt idx="24">
                  <c:v>0.0013517</c:v>
                </c:pt>
                <c:pt idx="25">
                  <c:v>0.001424</c:v>
                </c:pt>
                <c:pt idx="26">
                  <c:v>0.00136673</c:v>
                </c:pt>
                <c:pt idx="27">
                  <c:v>0.00124341</c:v>
                </c:pt>
                <c:pt idx="28">
                  <c:v>0.00104984</c:v>
                </c:pt>
                <c:pt idx="29">
                  <c:v>0.00089888</c:v>
                </c:pt>
                <c:pt idx="30">
                  <c:v>0.00072988</c:v>
                </c:pt>
                <c:pt idx="31">
                  <c:v>0.000567833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depth_stats_ltc_new!$M$1</c:f>
              <c:strCache>
                <c:ptCount val="1"/>
                <c:pt idx="0">
                  <c:v>n%(w+6)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depth_stats_ltc_new!$M$2:$M$33</c:f>
              <c:numCache>
                <c:formatCode>0.00\ %</c:formatCode>
                <c:ptCount val="32"/>
                <c:pt idx="0">
                  <c:v>0.223299999999998</c:v>
                </c:pt>
                <c:pt idx="1">
                  <c:v>0.386800000000001</c:v>
                </c:pt>
                <c:pt idx="2">
                  <c:v>-0.00544000000000011</c:v>
                </c:pt>
                <c:pt idx="3">
                  <c:v>-0.0343599999999995</c:v>
                </c:pt>
                <c:pt idx="4">
                  <c:v>-0.0481699999999998</c:v>
                </c:pt>
                <c:pt idx="5">
                  <c:v>-0.0517400000000006</c:v>
                </c:pt>
                <c:pt idx="6">
                  <c:v>-0.0486400000000002</c:v>
                </c:pt>
                <c:pt idx="7">
                  <c:v>-0.0530899999999996</c:v>
                </c:pt>
                <c:pt idx="8">
                  <c:v>-0.06223</c:v>
                </c:pt>
                <c:pt idx="9">
                  <c:v>-0.0783200000000002</c:v>
                </c:pt>
                <c:pt idx="10">
                  <c:v>-0.0721200000000002</c:v>
                </c:pt>
                <c:pt idx="11">
                  <c:v>-0.0623500000000001</c:v>
                </c:pt>
                <c:pt idx="12">
                  <c:v>-0.0451999999999999</c:v>
                </c:pt>
                <c:pt idx="13">
                  <c:v>-0.027856</c:v>
                </c:pt>
                <c:pt idx="14">
                  <c:v>-0.0152329999999999</c:v>
                </c:pt>
                <c:pt idx="15">
                  <c:v>-0.00891799999999998</c:v>
                </c:pt>
                <c:pt idx="16">
                  <c:v>-0.00556699999999999</c:v>
                </c:pt>
                <c:pt idx="17">
                  <c:v>-0.00352999999999998</c:v>
                </c:pt>
                <c:pt idx="18">
                  <c:v>-0.00219800000000001</c:v>
                </c:pt>
                <c:pt idx="19">
                  <c:v>-0.001027</c:v>
                </c:pt>
                <c:pt idx="20">
                  <c:v>9.3800000000005E-005</c:v>
                </c:pt>
                <c:pt idx="21">
                  <c:v>0.000914300000000007</c:v>
                </c:pt>
                <c:pt idx="22">
                  <c:v>0.0014444</c:v>
                </c:pt>
                <c:pt idx="23">
                  <c:v>0.0018552</c:v>
                </c:pt>
                <c:pt idx="24">
                  <c:v>0.0019658</c:v>
                </c:pt>
                <c:pt idx="25">
                  <c:v>0.001887</c:v>
                </c:pt>
                <c:pt idx="26">
                  <c:v>0.00175113</c:v>
                </c:pt>
                <c:pt idx="27">
                  <c:v>0.00154155</c:v>
                </c:pt>
                <c:pt idx="28">
                  <c:v>0.00125063</c:v>
                </c:pt>
                <c:pt idx="29">
                  <c:v>0.00100837</c:v>
                </c:pt>
                <c:pt idx="30">
                  <c:v>0.00076096</c:v>
                </c:pt>
                <c:pt idx="31">
                  <c:v>0.000533993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depth_stats_ltc_new!$O$1</c:f>
              <c:strCache>
                <c:ptCount val="1"/>
                <c:pt idx="0">
                  <c:v>n%(w+4)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depth_stats_ltc_new!$O$2:$O$33</c:f>
              <c:numCache>
                <c:formatCode>0.00\ %</c:formatCode>
                <c:ptCount val="32"/>
                <c:pt idx="0">
                  <c:v>-0.0206000000000017</c:v>
                </c:pt>
                <c:pt idx="1">
                  <c:v>-0.242999999999999</c:v>
                </c:pt>
                <c:pt idx="2">
                  <c:v>0.00384999999999991</c:v>
                </c:pt>
                <c:pt idx="3">
                  <c:v>0.0740300000000005</c:v>
                </c:pt>
                <c:pt idx="4">
                  <c:v>0.11477</c:v>
                </c:pt>
                <c:pt idx="5">
                  <c:v>0.13655</c:v>
                </c:pt>
                <c:pt idx="6">
                  <c:v>0.12895</c:v>
                </c:pt>
                <c:pt idx="7">
                  <c:v>0.0728000000000004</c:v>
                </c:pt>
                <c:pt idx="8">
                  <c:v>0.0134800000000004</c:v>
                </c:pt>
                <c:pt idx="9">
                  <c:v>-0.0421</c:v>
                </c:pt>
                <c:pt idx="10">
                  <c:v>-0.0634100000000002</c:v>
                </c:pt>
                <c:pt idx="11">
                  <c:v>-0.06199</c:v>
                </c:pt>
                <c:pt idx="12">
                  <c:v>-0.0487299999999999</c:v>
                </c:pt>
                <c:pt idx="13">
                  <c:v>-0.0333709999999999</c:v>
                </c:pt>
                <c:pt idx="14">
                  <c:v>-0.021547</c:v>
                </c:pt>
                <c:pt idx="15">
                  <c:v>-0.013643</c:v>
                </c:pt>
                <c:pt idx="16">
                  <c:v>-0.00825099999999995</c:v>
                </c:pt>
                <c:pt idx="17">
                  <c:v>-0.00459799999999999</c:v>
                </c:pt>
                <c:pt idx="18">
                  <c:v>-0.00192899999999999</c:v>
                </c:pt>
                <c:pt idx="19">
                  <c:v>-9.7999999999987E-005</c:v>
                </c:pt>
                <c:pt idx="20">
                  <c:v>0.001115</c:v>
                </c:pt>
                <c:pt idx="21">
                  <c:v>0.0017456</c:v>
                </c:pt>
                <c:pt idx="22">
                  <c:v>0.0021308</c:v>
                </c:pt>
                <c:pt idx="23">
                  <c:v>0.002329</c:v>
                </c:pt>
                <c:pt idx="24">
                  <c:v>0.0022997</c:v>
                </c:pt>
                <c:pt idx="25">
                  <c:v>0.0020575</c:v>
                </c:pt>
                <c:pt idx="26">
                  <c:v>0.00177513</c:v>
                </c:pt>
                <c:pt idx="27">
                  <c:v>0.00145541</c:v>
                </c:pt>
                <c:pt idx="28">
                  <c:v>0.00117076</c:v>
                </c:pt>
                <c:pt idx="29">
                  <c:v>0.00093429</c:v>
                </c:pt>
                <c:pt idx="30">
                  <c:v>0.00069223</c:v>
                </c:pt>
                <c:pt idx="31">
                  <c:v>0.000481563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depth_stats_ltc_new!$Q$1</c:f>
              <c:strCache>
                <c:ptCount val="1"/>
                <c:pt idx="0">
                  <c:v>n%(w+5)</c:v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depth_stats_ltc_new!$Q$2:$Q$33</c:f>
              <c:numCache>
                <c:formatCode>0.00\ %</c:formatCode>
                <c:ptCount val="32"/>
                <c:pt idx="0">
                  <c:v>0.0370999999999988</c:v>
                </c:pt>
                <c:pt idx="1">
                  <c:v>0.2074</c:v>
                </c:pt>
                <c:pt idx="2">
                  <c:v>-0.0235099999999999</c:v>
                </c:pt>
                <c:pt idx="3">
                  <c:v>-0.0146799999999994</c:v>
                </c:pt>
                <c:pt idx="4">
                  <c:v>-0.0111299999999996</c:v>
                </c:pt>
                <c:pt idx="5">
                  <c:v>-0.00863999999999976</c:v>
                </c:pt>
                <c:pt idx="6">
                  <c:v>-0.0114800000000002</c:v>
                </c:pt>
                <c:pt idx="7">
                  <c:v>-0.02094</c:v>
                </c:pt>
                <c:pt idx="8">
                  <c:v>-0.0326299999999997</c:v>
                </c:pt>
                <c:pt idx="9">
                  <c:v>-0.0509900000000001</c:v>
                </c:pt>
                <c:pt idx="10">
                  <c:v>-0.0461400000000001</c:v>
                </c:pt>
                <c:pt idx="11">
                  <c:v>-0.0387900000000001</c:v>
                </c:pt>
                <c:pt idx="12">
                  <c:v>-0.02457</c:v>
                </c:pt>
                <c:pt idx="13">
                  <c:v>-0.0101789999999999</c:v>
                </c:pt>
                <c:pt idx="14">
                  <c:v>-0.000406999999999935</c:v>
                </c:pt>
                <c:pt idx="15">
                  <c:v>0.00402400000000003</c:v>
                </c:pt>
                <c:pt idx="16">
                  <c:v>0.00528600000000001</c:v>
                </c:pt>
                <c:pt idx="17">
                  <c:v>0.00507400000000002</c:v>
                </c:pt>
                <c:pt idx="18">
                  <c:v>0.004777</c:v>
                </c:pt>
                <c:pt idx="19">
                  <c:v>0.00443499999999999</c:v>
                </c:pt>
                <c:pt idx="20">
                  <c:v>0.00411740000000001</c:v>
                </c:pt>
                <c:pt idx="21">
                  <c:v>0.00376810000000001</c:v>
                </c:pt>
                <c:pt idx="22">
                  <c:v>0.0033058</c:v>
                </c:pt>
                <c:pt idx="23">
                  <c:v>0.002992</c:v>
                </c:pt>
                <c:pt idx="24">
                  <c:v>0.0025544</c:v>
                </c:pt>
                <c:pt idx="25">
                  <c:v>0.0020726</c:v>
                </c:pt>
                <c:pt idx="26">
                  <c:v>0.00166743</c:v>
                </c:pt>
                <c:pt idx="27">
                  <c:v>0.00134458</c:v>
                </c:pt>
                <c:pt idx="28">
                  <c:v>0.0010593</c:v>
                </c:pt>
                <c:pt idx="29">
                  <c:v>0.0008699</c:v>
                </c:pt>
                <c:pt idx="30">
                  <c:v>0.00068882</c:v>
                </c:pt>
                <c:pt idx="31">
                  <c:v>0.000541243</c:v>
                </c:pt>
              </c:numCache>
            </c:numRef>
          </c:yVal>
          <c:smooth val="1"/>
        </c:ser>
        <c:axId val="81626940"/>
        <c:axId val="14299191"/>
      </c:scatterChart>
      <c:valAx>
        <c:axId val="8162694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4299191"/>
        <c:crosses val="autoZero"/>
        <c:crossBetween val="midCat"/>
      </c:valAx>
      <c:valAx>
        <c:axId val="142991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\ 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8162694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de-DE"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400" b="0" u="none" strike="noStrike">
                <a:solidFill>
                  <a:srgbClr val="595959"/>
                </a:solidFill>
                <a:uFillTx/>
                <a:latin typeface="Calibri"/>
              </a:rPr>
              <a:t>ln(p)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depth_stats_stc_new!$Q$1</c:f>
              <c:strCache>
                <c:ptCount val="1"/>
                <c:pt idx="0">
                  <c:v>master_old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depth_stats_stc_new!$Q$2:$Q$33</c:f>
              <c:numCache>
                <c:formatCode>0.00\ %</c:formatCode>
                <c:ptCount val="32"/>
                <c:pt idx="0">
                  <c:v>-0.00196245238621362</c:v>
                </c:pt>
                <c:pt idx="1">
                  <c:v>0.00121536719712978</c:v>
                </c:pt>
                <c:pt idx="2">
                  <c:v>0.000164535005193756</c:v>
                </c:pt>
                <c:pt idx="3">
                  <c:v>0.000711426163759299</c:v>
                </c:pt>
                <c:pt idx="4">
                  <c:v>0.0006553302307859</c:v>
                </c:pt>
                <c:pt idx="5">
                  <c:v>2.15382395296615E-006</c:v>
                </c:pt>
                <c:pt idx="6">
                  <c:v>-0.0013563835991659</c:v>
                </c:pt>
                <c:pt idx="7">
                  <c:v>-0.00413312117625231</c:v>
                </c:pt>
                <c:pt idx="8">
                  <c:v>-0.00362299122082232</c:v>
                </c:pt>
                <c:pt idx="9">
                  <c:v>-0.00320895741006511</c:v>
                </c:pt>
                <c:pt idx="10">
                  <c:v>-0.00286631702776807</c:v>
                </c:pt>
                <c:pt idx="11">
                  <c:v>-0.0004183260326725</c:v>
                </c:pt>
                <c:pt idx="12">
                  <c:v>0.00272915442223744</c:v>
                </c:pt>
                <c:pt idx="13">
                  <c:v>0.00737902973655935</c:v>
                </c:pt>
                <c:pt idx="14">
                  <c:v>0.0105276156551677</c:v>
                </c:pt>
                <c:pt idx="15">
                  <c:v>0.0130661298811572</c:v>
                </c:pt>
                <c:pt idx="16">
                  <c:v>0.0259466823199919</c:v>
                </c:pt>
                <c:pt idx="17">
                  <c:v>0.0309026639872125</c:v>
                </c:pt>
                <c:pt idx="18">
                  <c:v>0.0448730177569114</c:v>
                </c:pt>
                <c:pt idx="19">
                  <c:v>0.0755012262270336</c:v>
                </c:pt>
                <c:pt idx="20">
                  <c:v>0.106656947259202</c:v>
                </c:pt>
                <c:pt idx="21">
                  <c:v>0.157830558427233</c:v>
                </c:pt>
                <c:pt idx="22">
                  <c:v>0.200288333293907</c:v>
                </c:pt>
                <c:pt idx="23">
                  <c:v>0.303877129158333</c:v>
                </c:pt>
                <c:pt idx="24">
                  <c:v>0.443794883016772</c:v>
                </c:pt>
                <c:pt idx="25">
                  <c:v>0.642931769280895</c:v>
                </c:pt>
                <c:pt idx="26">
                  <c:v>0.958589214797082</c:v>
                </c:pt>
                <c:pt idx="27">
                  <c:v>1.31412551931274</c:v>
                </c:pt>
                <c:pt idx="28">
                  <c:v>1.70541281967467</c:v>
                </c:pt>
                <c:pt idx="29">
                  <c:v>2.10240544683199</c:v>
                </c:pt>
                <c:pt idx="30">
                  <c:v>2.61852989969201</c:v>
                </c:pt>
                <c:pt idx="31">
                  <c:v>3.93091897000929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depth_stats_stc_new!$AM$1</c:f>
              <c:strCache>
                <c:ptCount val="1"/>
                <c:pt idx="0">
                  <c:v>n%(w-2d)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depth_stats_stc_new!$AM$2:$AM$33</c:f>
              <c:numCache>
                <c:formatCode>0.00\ %</c:formatCode>
                <c:ptCount val="32"/>
                <c:pt idx="0">
                  <c:v>-0.000735935539861732</c:v>
                </c:pt>
                <c:pt idx="1">
                  <c:v>0.00594920627850382</c:v>
                </c:pt>
                <c:pt idx="2">
                  <c:v>-0.00150190335468281</c:v>
                </c:pt>
                <c:pt idx="3">
                  <c:v>-0.00427921853387314</c:v>
                </c:pt>
                <c:pt idx="4">
                  <c:v>-0.00533120463309622</c:v>
                </c:pt>
                <c:pt idx="5">
                  <c:v>-0.00530383783902155</c:v>
                </c:pt>
                <c:pt idx="6">
                  <c:v>-0.00552728022273596</c:v>
                </c:pt>
                <c:pt idx="7">
                  <c:v>-0.00747138651004664</c:v>
                </c:pt>
                <c:pt idx="8">
                  <c:v>-0.00514848792143541</c:v>
                </c:pt>
                <c:pt idx="9">
                  <c:v>-0.00633146486734748</c:v>
                </c:pt>
                <c:pt idx="10">
                  <c:v>-0.00681616301890886</c:v>
                </c:pt>
                <c:pt idx="11">
                  <c:v>-0.00247904248367026</c:v>
                </c:pt>
                <c:pt idx="12">
                  <c:v>-0.00187560503683655</c:v>
                </c:pt>
                <c:pt idx="13">
                  <c:v>0.000550612046554877</c:v>
                </c:pt>
                <c:pt idx="14">
                  <c:v>0.00280940246172878</c:v>
                </c:pt>
                <c:pt idx="15">
                  <c:v>0.00380084351923959</c:v>
                </c:pt>
                <c:pt idx="16">
                  <c:v>0.0120192584616283</c:v>
                </c:pt>
                <c:pt idx="17">
                  <c:v>0.0169700589333632</c:v>
                </c:pt>
                <c:pt idx="18">
                  <c:v>0.0358875372752259</c:v>
                </c:pt>
                <c:pt idx="19">
                  <c:v>0.0620533666940348</c:v>
                </c:pt>
                <c:pt idx="20">
                  <c:v>0.108596417704737</c:v>
                </c:pt>
                <c:pt idx="21">
                  <c:v>0.169330304948913</c:v>
                </c:pt>
                <c:pt idx="22">
                  <c:v>0.227569418538976</c:v>
                </c:pt>
                <c:pt idx="23">
                  <c:v>0.341650159975973</c:v>
                </c:pt>
                <c:pt idx="24">
                  <c:v>0.497221233099157</c:v>
                </c:pt>
                <c:pt idx="25">
                  <c:v>0.686959513393263</c:v>
                </c:pt>
                <c:pt idx="26">
                  <c:v>1.01734028192</c:v>
                </c:pt>
                <c:pt idx="27">
                  <c:v>1.33583146438274</c:v>
                </c:pt>
                <c:pt idx="28">
                  <c:v>1.71704375118551</c:v>
                </c:pt>
                <c:pt idx="29">
                  <c:v>2.11155400891563</c:v>
                </c:pt>
                <c:pt idx="30">
                  <c:v>2.57835923116007</c:v>
                </c:pt>
                <c:pt idx="31">
                  <c:v>3.73741823345259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depth_stats_stc_new!$AK$1</c:f>
              <c:strCache>
                <c:ptCount val="1"/>
                <c:pt idx="0">
                  <c:v>n%(w+28m)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depth_stats_stc_new!$AK$2:$AK$33</c:f>
              <c:numCache>
                <c:formatCode>0.00\ %</c:formatCode>
                <c:ptCount val="32"/>
                <c:pt idx="0">
                  <c:v>0.00153736536356286</c:v>
                </c:pt>
                <c:pt idx="1">
                  <c:v>0.0373472559465937</c:v>
                </c:pt>
                <c:pt idx="2">
                  <c:v>-0.0413392599995031</c:v>
                </c:pt>
                <c:pt idx="3">
                  <c:v>-0.0312373704650772</c:v>
                </c:pt>
                <c:pt idx="4">
                  <c:v>-0.0250590018045807</c:v>
                </c:pt>
                <c:pt idx="5">
                  <c:v>-0.0237213856611915</c:v>
                </c:pt>
                <c:pt idx="6">
                  <c:v>-0.024819360745445</c:v>
                </c:pt>
                <c:pt idx="7">
                  <c:v>-0.0251365867335236</c:v>
                </c:pt>
                <c:pt idx="8">
                  <c:v>-0.0233147190887455</c:v>
                </c:pt>
                <c:pt idx="9">
                  <c:v>-0.022552574785917</c:v>
                </c:pt>
                <c:pt idx="10">
                  <c:v>-0.0208232406805812</c:v>
                </c:pt>
                <c:pt idx="11">
                  <c:v>-0.0179775950053355</c:v>
                </c:pt>
                <c:pt idx="12">
                  <c:v>-0.0167444036086463</c:v>
                </c:pt>
                <c:pt idx="13">
                  <c:v>-0.0140231689080924</c:v>
                </c:pt>
                <c:pt idx="14">
                  <c:v>-0.00982617688281007</c:v>
                </c:pt>
                <c:pt idx="15">
                  <c:v>-0.0089288917043886</c:v>
                </c:pt>
                <c:pt idx="16">
                  <c:v>0.00448330721812629</c:v>
                </c:pt>
                <c:pt idx="17">
                  <c:v>0.00392953670887941</c:v>
                </c:pt>
                <c:pt idx="18">
                  <c:v>0.00626996373813071</c:v>
                </c:pt>
                <c:pt idx="19">
                  <c:v>0.0223644248875483</c:v>
                </c:pt>
                <c:pt idx="20">
                  <c:v>0.0293898011999656</c:v>
                </c:pt>
                <c:pt idx="21">
                  <c:v>0.0526683080236232</c:v>
                </c:pt>
                <c:pt idx="22">
                  <c:v>0.0599969366506077</c:v>
                </c:pt>
                <c:pt idx="23">
                  <c:v>0.0762778242985878</c:v>
                </c:pt>
                <c:pt idx="24">
                  <c:v>0.123808891822608</c:v>
                </c:pt>
                <c:pt idx="25">
                  <c:v>0.219928426260572</c:v>
                </c:pt>
                <c:pt idx="26">
                  <c:v>0.365595023859362</c:v>
                </c:pt>
                <c:pt idx="27">
                  <c:v>0.549949602056485</c:v>
                </c:pt>
                <c:pt idx="28">
                  <c:v>0.864733807062498</c:v>
                </c:pt>
                <c:pt idx="29">
                  <c:v>1.07389869340503</c:v>
                </c:pt>
                <c:pt idx="30">
                  <c:v>1.41235161570357</c:v>
                </c:pt>
                <c:pt idx="31">
                  <c:v>2.22328384046868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depth_stats_stc_new!$AI$1</c:f>
              <c:strCache>
                <c:ptCount val="1"/>
                <c:pt idx="0">
                  <c:v>n%(w-d)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depth_stats_stc_new!$AI$2:$AI$33</c:f>
              <c:numCache>
                <c:formatCode>0.00\ %</c:formatCode>
                <c:ptCount val="32"/>
                <c:pt idx="0">
                  <c:v>0.00323244203855122</c:v>
                </c:pt>
                <c:pt idx="1">
                  <c:v>0.00409096708145329</c:v>
                </c:pt>
                <c:pt idx="2">
                  <c:v>-0.00729115908681655</c:v>
                </c:pt>
                <c:pt idx="3">
                  <c:v>-0.00733666049815618</c:v>
                </c:pt>
                <c:pt idx="4">
                  <c:v>-0.00554062888762541</c:v>
                </c:pt>
                <c:pt idx="5">
                  <c:v>-0.00508516845218909</c:v>
                </c:pt>
                <c:pt idx="6">
                  <c:v>-0.00249988138665613</c:v>
                </c:pt>
                <c:pt idx="7">
                  <c:v>-0.00345920266032396</c:v>
                </c:pt>
                <c:pt idx="8">
                  <c:v>-0.0028487646879527</c:v>
                </c:pt>
                <c:pt idx="9">
                  <c:v>-0.00417416431866369</c:v>
                </c:pt>
                <c:pt idx="10">
                  <c:v>-0.00289821119018213</c:v>
                </c:pt>
                <c:pt idx="11">
                  <c:v>-0.000887059039220595</c:v>
                </c:pt>
                <c:pt idx="12">
                  <c:v>-0.001211961860299</c:v>
                </c:pt>
                <c:pt idx="13">
                  <c:v>-0.00155849001483238</c:v>
                </c:pt>
                <c:pt idx="14">
                  <c:v>-0.00410767853351302</c:v>
                </c:pt>
                <c:pt idx="15">
                  <c:v>0.000883432428527176</c:v>
                </c:pt>
                <c:pt idx="16">
                  <c:v>0.00517699724677501</c:v>
                </c:pt>
                <c:pt idx="17">
                  <c:v>0.00507352993217669</c:v>
                </c:pt>
                <c:pt idx="18">
                  <c:v>0.017649230102335</c:v>
                </c:pt>
                <c:pt idx="19">
                  <c:v>0.0377373015261973</c:v>
                </c:pt>
                <c:pt idx="20">
                  <c:v>0.0505764813550251</c:v>
                </c:pt>
                <c:pt idx="21">
                  <c:v>0.0763466380954858</c:v>
                </c:pt>
                <c:pt idx="22">
                  <c:v>0.1104020961247</c:v>
                </c:pt>
                <c:pt idx="23">
                  <c:v>0.149719787511386</c:v>
                </c:pt>
                <c:pt idx="24">
                  <c:v>0.205377222703147</c:v>
                </c:pt>
                <c:pt idx="25">
                  <c:v>0.280105949366858</c:v>
                </c:pt>
                <c:pt idx="26">
                  <c:v>0.378678774368522</c:v>
                </c:pt>
                <c:pt idx="27">
                  <c:v>0.618183833289503</c:v>
                </c:pt>
                <c:pt idx="28">
                  <c:v>0.822525335339597</c:v>
                </c:pt>
                <c:pt idx="29">
                  <c:v>1.07904030637902</c:v>
                </c:pt>
                <c:pt idx="30">
                  <c:v>1.33573883475463</c:v>
                </c:pt>
                <c:pt idx="31">
                  <c:v>2.41188064729759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depth_stats_stc_new!$AC$1</c:f>
              <c:strCache>
                <c:ptCount val="1"/>
                <c:pt idx="0">
                  <c:v>n%(w+5)</c:v>
                </c:pt>
              </c:strCache>
            </c:strRef>
          </c:tx>
          <c:spPr>
            <a:solidFill>
              <a:srgbClr val="90A2D3"/>
            </a:solidFill>
            <a:ln w="19080">
              <a:solidFill>
                <a:srgbClr val="90A2D3"/>
              </a:solidFill>
              <a:round/>
            </a:ln>
          </c:spP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depth_stats_stc_new!$AC$2:$AC$33</c:f>
              <c:numCache>
                <c:formatCode>0.00\ %</c:formatCode>
                <c:ptCount val="32"/>
                <c:pt idx="0">
                  <c:v>0.00348552556490889</c:v>
                </c:pt>
                <c:pt idx="1">
                  <c:v>0.00807247611428652</c:v>
                </c:pt>
                <c:pt idx="2">
                  <c:v>-0.00497330991395772</c:v>
                </c:pt>
                <c:pt idx="3">
                  <c:v>-0.00530040763493966</c:v>
                </c:pt>
                <c:pt idx="4">
                  <c:v>-0.00493358160207591</c:v>
                </c:pt>
                <c:pt idx="5">
                  <c:v>-0.00726533887485559</c:v>
                </c:pt>
                <c:pt idx="6">
                  <c:v>-0.00778255874090816</c:v>
                </c:pt>
                <c:pt idx="7">
                  <c:v>-0.0109322107626033</c:v>
                </c:pt>
                <c:pt idx="8">
                  <c:v>-0.0100996790601855</c:v>
                </c:pt>
                <c:pt idx="9">
                  <c:v>-0.0103378498115798</c:v>
                </c:pt>
                <c:pt idx="10">
                  <c:v>-0.0108459684582286</c:v>
                </c:pt>
                <c:pt idx="11">
                  <c:v>-0.0105194644977097</c:v>
                </c:pt>
                <c:pt idx="12">
                  <c:v>-0.0114243621883579</c:v>
                </c:pt>
                <c:pt idx="13">
                  <c:v>-0.0171752352854176</c:v>
                </c:pt>
                <c:pt idx="14">
                  <c:v>-0.0199358678334152</c:v>
                </c:pt>
                <c:pt idx="15">
                  <c:v>-0.0275078919788319</c:v>
                </c:pt>
                <c:pt idx="16">
                  <c:v>-0.0354145903655065</c:v>
                </c:pt>
                <c:pt idx="17">
                  <c:v>-0.0505375572539339</c:v>
                </c:pt>
                <c:pt idx="18">
                  <c:v>-0.0654907629934778</c:v>
                </c:pt>
                <c:pt idx="19">
                  <c:v>-0.0714603307678852</c:v>
                </c:pt>
                <c:pt idx="20">
                  <c:v>-0.0735724182204263</c:v>
                </c:pt>
                <c:pt idx="21">
                  <c:v>-0.0645484719830138</c:v>
                </c:pt>
                <c:pt idx="22">
                  <c:v>-0.0656573267269485</c:v>
                </c:pt>
                <c:pt idx="23">
                  <c:v>-0.0187983308253301</c:v>
                </c:pt>
                <c:pt idx="24">
                  <c:v>0.0467191188423861</c:v>
                </c:pt>
                <c:pt idx="25">
                  <c:v>0.191322820087263</c:v>
                </c:pt>
                <c:pt idx="26">
                  <c:v>0.378511693873651</c:v>
                </c:pt>
                <c:pt idx="27">
                  <c:v>0.662891079857291</c:v>
                </c:pt>
                <c:pt idx="28">
                  <c:v>0.930152369387209</c:v>
                </c:pt>
                <c:pt idx="29">
                  <c:v>1.26856145365526</c:v>
                </c:pt>
                <c:pt idx="30">
                  <c:v>1.68028850492303</c:v>
                </c:pt>
                <c:pt idx="31">
                  <c:v>2.64603408130707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depth_stats_stc_new!$AE$1</c:f>
              <c:strCache>
                <c:ptCount val="1"/>
                <c:pt idx="0">
                  <c:v>n%(razor+64pc)</c:v>
                </c:pt>
              </c:strCache>
            </c:strRef>
          </c:tx>
          <c:spPr>
            <a:solidFill>
              <a:srgbClr val="F1A78B"/>
            </a:solidFill>
            <a:ln w="19080">
              <a:solidFill>
                <a:srgbClr val="F1A78B"/>
              </a:solidFill>
              <a:round/>
            </a:ln>
          </c:spP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depth_stats_stc_new!$AE$2:$AE$33</c:f>
              <c:numCache>
                <c:formatCode>0.00\ %</c:formatCode>
                <c:ptCount val="32"/>
                <c:pt idx="0">
                  <c:v>-0.00550084611053592</c:v>
                </c:pt>
                <c:pt idx="1">
                  <c:v>0.000207117493149056</c:v>
                </c:pt>
                <c:pt idx="2">
                  <c:v>-0.00189468551994088</c:v>
                </c:pt>
                <c:pt idx="3">
                  <c:v>-0.000388741729359321</c:v>
                </c:pt>
                <c:pt idx="4">
                  <c:v>0.00195181185206161</c:v>
                </c:pt>
                <c:pt idx="5">
                  <c:v>0.00369773612777058</c:v>
                </c:pt>
                <c:pt idx="6">
                  <c:v>0.00486612125280317</c:v>
                </c:pt>
                <c:pt idx="7">
                  <c:v>0.00520585906354554</c:v>
                </c:pt>
                <c:pt idx="8">
                  <c:v>0.00550185191819375</c:v>
                </c:pt>
                <c:pt idx="9">
                  <c:v>0.00315833088432671</c:v>
                </c:pt>
                <c:pt idx="10">
                  <c:v>0.00449310608339987</c:v>
                </c:pt>
                <c:pt idx="11">
                  <c:v>0.00578836606488353</c:v>
                </c:pt>
                <c:pt idx="12">
                  <c:v>0.0100645702178863</c:v>
                </c:pt>
                <c:pt idx="13">
                  <c:v>0.01689630477025</c:v>
                </c:pt>
                <c:pt idx="14">
                  <c:v>0.0194509660554606</c:v>
                </c:pt>
                <c:pt idx="15">
                  <c:v>0.0267926674985253</c:v>
                </c:pt>
                <c:pt idx="16">
                  <c:v>0.038225605369987</c:v>
                </c:pt>
                <c:pt idx="17">
                  <c:v>0.0514487007637627</c:v>
                </c:pt>
                <c:pt idx="18">
                  <c:v>0.0688510128106912</c:v>
                </c:pt>
                <c:pt idx="19">
                  <c:v>0.0840415364848086</c:v>
                </c:pt>
                <c:pt idx="20">
                  <c:v>0.110013064143402</c:v>
                </c:pt>
                <c:pt idx="21">
                  <c:v>0.129331467142845</c:v>
                </c:pt>
                <c:pt idx="22">
                  <c:v>0.152141033913223</c:v>
                </c:pt>
                <c:pt idx="23">
                  <c:v>0.200457148097138</c:v>
                </c:pt>
                <c:pt idx="24">
                  <c:v>0.269000045469731</c:v>
                </c:pt>
                <c:pt idx="25">
                  <c:v>0.388038615836603</c:v>
                </c:pt>
                <c:pt idx="26">
                  <c:v>0.554912591644662</c:v>
                </c:pt>
                <c:pt idx="27">
                  <c:v>0.746630059839462</c:v>
                </c:pt>
                <c:pt idx="28">
                  <c:v>0.947252334899945</c:v>
                </c:pt>
                <c:pt idx="29">
                  <c:v>1.19732708388182</c:v>
                </c:pt>
                <c:pt idx="30">
                  <c:v>1.49786109613795</c:v>
                </c:pt>
                <c:pt idx="31">
                  <c:v>2.52709410153221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depth_stats_stc_new!$AG$1</c:f>
              <c:strCache>
                <c:ptCount val="1"/>
                <c:pt idx="0">
                  <c:v>n%(razor+128pc)</c:v>
                </c:pt>
              </c:strCache>
            </c:strRef>
          </c:tx>
          <c:spPr>
            <a:solidFill>
              <a:srgbClr val="BFBFBF"/>
            </a:solidFill>
            <a:ln w="19080">
              <a:solidFill>
                <a:srgbClr val="BFBFBF"/>
              </a:solidFill>
              <a:round/>
            </a:ln>
          </c:spP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depth_stats_stc_new!$AG$2:$AG$33</c:f>
              <c:numCache>
                <c:formatCode>0.00\ %</c:formatCode>
                <c:ptCount val="32"/>
                <c:pt idx="0">
                  <c:v>-0.00303314435760482</c:v>
                </c:pt>
                <c:pt idx="1">
                  <c:v>0.000995108024613778</c:v>
                </c:pt>
                <c:pt idx="2">
                  <c:v>-0.000678263321742811</c:v>
                </c:pt>
                <c:pt idx="3">
                  <c:v>0.000212693328533131</c:v>
                </c:pt>
                <c:pt idx="4">
                  <c:v>0.00130700622249091</c:v>
                </c:pt>
                <c:pt idx="5">
                  <c:v>0.000945083001909763</c:v>
                </c:pt>
                <c:pt idx="6">
                  <c:v>0.00187503750109097</c:v>
                </c:pt>
                <c:pt idx="7">
                  <c:v>0.00118365605217452</c:v>
                </c:pt>
                <c:pt idx="8">
                  <c:v>0.00153406347635965</c:v>
                </c:pt>
                <c:pt idx="9">
                  <c:v>0.00191640199929122</c:v>
                </c:pt>
                <c:pt idx="10">
                  <c:v>0.00153170045485529</c:v>
                </c:pt>
                <c:pt idx="11">
                  <c:v>0.00114531749096783</c:v>
                </c:pt>
                <c:pt idx="12">
                  <c:v>0.00471749718461978</c:v>
                </c:pt>
                <c:pt idx="13">
                  <c:v>0.00529550895415937</c:v>
                </c:pt>
                <c:pt idx="14">
                  <c:v>0.00259212102946171</c:v>
                </c:pt>
                <c:pt idx="15">
                  <c:v>0.00540107556847991</c:v>
                </c:pt>
                <c:pt idx="16">
                  <c:v>0.0137253747321204</c:v>
                </c:pt>
                <c:pt idx="17">
                  <c:v>0.019495067558589</c:v>
                </c:pt>
                <c:pt idx="18">
                  <c:v>0.0176048154378305</c:v>
                </c:pt>
                <c:pt idx="19">
                  <c:v>0.0320199164509432</c:v>
                </c:pt>
                <c:pt idx="20">
                  <c:v>0.0453152535285111</c:v>
                </c:pt>
                <c:pt idx="21">
                  <c:v>0.0644633963530588</c:v>
                </c:pt>
                <c:pt idx="22">
                  <c:v>0.0838619130772544</c:v>
                </c:pt>
                <c:pt idx="23">
                  <c:v>0.1261575953815</c:v>
                </c:pt>
                <c:pt idx="24">
                  <c:v>0.167248327502387</c:v>
                </c:pt>
                <c:pt idx="25">
                  <c:v>0.268154261502949</c:v>
                </c:pt>
                <c:pt idx="26">
                  <c:v>0.377513654673706</c:v>
                </c:pt>
                <c:pt idx="27">
                  <c:v>0.511752644175677</c:v>
                </c:pt>
                <c:pt idx="28">
                  <c:v>0.759247655113331</c:v>
                </c:pt>
                <c:pt idx="29">
                  <c:v>0.966312493804583</c:v>
                </c:pt>
                <c:pt idx="30">
                  <c:v>1.38172461454968</c:v>
                </c:pt>
                <c:pt idx="31">
                  <c:v>2.48660827502404</c:v>
                </c:pt>
              </c:numCache>
            </c:numRef>
          </c:yVal>
          <c:smooth val="1"/>
        </c:ser>
        <c:axId val="4787003"/>
        <c:axId val="45913809"/>
      </c:scatterChart>
      <c:valAx>
        <c:axId val="478700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5913809"/>
        <c:crosses val="autoZero"/>
        <c:crossBetween val="midCat"/>
      </c:valAx>
      <c:valAx>
        <c:axId val="4591380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\ 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78700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de-DE"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400" b="0" u="none" strike="noStrike">
                <a:solidFill>
                  <a:srgbClr val="595959"/>
                </a:solidFill>
                <a:uFillTx/>
                <a:latin typeface="Calibri"/>
              </a:rPr>
              <a:t>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depth_stats_stc_new!$R$1</c:f>
              <c:strCache>
                <c:ptCount val="1"/>
                <c:pt idx="0">
                  <c:v>master_old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depth_stats_stc_new!$R$2:$R$33</c:f>
              <c:numCache>
                <c:formatCode>0.00\ %</c:formatCode>
                <c:ptCount val="32"/>
                <c:pt idx="0">
                  <c:v>-0.052500000000002</c:v>
                </c:pt>
                <c:pt idx="1">
                  <c:v>0.0364000000000004</c:v>
                </c:pt>
                <c:pt idx="2">
                  <c:v>0.00140999999999991</c:v>
                </c:pt>
                <c:pt idx="3">
                  <c:v>0.00541999999999998</c:v>
                </c:pt>
                <c:pt idx="4">
                  <c:v>0.00405999999999995</c:v>
                </c:pt>
                <c:pt idx="5">
                  <c:v>9.99999999962142E-006</c:v>
                </c:pt>
                <c:pt idx="6">
                  <c:v>-0.00480999999999998</c:v>
                </c:pt>
                <c:pt idx="7">
                  <c:v>-0.0119799999999999</c:v>
                </c:pt>
                <c:pt idx="8">
                  <c:v>-0.00880999999999999</c:v>
                </c:pt>
                <c:pt idx="9">
                  <c:v>-0.00632999999999995</c:v>
                </c:pt>
                <c:pt idx="10">
                  <c:v>-0.00450000000000017</c:v>
                </c:pt>
                <c:pt idx="11">
                  <c:v>-0.000499999999999945</c:v>
                </c:pt>
                <c:pt idx="12">
                  <c:v>0.0024209999999999</c:v>
                </c:pt>
                <c:pt idx="13">
                  <c:v>0.00459900000000002</c:v>
                </c:pt>
                <c:pt idx="14">
                  <c:v>0.004469</c:v>
                </c:pt>
                <c:pt idx="15">
                  <c:v>0.00361599999999995</c:v>
                </c:pt>
                <c:pt idx="16">
                  <c:v>0.00456300000000001</c:v>
                </c:pt>
                <c:pt idx="17">
                  <c:v>0.003332</c:v>
                </c:pt>
                <c:pt idx="18">
                  <c:v>0.0029443</c:v>
                </c:pt>
                <c:pt idx="19">
                  <c:v>0.0029752</c:v>
                </c:pt>
                <c:pt idx="20">
                  <c:v>0.0024857</c:v>
                </c:pt>
                <c:pt idx="21">
                  <c:v>0.0021763</c:v>
                </c:pt>
                <c:pt idx="22">
                  <c:v>0.00161629</c:v>
                </c:pt>
                <c:pt idx="23">
                  <c:v>0.00144232</c:v>
                </c:pt>
                <c:pt idx="24">
                  <c:v>0.00122543</c:v>
                </c:pt>
                <c:pt idx="25">
                  <c:v>0.00101559</c:v>
                </c:pt>
                <c:pt idx="26">
                  <c:v>0.000876585</c:v>
                </c:pt>
                <c:pt idx="27">
                  <c:v>0.000686059</c:v>
                </c:pt>
                <c:pt idx="28">
                  <c:v>0.000511665</c:v>
                </c:pt>
                <c:pt idx="29">
                  <c:v>0.0003538845</c:v>
                </c:pt>
                <c:pt idx="30">
                  <c:v>0.000248004</c:v>
                </c:pt>
                <c:pt idx="31">
                  <c:v>0.00019485921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depth_stats_stc_new!$AN$1</c:f>
              <c:strCache>
                <c:ptCount val="1"/>
                <c:pt idx="0">
                  <c:v>n%(w-2d)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depth_stats_stc_new!$AN$2:$AN$33</c:f>
              <c:numCache>
                <c:formatCode>0.00\ %</c:formatCode>
                <c:ptCount val="32"/>
                <c:pt idx="0">
                  <c:v>-0.0197000000000003</c:v>
                </c:pt>
                <c:pt idx="1">
                  <c:v>0.178599999999999</c:v>
                </c:pt>
                <c:pt idx="2">
                  <c:v>-0.0128599999999999</c:v>
                </c:pt>
                <c:pt idx="3">
                  <c:v>-0.0325199999999999</c:v>
                </c:pt>
                <c:pt idx="4">
                  <c:v>-0.0329300000000004</c:v>
                </c:pt>
                <c:pt idx="5">
                  <c:v>-0.0245600000000001</c:v>
                </c:pt>
                <c:pt idx="6">
                  <c:v>-0.0195599999999998</c:v>
                </c:pt>
                <c:pt idx="7">
                  <c:v>-0.02162</c:v>
                </c:pt>
                <c:pt idx="8">
                  <c:v>-0.0125100000000002</c:v>
                </c:pt>
                <c:pt idx="9">
                  <c:v>-0.01247</c:v>
                </c:pt>
                <c:pt idx="10">
                  <c:v>-0.01068</c:v>
                </c:pt>
                <c:pt idx="11">
                  <c:v>-0.00295999999999985</c:v>
                </c:pt>
                <c:pt idx="12">
                  <c:v>-0.00166000000000011</c:v>
                </c:pt>
                <c:pt idx="13">
                  <c:v>0.000342000000000065</c:v>
                </c:pt>
                <c:pt idx="14">
                  <c:v>0.00118800000000002</c:v>
                </c:pt>
                <c:pt idx="15">
                  <c:v>0.00104699999999996</c:v>
                </c:pt>
                <c:pt idx="16">
                  <c:v>0.00209900000000002</c:v>
                </c:pt>
                <c:pt idx="17">
                  <c:v>0.001817</c:v>
                </c:pt>
                <c:pt idx="18">
                  <c:v>0.0023441</c:v>
                </c:pt>
                <c:pt idx="19">
                  <c:v>0.0024287</c:v>
                </c:pt>
                <c:pt idx="20">
                  <c:v>0.0025334</c:v>
                </c:pt>
                <c:pt idx="21">
                  <c:v>0.0023487</c:v>
                </c:pt>
                <c:pt idx="22">
                  <c:v>0.00186257</c:v>
                </c:pt>
                <c:pt idx="23">
                  <c:v>0.0016542</c:v>
                </c:pt>
                <c:pt idx="24">
                  <c:v>0.00141307</c:v>
                </c:pt>
                <c:pt idx="25">
                  <c:v>0.00111198</c:v>
                </c:pt>
                <c:pt idx="26">
                  <c:v>0.000962615</c:v>
                </c:pt>
                <c:pt idx="27">
                  <c:v>0.000706645</c:v>
                </c:pt>
                <c:pt idx="28">
                  <c:v>0.00051898</c:v>
                </c:pt>
                <c:pt idx="29">
                  <c:v>0.0003575895</c:v>
                </c:pt>
                <c:pt idx="30">
                  <c:v>0.000237471</c:v>
                </c:pt>
                <c:pt idx="31">
                  <c:v>0.00015989121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depth_stats_stc_new!$AL$1</c:f>
              <c:strCache>
                <c:ptCount val="1"/>
                <c:pt idx="0">
                  <c:v>n%(w+28m)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depth_stats_stc_new!$AL$2:$AL$33</c:f>
              <c:numCache>
                <c:formatCode>0.00\ %</c:formatCode>
                <c:ptCount val="32"/>
                <c:pt idx="0">
                  <c:v>0.0411999999999999</c:v>
                </c:pt>
                <c:pt idx="1">
                  <c:v>1.139</c:v>
                </c:pt>
                <c:pt idx="2">
                  <c:v>-0.347009999999999</c:v>
                </c:pt>
                <c:pt idx="3">
                  <c:v>-0.23422</c:v>
                </c:pt>
                <c:pt idx="4">
                  <c:v>-0.15327</c:v>
                </c:pt>
                <c:pt idx="5">
                  <c:v>-0.10884</c:v>
                </c:pt>
                <c:pt idx="6">
                  <c:v>-0.0869900000000001</c:v>
                </c:pt>
                <c:pt idx="7">
                  <c:v>-0.0720999999999998</c:v>
                </c:pt>
                <c:pt idx="8">
                  <c:v>-0.0561400000000001</c:v>
                </c:pt>
                <c:pt idx="9">
                  <c:v>-0.04406</c:v>
                </c:pt>
                <c:pt idx="10">
                  <c:v>-0.0324000000000002</c:v>
                </c:pt>
                <c:pt idx="11">
                  <c:v>-0.0212999999999999</c:v>
                </c:pt>
                <c:pt idx="12">
                  <c:v>-0.01471</c:v>
                </c:pt>
                <c:pt idx="13">
                  <c:v>-0.00864699999999996</c:v>
                </c:pt>
                <c:pt idx="14">
                  <c:v>-0.00412899999999999</c:v>
                </c:pt>
                <c:pt idx="15">
                  <c:v>-0.002444</c:v>
                </c:pt>
                <c:pt idx="16">
                  <c:v>0.000780000000000003</c:v>
                </c:pt>
                <c:pt idx="17">
                  <c:v>0.000418000000000002</c:v>
                </c:pt>
                <c:pt idx="18">
                  <c:v>0.000403500000000001</c:v>
                </c:pt>
                <c:pt idx="19">
                  <c:v>0.000857999999999998</c:v>
                </c:pt>
                <c:pt idx="20">
                  <c:v>0.000658699999999998</c:v>
                </c:pt>
                <c:pt idx="21">
                  <c:v>0.000688399999999999</c:v>
                </c:pt>
                <c:pt idx="22">
                  <c:v>0.00045068</c:v>
                </c:pt>
                <c:pt idx="23">
                  <c:v>0.000321940000000001</c:v>
                </c:pt>
                <c:pt idx="24">
                  <c:v>0.00028913</c:v>
                </c:pt>
                <c:pt idx="25">
                  <c:v>0.00027695</c:v>
                </c:pt>
                <c:pt idx="26">
                  <c:v>0.000240607</c:v>
                </c:pt>
                <c:pt idx="27">
                  <c:v>0.000184823</c:v>
                </c:pt>
                <c:pt idx="28">
                  <c:v>0.000156144</c:v>
                </c:pt>
                <c:pt idx="29">
                  <c:v>9.48885E-005</c:v>
                </c:pt>
                <c:pt idx="30">
                  <c:v>6.05716E-005</c:v>
                </c:pt>
                <c:pt idx="31">
                  <c:v>3.213321E-005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depth_stats_stc_new!$AJ$1</c:f>
              <c:strCache>
                <c:ptCount val="1"/>
                <c:pt idx="0">
                  <c:v>n%(w-d)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depth_stats_stc_new!$AJ$2:$AJ$33</c:f>
              <c:numCache>
                <c:formatCode>0.00\ %</c:formatCode>
                <c:ptCount val="32"/>
                <c:pt idx="0">
                  <c:v>0.0867000000000004</c:v>
                </c:pt>
                <c:pt idx="1">
                  <c:v>0.122700000000002</c:v>
                </c:pt>
                <c:pt idx="2">
                  <c:v>-0.0622499999999988</c:v>
                </c:pt>
                <c:pt idx="3">
                  <c:v>-0.0556699999999992</c:v>
                </c:pt>
                <c:pt idx="4">
                  <c:v>-0.0342200000000004</c:v>
                </c:pt>
                <c:pt idx="5">
                  <c:v>-0.0235500000000002</c:v>
                </c:pt>
                <c:pt idx="6">
                  <c:v>-0.00885999999999987</c:v>
                </c:pt>
                <c:pt idx="7">
                  <c:v>-0.01003</c:v>
                </c:pt>
                <c:pt idx="8">
                  <c:v>-0.0069300000000001</c:v>
                </c:pt>
                <c:pt idx="9">
                  <c:v>-0.00822999999999996</c:v>
                </c:pt>
                <c:pt idx="10">
                  <c:v>-0.00455000000000005</c:v>
                </c:pt>
                <c:pt idx="11">
                  <c:v>-0.00105999999999984</c:v>
                </c:pt>
                <c:pt idx="12">
                  <c:v>-0.0010730000000001</c:v>
                </c:pt>
                <c:pt idx="13">
                  <c:v>-0.00096699999999994</c:v>
                </c:pt>
                <c:pt idx="14">
                  <c:v>-0.00173099999999998</c:v>
                </c:pt>
                <c:pt idx="15">
                  <c:v>0.000242999999999993</c:v>
                </c:pt>
                <c:pt idx="16">
                  <c:v>0.000901000000000013</c:v>
                </c:pt>
                <c:pt idx="17">
                  <c:v>0.000539999999999999</c:v>
                </c:pt>
                <c:pt idx="18">
                  <c:v>0.0011423</c:v>
                </c:pt>
                <c:pt idx="19">
                  <c:v>0.001459</c:v>
                </c:pt>
                <c:pt idx="20">
                  <c:v>0.0011457</c:v>
                </c:pt>
                <c:pt idx="21">
                  <c:v>0.0010099</c:v>
                </c:pt>
                <c:pt idx="22">
                  <c:v>0.00085078</c:v>
                </c:pt>
                <c:pt idx="23">
                  <c:v>0.000656</c:v>
                </c:pt>
                <c:pt idx="24">
                  <c:v>0.00050014</c:v>
                </c:pt>
                <c:pt idx="25">
                  <c:v>0.00036396</c:v>
                </c:pt>
                <c:pt idx="26">
                  <c:v>0.000250955</c:v>
                </c:pt>
                <c:pt idx="27">
                  <c:v>0.000215676</c:v>
                </c:pt>
                <c:pt idx="28">
                  <c:v>0.000144995</c:v>
                </c:pt>
                <c:pt idx="29">
                  <c:v>9.56315E-005</c:v>
                </c:pt>
                <c:pt idx="30">
                  <c:v>5.46659E-005</c:v>
                </c:pt>
                <c:pt idx="31">
                  <c:v>3.961221E-005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depth_stats_stc_new!$AD$1</c:f>
              <c:strCache>
                <c:ptCount val="1"/>
                <c:pt idx="0">
                  <c:v>n%(w+5)</c:v>
                </c:pt>
              </c:strCache>
            </c:strRef>
          </c:tx>
          <c:spPr>
            <a:solidFill>
              <a:srgbClr val="90A2D3"/>
            </a:solidFill>
            <a:ln w="19080">
              <a:solidFill>
                <a:srgbClr val="90A2D3"/>
              </a:solidFill>
              <a:round/>
            </a:ln>
          </c:spP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depth_stats_stc_new!$AD$2:$AD$33</c:f>
              <c:numCache>
                <c:formatCode>0.00\ %</c:formatCode>
                <c:ptCount val="32"/>
                <c:pt idx="0">
                  <c:v>0.0934999999999988</c:v>
                </c:pt>
                <c:pt idx="1">
                  <c:v>0.242599999999999</c:v>
                </c:pt>
                <c:pt idx="2">
                  <c:v>-0.0425100000000001</c:v>
                </c:pt>
                <c:pt idx="3">
                  <c:v>-0.04026</c:v>
                </c:pt>
                <c:pt idx="4">
                  <c:v>-0.0304799999999998</c:v>
                </c:pt>
                <c:pt idx="5">
                  <c:v>-0.0336100000000004</c:v>
                </c:pt>
                <c:pt idx="6">
                  <c:v>-0.0275099999999999</c:v>
                </c:pt>
                <c:pt idx="7">
                  <c:v>-0.0315799999999999</c:v>
                </c:pt>
                <c:pt idx="8">
                  <c:v>-0.0244800000000001</c:v>
                </c:pt>
                <c:pt idx="9">
                  <c:v>-0.0203200000000001</c:v>
                </c:pt>
                <c:pt idx="10">
                  <c:v>-0.0169600000000001</c:v>
                </c:pt>
                <c:pt idx="11">
                  <c:v>-0.01251</c:v>
                </c:pt>
                <c:pt idx="12">
                  <c:v>-0.010063</c:v>
                </c:pt>
                <c:pt idx="13">
                  <c:v>-0.010574</c:v>
                </c:pt>
                <c:pt idx="14">
                  <c:v>-0.00833499999999998</c:v>
                </c:pt>
                <c:pt idx="15">
                  <c:v>-0.00746000000000002</c:v>
                </c:pt>
                <c:pt idx="16">
                  <c:v>-0.00603999999999999</c:v>
                </c:pt>
                <c:pt idx="17">
                  <c:v>-0.005232</c:v>
                </c:pt>
                <c:pt idx="18">
                  <c:v>-0.0040668</c:v>
                </c:pt>
                <c:pt idx="19">
                  <c:v>-0.00261640000000001</c:v>
                </c:pt>
                <c:pt idx="20">
                  <c:v>-0.0015665</c:v>
                </c:pt>
                <c:pt idx="21">
                  <c:v>-0.0007957</c:v>
                </c:pt>
                <c:pt idx="22">
                  <c:v>-0.00046318</c:v>
                </c:pt>
                <c:pt idx="23">
                  <c:v>-7.56400000000001E-005</c:v>
                </c:pt>
                <c:pt idx="24">
                  <c:v>0.00010492</c:v>
                </c:pt>
                <c:pt idx="25">
                  <c:v>0.00023739</c:v>
                </c:pt>
                <c:pt idx="26">
                  <c:v>0.000250822</c:v>
                </c:pt>
                <c:pt idx="27">
                  <c:v>0.000237063</c:v>
                </c:pt>
                <c:pt idx="28">
                  <c:v>0.000174381</c:v>
                </c:pt>
                <c:pt idx="29">
                  <c:v>0.0001258635</c:v>
                </c:pt>
                <c:pt idx="30">
                  <c:v>8.5176E-005</c:v>
                </c:pt>
                <c:pt idx="31">
                  <c:v>5.109261E-005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depth_stats_stc_new!$AF$1</c:f>
              <c:strCache>
                <c:ptCount val="1"/>
                <c:pt idx="0">
                  <c:v>n%(razor+64pc)</c:v>
                </c:pt>
              </c:strCache>
            </c:strRef>
          </c:tx>
          <c:spPr>
            <a:solidFill>
              <a:srgbClr val="F1A78B"/>
            </a:solidFill>
            <a:ln w="19080">
              <a:solidFill>
                <a:srgbClr val="F1A78B"/>
              </a:solidFill>
              <a:round/>
            </a:ln>
          </c:spP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depth_stats_stc_new!$AF$2:$AF$33</c:f>
              <c:numCache>
                <c:formatCode>0.00\ %</c:formatCode>
                <c:ptCount val="32"/>
                <c:pt idx="0">
                  <c:v>-0.146900000000002</c:v>
                </c:pt>
                <c:pt idx="1">
                  <c:v>0.00619999999999976</c:v>
                </c:pt>
                <c:pt idx="2">
                  <c:v>-0.0162199999999988</c:v>
                </c:pt>
                <c:pt idx="3">
                  <c:v>-0.00295999999999985</c:v>
                </c:pt>
                <c:pt idx="4">
                  <c:v>0.0121000000000002</c:v>
                </c:pt>
                <c:pt idx="5">
                  <c:v>0.0171999999999999</c:v>
                </c:pt>
                <c:pt idx="6">
                  <c:v>0.0173100000000002</c:v>
                </c:pt>
                <c:pt idx="7">
                  <c:v>0.0151600000000003</c:v>
                </c:pt>
                <c:pt idx="8">
                  <c:v>0.0134399999999997</c:v>
                </c:pt>
                <c:pt idx="9">
                  <c:v>0.00624999999999987</c:v>
                </c:pt>
                <c:pt idx="10">
                  <c:v>0.00707999999999998</c:v>
                </c:pt>
                <c:pt idx="11">
                  <c:v>0.00694000000000017</c:v>
                </c:pt>
                <c:pt idx="12">
                  <c:v>0.008961</c:v>
                </c:pt>
                <c:pt idx="13">
                  <c:v>0.0105810000000001</c:v>
                </c:pt>
                <c:pt idx="14">
                  <c:v>0.00829400000000002</c:v>
                </c:pt>
                <c:pt idx="15">
                  <c:v>0.00746599999999997</c:v>
                </c:pt>
                <c:pt idx="16">
                  <c:v>0.00676400000000002</c:v>
                </c:pt>
                <c:pt idx="17">
                  <c:v>0.005605</c:v>
                </c:pt>
                <c:pt idx="18">
                  <c:v>0.0045726</c:v>
                </c:pt>
                <c:pt idx="19">
                  <c:v>0.0033261</c:v>
                </c:pt>
                <c:pt idx="20">
                  <c:v>0.0025683</c:v>
                </c:pt>
                <c:pt idx="21">
                  <c:v>0.0017575</c:v>
                </c:pt>
                <c:pt idx="22">
                  <c:v>0.0011977</c:v>
                </c:pt>
                <c:pt idx="23">
                  <c:v>0.00090154</c:v>
                </c:pt>
                <c:pt idx="24">
                  <c:v>0.0006771</c:v>
                </c:pt>
                <c:pt idx="25">
                  <c:v>0.00053376</c:v>
                </c:pt>
                <c:pt idx="26">
                  <c:v>0.000404375</c:v>
                </c:pt>
                <c:pt idx="27">
                  <c:v>0.000279788</c:v>
                </c:pt>
                <c:pt idx="28">
                  <c:v>0.000179348</c:v>
                </c:pt>
                <c:pt idx="29">
                  <c:v>0.0001138235</c:v>
                </c:pt>
                <c:pt idx="30">
                  <c:v>6.77201E-005</c:v>
                </c:pt>
                <c:pt idx="31">
                  <c:v>4.492571E-005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depth_stats_stc_new!$AH$1</c:f>
              <c:strCache>
                <c:ptCount val="1"/>
                <c:pt idx="0">
                  <c:v>n%(razor+128pc)</c:v>
                </c:pt>
              </c:strCache>
            </c:strRef>
          </c:tx>
          <c:spPr>
            <a:solidFill>
              <a:srgbClr val="BFBFBF"/>
            </a:solidFill>
            <a:ln w="19080">
              <a:solidFill>
                <a:srgbClr val="BFBFBF"/>
              </a:solidFill>
              <a:round/>
            </a:ln>
          </c:spP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depth_stats_stc_new!$A$2:$A$33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depth_stats_stc_new!$AH$2:$AH$33</c:f>
              <c:numCache>
                <c:formatCode>0.00\ %</c:formatCode>
                <c:ptCount val="32"/>
                <c:pt idx="0">
                  <c:v>-0.0811000000000028</c:v>
                </c:pt>
                <c:pt idx="1">
                  <c:v>0.0298000000000016</c:v>
                </c:pt>
                <c:pt idx="2">
                  <c:v>-0.00580999999999854</c:v>
                </c:pt>
                <c:pt idx="3">
                  <c:v>0.00161999999999995</c:v>
                </c:pt>
                <c:pt idx="4">
                  <c:v>0.00809999999999977</c:v>
                </c:pt>
                <c:pt idx="5">
                  <c:v>0.00438999999999989</c:v>
                </c:pt>
                <c:pt idx="6">
                  <c:v>0.00666000000000011</c:v>
                </c:pt>
                <c:pt idx="7">
                  <c:v>0.00344000000000033</c:v>
                </c:pt>
                <c:pt idx="8">
                  <c:v>0.00373999999999963</c:v>
                </c:pt>
                <c:pt idx="9">
                  <c:v>0.00378999999999996</c:v>
                </c:pt>
                <c:pt idx="10">
                  <c:v>0.0024099999999998</c:v>
                </c:pt>
                <c:pt idx="11">
                  <c:v>0.00137000000000009</c:v>
                </c:pt>
                <c:pt idx="12">
                  <c:v>0.004189</c:v>
                </c:pt>
                <c:pt idx="13">
                  <c:v>0.00329699999999999</c:v>
                </c:pt>
                <c:pt idx="14">
                  <c:v>0.00109600000000004</c:v>
                </c:pt>
                <c:pt idx="15">
                  <c:v>0.00148899999999996</c:v>
                </c:pt>
                <c:pt idx="16">
                  <c:v>0.00239900000000001</c:v>
                </c:pt>
                <c:pt idx="17">
                  <c:v>0.00209000000000001</c:v>
                </c:pt>
                <c:pt idx="18">
                  <c:v>0.0011394</c:v>
                </c:pt>
                <c:pt idx="19">
                  <c:v>0.0012344</c:v>
                </c:pt>
                <c:pt idx="20">
                  <c:v>0.0010238</c:v>
                </c:pt>
                <c:pt idx="21">
                  <c:v>0.000847599999999999</c:v>
                </c:pt>
                <c:pt idx="22">
                  <c:v>0.0006376</c:v>
                </c:pt>
                <c:pt idx="23">
                  <c:v>0.000546140000000001</c:v>
                </c:pt>
                <c:pt idx="24">
                  <c:v>0.00039936</c:v>
                </c:pt>
                <c:pt idx="25">
                  <c:v>0.00034626</c:v>
                </c:pt>
                <c:pt idx="26">
                  <c:v>0.000250028</c:v>
                </c:pt>
                <c:pt idx="27">
                  <c:v>0.000168449</c:v>
                </c:pt>
                <c:pt idx="28">
                  <c:v>0.000129138</c:v>
                </c:pt>
                <c:pt idx="29">
                  <c:v>8.01865E-005</c:v>
                </c:pt>
                <c:pt idx="30">
                  <c:v>5.81563E-005</c:v>
                </c:pt>
                <c:pt idx="31">
                  <c:v>4.298841E-005</c:v>
                </c:pt>
              </c:numCache>
            </c:numRef>
          </c:yVal>
          <c:smooth val="1"/>
        </c:ser>
        <c:axId val="13626328"/>
        <c:axId val="83186688"/>
      </c:scatterChart>
      <c:valAx>
        <c:axId val="1362632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83186688"/>
        <c:crosses val="autoZero"/>
        <c:crossBetween val="midCat"/>
      </c:valAx>
      <c:valAx>
        <c:axId val="831866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\ 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362632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de-DE"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400" b="0" u="none" strike="noStrike">
                <a:solidFill>
                  <a:srgbClr val="595959"/>
                </a:solidFill>
                <a:uFillTx/>
                <a:latin typeface="Calibri"/>
              </a:rPr>
              <a:t>ln(p)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depth_stats_ltc!$H$1</c:f>
              <c:strCache>
                <c:ptCount val="1"/>
                <c:pt idx="0">
                  <c:v>n%(r+653)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depth_stats_ltc!$H$2:$H$33</c:f>
              <c:numCache>
                <c:formatCode>0.00\ %</c:formatCode>
                <c:ptCount val="32"/>
                <c:pt idx="0">
                  <c:v>-0.0570955583723389</c:v>
                </c:pt>
                <c:pt idx="1">
                  <c:v>-0.0894428884174651</c:v>
                </c:pt>
                <c:pt idx="2">
                  <c:v>-0.00687584035749911</c:v>
                </c:pt>
                <c:pt idx="3">
                  <c:v>0.0318117907434266</c:v>
                </c:pt>
                <c:pt idx="4">
                  <c:v>0.0485184482898111</c:v>
                </c:pt>
                <c:pt idx="5">
                  <c:v>0.0489634121544067</c:v>
                </c:pt>
                <c:pt idx="6">
                  <c:v>0.0512819883126441</c:v>
                </c:pt>
                <c:pt idx="7">
                  <c:v>0.0665109485511244</c:v>
                </c:pt>
                <c:pt idx="8">
                  <c:v>0.101947596878504</c:v>
                </c:pt>
                <c:pt idx="9">
                  <c:v>0.143242340978702</c:v>
                </c:pt>
                <c:pt idx="10">
                  <c:v>0.162723561484962</c:v>
                </c:pt>
                <c:pt idx="11">
                  <c:v>0.174041198265495</c:v>
                </c:pt>
                <c:pt idx="12">
                  <c:v>0.157475019177125</c:v>
                </c:pt>
                <c:pt idx="13">
                  <c:v>0.124947947608403</c:v>
                </c:pt>
                <c:pt idx="14">
                  <c:v>0.100793552705502</c:v>
                </c:pt>
                <c:pt idx="15">
                  <c:v>0.0914045304412685</c:v>
                </c:pt>
                <c:pt idx="16">
                  <c:v>0.101319449365094</c:v>
                </c:pt>
                <c:pt idx="17">
                  <c:v>0.117291956572861</c:v>
                </c:pt>
                <c:pt idx="18">
                  <c:v>0.138317629179466</c:v>
                </c:pt>
                <c:pt idx="19">
                  <c:v>0.16357388352962</c:v>
                </c:pt>
                <c:pt idx="20">
                  <c:v>0.196538609585245</c:v>
                </c:pt>
                <c:pt idx="21">
                  <c:v>0.240730737243485</c:v>
                </c:pt>
                <c:pt idx="22">
                  <c:v>0.297004000812325</c:v>
                </c:pt>
                <c:pt idx="23">
                  <c:v>0.367070155726466</c:v>
                </c:pt>
                <c:pt idx="24">
                  <c:v>0.447226204329784</c:v>
                </c:pt>
                <c:pt idx="25">
                  <c:v>0.537880366161069</c:v>
                </c:pt>
                <c:pt idx="26">
                  <c:v>0.636028649088843</c:v>
                </c:pt>
                <c:pt idx="27">
                  <c:v>0.735787890936893</c:v>
                </c:pt>
                <c:pt idx="28">
                  <c:v>0.838975386939266</c:v>
                </c:pt>
                <c:pt idx="29">
                  <c:v>0.934625384393566</c:v>
                </c:pt>
                <c:pt idx="30">
                  <c:v>1.02494289183831</c:v>
                </c:pt>
                <c:pt idx="31">
                  <c:v>1.10848184755961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depth_stats_ltc!$J$1</c:f>
              <c:strCache>
                <c:ptCount val="1"/>
                <c:pt idx="0">
                  <c:v>n%(+128)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depth_stats_ltc!$J$2:$J$33</c:f>
              <c:numCache>
                <c:formatCode>General</c:formatCode>
                <c:ptCount val="32"/>
              </c:numCache>
            </c:numRef>
          </c:yVal>
          <c:smooth val="1"/>
        </c:ser>
        <c:ser>
          <c:idx val="2"/>
          <c:order val="2"/>
          <c:tx>
            <c:strRef>
              <c:f>depth_stats_ltc!$L$1</c:f>
              <c:strCache>
                <c:ptCount val="1"/>
                <c:pt idx="0">
                  <c:v>n%(w-d)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depth_stats_ltc!$L$2:$L$33</c:f>
              <c:numCache>
                <c:formatCode>General</c:formatCode>
                <c:ptCount val="32"/>
              </c:numCache>
            </c:numRef>
          </c:yVal>
          <c:smooth val="1"/>
        </c:ser>
        <c:axId val="55625019"/>
        <c:axId val="39120944"/>
      </c:scatterChart>
      <c:valAx>
        <c:axId val="5562501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9120944"/>
        <c:crosses val="autoZero"/>
        <c:crossBetween val="midCat"/>
      </c:valAx>
      <c:valAx>
        <c:axId val="391209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\ 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5562501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de-DE"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400" b="0" u="none" strike="noStrike">
                <a:solidFill>
                  <a:srgbClr val="595959"/>
                </a:solidFill>
                <a:uFillTx/>
                <a:latin typeface="Calibri"/>
              </a:rPr>
              <a:t>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depth_stats_ltc!$I$1</c:f>
              <c:strCache>
                <c:ptCount val="1"/>
                <c:pt idx="0">
                  <c:v>n%(r+653)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depth_stats_ltc!$I$2:$I$33</c:f>
              <c:numCache>
                <c:formatCode>0.00\ %</c:formatCode>
                <c:ptCount val="32"/>
                <c:pt idx="0">
                  <c:v>-1.0907</c:v>
                </c:pt>
                <c:pt idx="1">
                  <c:v>-1.7671</c:v>
                </c:pt>
                <c:pt idx="2">
                  <c:v>-0.0530600000000003</c:v>
                </c:pt>
                <c:pt idx="3">
                  <c:v>0.231410000000001</c:v>
                </c:pt>
                <c:pt idx="4">
                  <c:v>0.29212</c:v>
                </c:pt>
                <c:pt idx="5">
                  <c:v>0.22492</c:v>
                </c:pt>
                <c:pt idx="6">
                  <c:v>0.18259</c:v>
                </c:pt>
                <c:pt idx="7">
                  <c:v>0.19939</c:v>
                </c:pt>
                <c:pt idx="8">
                  <c:v>0.26472</c:v>
                </c:pt>
                <c:pt idx="9">
                  <c:v>0.31982</c:v>
                </c:pt>
                <c:pt idx="10">
                  <c:v>0.29963</c:v>
                </c:pt>
                <c:pt idx="11">
                  <c:v>0.2602</c:v>
                </c:pt>
                <c:pt idx="12">
                  <c:v>0.18303</c:v>
                </c:pt>
                <c:pt idx="13">
                  <c:v>0.108121</c:v>
                </c:pt>
                <c:pt idx="14">
                  <c:v>0.064093</c:v>
                </c:pt>
                <c:pt idx="15">
                  <c:v>0.042383</c:v>
                </c:pt>
                <c:pt idx="16">
                  <c:v>0.034525</c:v>
                </c:pt>
                <c:pt idx="17">
                  <c:v>0.029354</c:v>
                </c:pt>
                <c:pt idx="18">
                  <c:v>0.025279</c:v>
                </c:pt>
                <c:pt idx="19">
                  <c:v>0.021707</c:v>
                </c:pt>
                <c:pt idx="20">
                  <c:v>0.0189016</c:v>
                </c:pt>
                <c:pt idx="21">
                  <c:v>0.0167861</c:v>
                </c:pt>
                <c:pt idx="22">
                  <c:v>0.0149993</c:v>
                </c:pt>
                <c:pt idx="23">
                  <c:v>0.0134446</c:v>
                </c:pt>
                <c:pt idx="24">
                  <c:v>0.0119091</c:v>
                </c:pt>
                <c:pt idx="25">
                  <c:v>0.0104412</c:v>
                </c:pt>
                <c:pt idx="26">
                  <c:v>0.008989</c:v>
                </c:pt>
                <c:pt idx="27">
                  <c:v>0.00757035</c:v>
                </c:pt>
                <c:pt idx="28">
                  <c:v>0.00623807</c:v>
                </c:pt>
                <c:pt idx="29">
                  <c:v>0.005002</c:v>
                </c:pt>
                <c:pt idx="30">
                  <c:v>0.0038975</c:v>
                </c:pt>
                <c:pt idx="31">
                  <c:v>0.00295428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depth_stats_ltc!$K$1</c:f>
              <c:strCache>
                <c:ptCount val="1"/>
                <c:pt idx="0">
                  <c:v>n%(+128)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depth_stats_ltc!$K$2:$K$33</c:f>
              <c:numCache>
                <c:formatCode>General</c:formatCode>
                <c:ptCount val="32"/>
              </c:numCache>
            </c:numRef>
          </c:yVal>
          <c:smooth val="1"/>
        </c:ser>
        <c:ser>
          <c:idx val="2"/>
          <c:order val="2"/>
          <c:tx>
            <c:strRef>
              <c:f>depth_stats_ltc!$M$1</c:f>
              <c:strCache>
                <c:ptCount val="1"/>
                <c:pt idx="0">
                  <c:v>n%(w-d)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depth_stats_ltc!$A$2:$A$33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depth_stats_ltc!$M$2:$M$33</c:f>
              <c:numCache>
                <c:formatCode>General</c:formatCode>
                <c:ptCount val="32"/>
              </c:numCache>
            </c:numRef>
          </c:yVal>
          <c:smooth val="1"/>
        </c:ser>
        <c:axId val="21870209"/>
        <c:axId val="92824041"/>
      </c:scatterChart>
      <c:valAx>
        <c:axId val="2187020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2824041"/>
        <c:crosses val="autoZero"/>
        <c:crossBetween val="midCat"/>
      </c:valAx>
      <c:valAx>
        <c:axId val="928240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\ 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187020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de-DE"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400" b="0" u="none" strike="noStrike">
                <a:solidFill>
                  <a:srgbClr val="595959"/>
                </a:solidFill>
                <a:uFillTx/>
                <a:latin typeface="Calibri"/>
              </a:rPr>
              <a:t>ln(p)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depth_stats_stc!$H$1</c:f>
              <c:strCache>
                <c:ptCount val="1"/>
                <c:pt idx="0">
                  <c:v>n%(r+653)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depth_stats_stc!$H$2:$H$33</c:f>
              <c:numCache>
                <c:formatCode>0.00\ %</c:formatCode>
                <c:ptCount val="32"/>
                <c:pt idx="0">
                  <c:v>0.00251598993443491</c:v>
                </c:pt>
                <c:pt idx="1">
                  <c:v>0.0243208577298846</c:v>
                </c:pt>
                <c:pt idx="2">
                  <c:v>-0.0181416271668096</c:v>
                </c:pt>
                <c:pt idx="3">
                  <c:v>-0.0164672967319226</c:v>
                </c:pt>
                <c:pt idx="4">
                  <c:v>-0.0134691752440679</c:v>
                </c:pt>
                <c:pt idx="5">
                  <c:v>-0.0130897582329648</c:v>
                </c:pt>
                <c:pt idx="6">
                  <c:v>-0.0120797062729059</c:v>
                </c:pt>
                <c:pt idx="7">
                  <c:v>-0.0110870179259006</c:v>
                </c:pt>
                <c:pt idx="8">
                  <c:v>-0.00982465022238976</c:v>
                </c:pt>
                <c:pt idx="9">
                  <c:v>-0.0109867262442385</c:v>
                </c:pt>
                <c:pt idx="10">
                  <c:v>-0.00921716600929123</c:v>
                </c:pt>
                <c:pt idx="11">
                  <c:v>-0.00772783231075902</c:v>
                </c:pt>
                <c:pt idx="12">
                  <c:v>-0.0114153149458174</c:v>
                </c:pt>
                <c:pt idx="13">
                  <c:v>-0.0136834657648111</c:v>
                </c:pt>
                <c:pt idx="14">
                  <c:v>-0.0163776726752838</c:v>
                </c:pt>
                <c:pt idx="15">
                  <c:v>-0.0122310969926955</c:v>
                </c:pt>
                <c:pt idx="16">
                  <c:v>-0.0198194024194409</c:v>
                </c:pt>
                <c:pt idx="17">
                  <c:v>-0.0131600620492964</c:v>
                </c:pt>
                <c:pt idx="18">
                  <c:v>-0.0130401232450525</c:v>
                </c:pt>
                <c:pt idx="19">
                  <c:v>-0.0169091427708734</c:v>
                </c:pt>
                <c:pt idx="20">
                  <c:v>0.00346242694336141</c:v>
                </c:pt>
                <c:pt idx="21">
                  <c:v>0.0095294739500762</c:v>
                </c:pt>
                <c:pt idx="22">
                  <c:v>0.054922156727681</c:v>
                </c:pt>
                <c:pt idx="23">
                  <c:v>0.0933610346656035</c:v>
                </c:pt>
                <c:pt idx="24">
                  <c:v>0.169363762880442</c:v>
                </c:pt>
                <c:pt idx="25">
                  <c:v>0.243442189157129</c:v>
                </c:pt>
                <c:pt idx="26">
                  <c:v>0.270652479651019</c:v>
                </c:pt>
                <c:pt idx="27">
                  <c:v>0.318981556017318</c:v>
                </c:pt>
                <c:pt idx="28">
                  <c:v>0.337986767676334</c:v>
                </c:pt>
                <c:pt idx="29">
                  <c:v>0.431110611587233</c:v>
                </c:pt>
                <c:pt idx="30">
                  <c:v>0.435371644243849</c:v>
                </c:pt>
                <c:pt idx="31">
                  <c:v>0.363926084614192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depth_stats_stc!$J$1</c:f>
              <c:strCache>
                <c:ptCount val="1"/>
                <c:pt idx="0">
                  <c:v>n%(+128)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depth_stats_stc!$J$2:$J$33</c:f>
              <c:numCache>
                <c:formatCode>0.00\ %</c:formatCode>
                <c:ptCount val="32"/>
                <c:pt idx="0">
                  <c:v>-0.000571994670522713</c:v>
                </c:pt>
                <c:pt idx="1">
                  <c:v>0.0177811290531226</c:v>
                </c:pt>
                <c:pt idx="2">
                  <c:v>-0.0123579437937735</c:v>
                </c:pt>
                <c:pt idx="3">
                  <c:v>-0.00818557084775451</c:v>
                </c:pt>
                <c:pt idx="4">
                  <c:v>-0.00677353678802017</c:v>
                </c:pt>
                <c:pt idx="5">
                  <c:v>-0.0094546641517872</c:v>
                </c:pt>
                <c:pt idx="6">
                  <c:v>-0.010001857198974</c:v>
                </c:pt>
                <c:pt idx="7">
                  <c:v>-0.00806938816455727</c:v>
                </c:pt>
                <c:pt idx="8">
                  <c:v>-0.00553309753699738</c:v>
                </c:pt>
                <c:pt idx="9">
                  <c:v>-0.00752720364292125</c:v>
                </c:pt>
                <c:pt idx="10">
                  <c:v>-0.00812582232558778</c:v>
                </c:pt>
                <c:pt idx="11">
                  <c:v>-0.00747185586830224</c:v>
                </c:pt>
                <c:pt idx="12">
                  <c:v>-0.0137336218924853</c:v>
                </c:pt>
                <c:pt idx="13">
                  <c:v>-0.0152124255238064</c:v>
                </c:pt>
                <c:pt idx="14">
                  <c:v>-0.0179959036947439</c:v>
                </c:pt>
                <c:pt idx="15">
                  <c:v>-0.0125554652529978</c:v>
                </c:pt>
                <c:pt idx="16">
                  <c:v>-0.0109516824525526</c:v>
                </c:pt>
                <c:pt idx="17">
                  <c:v>0.00482484569109065</c:v>
                </c:pt>
                <c:pt idx="18">
                  <c:v>0.0217538131643584</c:v>
                </c:pt>
                <c:pt idx="19">
                  <c:v>0.0346181942808279</c:v>
                </c:pt>
                <c:pt idx="20">
                  <c:v>0.0595874386643462</c:v>
                </c:pt>
                <c:pt idx="21">
                  <c:v>0.0882878448091837</c:v>
                </c:pt>
                <c:pt idx="22">
                  <c:v>0.140570132662967</c:v>
                </c:pt>
                <c:pt idx="23">
                  <c:v>0.16302618777493</c:v>
                </c:pt>
                <c:pt idx="24">
                  <c:v>0.195914642659945</c:v>
                </c:pt>
                <c:pt idx="25">
                  <c:v>0.225143736211844</c:v>
                </c:pt>
                <c:pt idx="26">
                  <c:v>0.202876860155687</c:v>
                </c:pt>
                <c:pt idx="27">
                  <c:v>0.278461826834333</c:v>
                </c:pt>
                <c:pt idx="28">
                  <c:v>0.288039939249748</c:v>
                </c:pt>
                <c:pt idx="29">
                  <c:v>0.322640026090717</c:v>
                </c:pt>
                <c:pt idx="30">
                  <c:v>0.352936869182651</c:v>
                </c:pt>
                <c:pt idx="31">
                  <c:v>0.305513162236206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depth_stats_stc!$L$1</c:f>
              <c:strCache>
                <c:ptCount val="1"/>
                <c:pt idx="0">
                  <c:v>n%(w-d)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depth_stats_stc!$L$2:$L$33</c:f>
              <c:numCache>
                <c:formatCode>0.00\ %</c:formatCode>
                <c:ptCount val="32"/>
                <c:pt idx="0">
                  <c:v>-0.00222755226175275</c:v>
                </c:pt>
                <c:pt idx="1">
                  <c:v>0.000457379987624629</c:v>
                </c:pt>
                <c:pt idx="2">
                  <c:v>0.00254841692088137</c:v>
                </c:pt>
                <c:pt idx="3">
                  <c:v>0.00291385493019058</c:v>
                </c:pt>
                <c:pt idx="4">
                  <c:v>0.000598469880811248</c:v>
                </c:pt>
                <c:pt idx="5">
                  <c:v>-0.00255980778901987</c:v>
                </c:pt>
                <c:pt idx="6">
                  <c:v>-0.00334319620949719</c:v>
                </c:pt>
                <c:pt idx="7">
                  <c:v>-0.00233088648086799</c:v>
                </c:pt>
                <c:pt idx="8">
                  <c:v>-0.00205827843693696</c:v>
                </c:pt>
                <c:pt idx="9">
                  <c:v>-0.00430276439570454</c:v>
                </c:pt>
                <c:pt idx="10">
                  <c:v>-0.00391504947959476</c:v>
                </c:pt>
                <c:pt idx="11">
                  <c:v>-0.0033594163109969</c:v>
                </c:pt>
                <c:pt idx="12">
                  <c:v>-0.00258959084724619</c:v>
                </c:pt>
                <c:pt idx="13">
                  <c:v>-0.00251098562005669</c:v>
                </c:pt>
                <c:pt idx="14">
                  <c:v>0.00248446509051359</c:v>
                </c:pt>
                <c:pt idx="15">
                  <c:v>0.0121552529949982</c:v>
                </c:pt>
                <c:pt idx="16">
                  <c:v>0.0282488933047054</c:v>
                </c:pt>
                <c:pt idx="17">
                  <c:v>0.0528872418616109</c:v>
                </c:pt>
                <c:pt idx="18">
                  <c:v>0.083374965315147</c:v>
                </c:pt>
                <c:pt idx="19">
                  <c:v>0.117672518542497</c:v>
                </c:pt>
                <c:pt idx="20">
                  <c:v>0.166290173032715</c:v>
                </c:pt>
                <c:pt idx="21">
                  <c:v>0.231301928217963</c:v>
                </c:pt>
                <c:pt idx="22">
                  <c:v>0.306054723966387</c:v>
                </c:pt>
                <c:pt idx="23">
                  <c:v>0.354688734806723</c:v>
                </c:pt>
                <c:pt idx="24">
                  <c:v>0.421222143984</c:v>
                </c:pt>
                <c:pt idx="25">
                  <c:v>0.460339366832873</c:v>
                </c:pt>
                <c:pt idx="26">
                  <c:v>0.47564885727763</c:v>
                </c:pt>
                <c:pt idx="27">
                  <c:v>0.508110013629766</c:v>
                </c:pt>
                <c:pt idx="28">
                  <c:v>0.52249088080624</c:v>
                </c:pt>
                <c:pt idx="29">
                  <c:v>0.575258283315716</c:v>
                </c:pt>
                <c:pt idx="30">
                  <c:v>0.578274768862308</c:v>
                </c:pt>
                <c:pt idx="31">
                  <c:v>0.477666854877821</c:v>
                </c:pt>
              </c:numCache>
            </c:numRef>
          </c:yVal>
          <c:smooth val="1"/>
        </c:ser>
        <c:axId val="25487118"/>
        <c:axId val="69048824"/>
      </c:scatterChart>
      <c:valAx>
        <c:axId val="2548711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9048824"/>
        <c:crosses val="autoZero"/>
        <c:crossBetween val="midCat"/>
      </c:valAx>
      <c:valAx>
        <c:axId val="690488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\ 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548711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de-DE"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400" b="0" u="none" strike="noStrike">
                <a:solidFill>
                  <a:srgbClr val="595959"/>
                </a:solidFill>
                <a:uFillTx/>
                <a:latin typeface="Calibri"/>
              </a:rPr>
              <a:t>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depth_stats_stc!$I$1</c:f>
              <c:strCache>
                <c:ptCount val="1"/>
                <c:pt idx="0">
                  <c:v>n%(r+653)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depth_stats_stc!$I$2:$I$33</c:f>
              <c:numCache>
                <c:formatCode>0.00\ %</c:formatCode>
                <c:ptCount val="32"/>
                <c:pt idx="0">
                  <c:v>0.0493000000000023</c:v>
                </c:pt>
                <c:pt idx="1">
                  <c:v>0.512899999999998</c:v>
                </c:pt>
                <c:pt idx="2">
                  <c:v>-0.141089999999998</c:v>
                </c:pt>
                <c:pt idx="3">
                  <c:v>-0.11513</c:v>
                </c:pt>
                <c:pt idx="4">
                  <c:v>-0.0778400000000001</c:v>
                </c:pt>
                <c:pt idx="5">
                  <c:v>-0.0576099999999995</c:v>
                </c:pt>
                <c:pt idx="6">
                  <c:v>-0.0410599999999999</c:v>
                </c:pt>
                <c:pt idx="7">
                  <c:v>-0.03098</c:v>
                </c:pt>
                <c:pt idx="8">
                  <c:v>-0.0231600000000003</c:v>
                </c:pt>
                <c:pt idx="9">
                  <c:v>-0.0211000000000001</c:v>
                </c:pt>
                <c:pt idx="10">
                  <c:v>-0.01416</c:v>
                </c:pt>
                <c:pt idx="11">
                  <c:v>-0.00909000000000004</c:v>
                </c:pt>
                <c:pt idx="12">
                  <c:v>-0.00999399999999995</c:v>
                </c:pt>
                <c:pt idx="13">
                  <c:v>-0.00844899999999993</c:v>
                </c:pt>
                <c:pt idx="14">
                  <c:v>-0.00690299999999999</c:v>
                </c:pt>
                <c:pt idx="15">
                  <c:v>-0.00337699999999996</c:v>
                </c:pt>
                <c:pt idx="16">
                  <c:v>-0.00348999999999999</c:v>
                </c:pt>
                <c:pt idx="17">
                  <c:v>-0.00143</c:v>
                </c:pt>
                <c:pt idx="18">
                  <c:v>-0.0008687</c:v>
                </c:pt>
                <c:pt idx="19">
                  <c:v>-0.000685699999999997</c:v>
                </c:pt>
                <c:pt idx="20">
                  <c:v>8.52000000000006E-005</c:v>
                </c:pt>
                <c:pt idx="21">
                  <c:v>0.000142700000000001</c:v>
                </c:pt>
                <c:pt idx="22">
                  <c:v>0.00050271</c:v>
                </c:pt>
                <c:pt idx="23">
                  <c:v>0.00053858</c:v>
                </c:pt>
                <c:pt idx="24">
                  <c:v>0.00063098</c:v>
                </c:pt>
                <c:pt idx="25">
                  <c:v>0.00059024</c:v>
                </c:pt>
                <c:pt idx="26">
                  <c:v>0.00044189</c:v>
                </c:pt>
                <c:pt idx="27">
                  <c:v>0.000352482</c:v>
                </c:pt>
                <c:pt idx="28">
                  <c:v>0.000251435</c:v>
                </c:pt>
                <c:pt idx="29">
                  <c:v>0.000217273</c:v>
                </c:pt>
                <c:pt idx="30">
                  <c:v>0.000145935</c:v>
                </c:pt>
                <c:pt idx="31">
                  <c:v>8.7249E-005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depth_stats_stc!$K$1</c:f>
              <c:strCache>
                <c:ptCount val="1"/>
                <c:pt idx="0">
                  <c:v>n%(+128)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depth_stats_stc!$K$2:$K$33</c:f>
              <c:numCache>
                <c:formatCode>0.00\ %</c:formatCode>
                <c:ptCount val="32"/>
                <c:pt idx="0">
                  <c:v>-0.0111999999999988</c:v>
                </c:pt>
                <c:pt idx="1">
                  <c:v>0.374500000000001</c:v>
                </c:pt>
                <c:pt idx="2">
                  <c:v>-0.0963399999999997</c:v>
                </c:pt>
                <c:pt idx="3">
                  <c:v>-0.0574299999999992</c:v>
                </c:pt>
                <c:pt idx="4">
                  <c:v>-0.0392599999999996</c:v>
                </c:pt>
                <c:pt idx="5">
                  <c:v>-0.0416799999999995</c:v>
                </c:pt>
                <c:pt idx="6">
                  <c:v>-0.03403</c:v>
                </c:pt>
                <c:pt idx="7">
                  <c:v>-0.02258</c:v>
                </c:pt>
                <c:pt idx="8">
                  <c:v>-0.0130700000000004</c:v>
                </c:pt>
                <c:pt idx="9">
                  <c:v>-0.01448</c:v>
                </c:pt>
                <c:pt idx="10">
                  <c:v>-0.0124899999999999</c:v>
                </c:pt>
                <c:pt idx="11">
                  <c:v>-0.00879000000000008</c:v>
                </c:pt>
                <c:pt idx="12">
                  <c:v>-0.01201</c:v>
                </c:pt>
                <c:pt idx="13">
                  <c:v>-0.00938600000000001</c:v>
                </c:pt>
                <c:pt idx="14">
                  <c:v>-0.007579</c:v>
                </c:pt>
                <c:pt idx="15">
                  <c:v>-0.00346599999999997</c:v>
                </c:pt>
                <c:pt idx="16">
                  <c:v>-0.00193699999999999</c:v>
                </c:pt>
                <c:pt idx="17">
                  <c:v>0.000529000000000002</c:v>
                </c:pt>
                <c:pt idx="18">
                  <c:v>0.00147460000000001</c:v>
                </c:pt>
                <c:pt idx="19">
                  <c:v>0.0014405</c:v>
                </c:pt>
                <c:pt idx="20">
                  <c:v>0.0015082</c:v>
                </c:pt>
                <c:pt idx="21">
                  <c:v>0.0013756</c:v>
                </c:pt>
                <c:pt idx="22">
                  <c:v>0.00134388</c:v>
                </c:pt>
                <c:pt idx="23">
                  <c:v>0.00097452</c:v>
                </c:pt>
                <c:pt idx="24">
                  <c:v>0.00073995</c:v>
                </c:pt>
                <c:pt idx="25">
                  <c:v>0.00054071</c:v>
                </c:pt>
                <c:pt idx="26">
                  <c:v>0.00031977</c:v>
                </c:pt>
                <c:pt idx="27">
                  <c:v>0.000301232</c:v>
                </c:pt>
                <c:pt idx="28">
                  <c:v>0.000208722</c:v>
                </c:pt>
                <c:pt idx="29">
                  <c:v>0.000153499</c:v>
                </c:pt>
                <c:pt idx="30">
                  <c:v>0.00011322</c:v>
                </c:pt>
                <c:pt idx="31">
                  <c:v>7.1021E-005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depth_stats_stc!$M$1</c:f>
              <c:strCache>
                <c:ptCount val="1"/>
                <c:pt idx="0">
                  <c:v>n%(w-d)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depth_stats_stc!$A$2:$A$33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depth_stats_stc!$M$2:$M$33</c:f>
              <c:numCache>
                <c:formatCode>0.00\ %</c:formatCode>
                <c:ptCount val="32"/>
                <c:pt idx="0">
                  <c:v>-0.0435999999999979</c:v>
                </c:pt>
                <c:pt idx="1">
                  <c:v>0.00959999999999894</c:v>
                </c:pt>
                <c:pt idx="2">
                  <c:v>0.01999</c:v>
                </c:pt>
                <c:pt idx="3">
                  <c:v>0.0205400000000004</c:v>
                </c:pt>
                <c:pt idx="4">
                  <c:v>0.00347999999999971</c:v>
                </c:pt>
                <c:pt idx="5">
                  <c:v>-0.0113199999999996</c:v>
                </c:pt>
                <c:pt idx="6">
                  <c:v>-0.0114100000000001</c:v>
                </c:pt>
                <c:pt idx="7">
                  <c:v>-0.00653999999999977</c:v>
                </c:pt>
                <c:pt idx="8">
                  <c:v>-0.00487000000000037</c:v>
                </c:pt>
                <c:pt idx="9">
                  <c:v>-0.00829000000000013</c:v>
                </c:pt>
                <c:pt idx="10">
                  <c:v>-0.00602999999999998</c:v>
                </c:pt>
                <c:pt idx="11">
                  <c:v>-0.00395999999999996</c:v>
                </c:pt>
                <c:pt idx="12">
                  <c:v>-0.00227699999999997</c:v>
                </c:pt>
                <c:pt idx="13">
                  <c:v>-0.00155899999999998</c:v>
                </c:pt>
                <c:pt idx="14">
                  <c:v>0.00105700000000003</c:v>
                </c:pt>
                <c:pt idx="15">
                  <c:v>0.00339700000000004</c:v>
                </c:pt>
                <c:pt idx="16">
                  <c:v>0.00509499999999999</c:v>
                </c:pt>
                <c:pt idx="17">
                  <c:v>0.00594</c:v>
                </c:pt>
                <c:pt idx="18">
                  <c:v>0.00582980000000001</c:v>
                </c:pt>
                <c:pt idx="19">
                  <c:v>0.0051066</c:v>
                </c:pt>
                <c:pt idx="20">
                  <c:v>0.0044439</c:v>
                </c:pt>
                <c:pt idx="21">
                  <c:v>0.0038783</c:v>
                </c:pt>
                <c:pt idx="22">
                  <c:v>0.00318808</c:v>
                </c:pt>
                <c:pt idx="23">
                  <c:v>0.00234308</c:v>
                </c:pt>
                <c:pt idx="24">
                  <c:v>0.00179093</c:v>
                </c:pt>
                <c:pt idx="25">
                  <c:v>0.00125188</c:v>
                </c:pt>
                <c:pt idx="26">
                  <c:v>0.00086589</c:v>
                </c:pt>
                <c:pt idx="27">
                  <c:v>0.000621182</c:v>
                </c:pt>
                <c:pt idx="28">
                  <c:v>0.000429074</c:v>
                </c:pt>
                <c:pt idx="29">
                  <c:v>0.000313469</c:v>
                </c:pt>
                <c:pt idx="30">
                  <c:v>0.000209447</c:v>
                </c:pt>
                <c:pt idx="31">
                  <c:v>0.000121702</c:v>
                </c:pt>
              </c:numCache>
            </c:numRef>
          </c:yVal>
          <c:smooth val="1"/>
        </c:ser>
        <c:axId val="9108494"/>
        <c:axId val="30774344"/>
      </c:scatterChart>
      <c:valAx>
        <c:axId val="910849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0774344"/>
        <c:crosses val="autoZero"/>
        <c:crossBetween val="midCat"/>
      </c:valAx>
      <c:valAx>
        <c:axId val="307743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\ 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lang="de-DE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10849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de-DE"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xMode val="edge"/>
          <c:yMode val="edge"/>
          <c:x val="0.126070379398712"/>
          <c:y val="0.0400355871886121"/>
          <c:w val="0.873867116694793"/>
          <c:h val="0.959853202846975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Tabelle4!$C$1</c:f>
              <c:strCache>
                <c:ptCount val="1"/>
                <c:pt idx="0">
                  <c:v>fh%</c:v>
                </c:pt>
              </c:strCache>
            </c:strRef>
          </c:tx>
          <c:spPr>
            <a:solidFill>
              <a:srgbClr val="99CCFF"/>
            </a:solidFill>
            <a:ln w="12600">
              <a:noFill/>
            </a:ln>
          </c:spPr>
          <c:marker>
            <c:symbol val="square"/>
            <c:size val="7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Tabelle4!$A$2:$A$202</c:f>
              <c:numCache>
                <c:formatCode>General</c:formatCode>
                <c:ptCount val="201"/>
                <c:pt idx="0">
                  <c:v>-100</c:v>
                </c:pt>
                <c:pt idx="1">
                  <c:v>-99</c:v>
                </c:pt>
                <c:pt idx="2">
                  <c:v>-98</c:v>
                </c:pt>
                <c:pt idx="3">
                  <c:v>-97</c:v>
                </c:pt>
                <c:pt idx="4">
                  <c:v>-96</c:v>
                </c:pt>
                <c:pt idx="5">
                  <c:v>-95</c:v>
                </c:pt>
                <c:pt idx="6">
                  <c:v>-94</c:v>
                </c:pt>
                <c:pt idx="7">
                  <c:v>-93</c:v>
                </c:pt>
                <c:pt idx="8">
                  <c:v>-92</c:v>
                </c:pt>
                <c:pt idx="9">
                  <c:v>-91</c:v>
                </c:pt>
                <c:pt idx="10">
                  <c:v>-90</c:v>
                </c:pt>
                <c:pt idx="11">
                  <c:v>-89</c:v>
                </c:pt>
                <c:pt idx="12">
                  <c:v>-88</c:v>
                </c:pt>
                <c:pt idx="13">
                  <c:v>-87</c:v>
                </c:pt>
                <c:pt idx="14">
                  <c:v>-86</c:v>
                </c:pt>
                <c:pt idx="15">
                  <c:v>-85</c:v>
                </c:pt>
                <c:pt idx="16">
                  <c:v>-84</c:v>
                </c:pt>
                <c:pt idx="17">
                  <c:v>-83</c:v>
                </c:pt>
                <c:pt idx="18">
                  <c:v>-82</c:v>
                </c:pt>
                <c:pt idx="19">
                  <c:v>-81</c:v>
                </c:pt>
                <c:pt idx="20">
                  <c:v>-80</c:v>
                </c:pt>
                <c:pt idx="21">
                  <c:v>-79</c:v>
                </c:pt>
                <c:pt idx="22">
                  <c:v>-78</c:v>
                </c:pt>
                <c:pt idx="23">
                  <c:v>-77</c:v>
                </c:pt>
                <c:pt idx="24">
                  <c:v>-76</c:v>
                </c:pt>
                <c:pt idx="25">
                  <c:v>-75</c:v>
                </c:pt>
                <c:pt idx="26">
                  <c:v>-74</c:v>
                </c:pt>
                <c:pt idx="27">
                  <c:v>-73</c:v>
                </c:pt>
                <c:pt idx="28">
                  <c:v>-72</c:v>
                </c:pt>
                <c:pt idx="29">
                  <c:v>-71</c:v>
                </c:pt>
                <c:pt idx="30">
                  <c:v>-70</c:v>
                </c:pt>
                <c:pt idx="31">
                  <c:v>-69</c:v>
                </c:pt>
                <c:pt idx="32">
                  <c:v>-68</c:v>
                </c:pt>
                <c:pt idx="33">
                  <c:v>-67</c:v>
                </c:pt>
                <c:pt idx="34">
                  <c:v>-66</c:v>
                </c:pt>
                <c:pt idx="35">
                  <c:v>-65</c:v>
                </c:pt>
                <c:pt idx="36">
                  <c:v>-64</c:v>
                </c:pt>
                <c:pt idx="37">
                  <c:v>-63</c:v>
                </c:pt>
                <c:pt idx="38">
                  <c:v>-62</c:v>
                </c:pt>
                <c:pt idx="39">
                  <c:v>-61</c:v>
                </c:pt>
                <c:pt idx="40">
                  <c:v>-60</c:v>
                </c:pt>
                <c:pt idx="41">
                  <c:v>-59</c:v>
                </c:pt>
                <c:pt idx="42">
                  <c:v>-58</c:v>
                </c:pt>
                <c:pt idx="43">
                  <c:v>-57</c:v>
                </c:pt>
                <c:pt idx="44">
                  <c:v>-56</c:v>
                </c:pt>
                <c:pt idx="45">
                  <c:v>-55</c:v>
                </c:pt>
                <c:pt idx="46">
                  <c:v>-54</c:v>
                </c:pt>
                <c:pt idx="47">
                  <c:v>-53</c:v>
                </c:pt>
                <c:pt idx="48">
                  <c:v>-52</c:v>
                </c:pt>
                <c:pt idx="49">
                  <c:v>-51</c:v>
                </c:pt>
                <c:pt idx="50">
                  <c:v>-50</c:v>
                </c:pt>
                <c:pt idx="51">
                  <c:v>-49</c:v>
                </c:pt>
                <c:pt idx="52">
                  <c:v>-48</c:v>
                </c:pt>
                <c:pt idx="53">
                  <c:v>-47</c:v>
                </c:pt>
                <c:pt idx="54">
                  <c:v>-46</c:v>
                </c:pt>
                <c:pt idx="55">
                  <c:v>-45</c:v>
                </c:pt>
                <c:pt idx="56">
                  <c:v>-44</c:v>
                </c:pt>
                <c:pt idx="57">
                  <c:v>-43</c:v>
                </c:pt>
                <c:pt idx="58">
                  <c:v>-42</c:v>
                </c:pt>
                <c:pt idx="59">
                  <c:v>-41</c:v>
                </c:pt>
                <c:pt idx="60">
                  <c:v>-40</c:v>
                </c:pt>
                <c:pt idx="61">
                  <c:v>-39</c:v>
                </c:pt>
                <c:pt idx="62">
                  <c:v>-38</c:v>
                </c:pt>
                <c:pt idx="63">
                  <c:v>-37</c:v>
                </c:pt>
                <c:pt idx="64">
                  <c:v>-36</c:v>
                </c:pt>
                <c:pt idx="65">
                  <c:v>-35</c:v>
                </c:pt>
                <c:pt idx="66">
                  <c:v>-34</c:v>
                </c:pt>
                <c:pt idx="67">
                  <c:v>-33</c:v>
                </c:pt>
                <c:pt idx="68">
                  <c:v>-32</c:v>
                </c:pt>
                <c:pt idx="69">
                  <c:v>-31</c:v>
                </c:pt>
                <c:pt idx="70">
                  <c:v>-30</c:v>
                </c:pt>
                <c:pt idx="71">
                  <c:v>-29</c:v>
                </c:pt>
                <c:pt idx="72">
                  <c:v>-28</c:v>
                </c:pt>
                <c:pt idx="73">
                  <c:v>-27</c:v>
                </c:pt>
                <c:pt idx="74">
                  <c:v>-26</c:v>
                </c:pt>
                <c:pt idx="75">
                  <c:v>-25</c:v>
                </c:pt>
                <c:pt idx="76">
                  <c:v>-24</c:v>
                </c:pt>
                <c:pt idx="77">
                  <c:v>-23</c:v>
                </c:pt>
                <c:pt idx="78">
                  <c:v>-22</c:v>
                </c:pt>
                <c:pt idx="79">
                  <c:v>-21</c:v>
                </c:pt>
                <c:pt idx="80">
                  <c:v>-20</c:v>
                </c:pt>
                <c:pt idx="81">
                  <c:v>-19</c:v>
                </c:pt>
                <c:pt idx="82">
                  <c:v>-18</c:v>
                </c:pt>
                <c:pt idx="83">
                  <c:v>-17</c:v>
                </c:pt>
                <c:pt idx="84">
                  <c:v>-16</c:v>
                </c:pt>
                <c:pt idx="85">
                  <c:v>-15</c:v>
                </c:pt>
                <c:pt idx="86">
                  <c:v>-14</c:v>
                </c:pt>
                <c:pt idx="87">
                  <c:v>-13</c:v>
                </c:pt>
                <c:pt idx="88">
                  <c:v>-12</c:v>
                </c:pt>
                <c:pt idx="89">
                  <c:v>-11</c:v>
                </c:pt>
                <c:pt idx="90">
                  <c:v>-10</c:v>
                </c:pt>
                <c:pt idx="91">
                  <c:v>-9</c:v>
                </c:pt>
                <c:pt idx="92">
                  <c:v>-8</c:v>
                </c:pt>
                <c:pt idx="93">
                  <c:v>-7</c:v>
                </c:pt>
                <c:pt idx="94">
                  <c:v>-6</c:v>
                </c:pt>
                <c:pt idx="95">
                  <c:v>-5</c:v>
                </c:pt>
                <c:pt idx="96">
                  <c:v>-4</c:v>
                </c:pt>
                <c:pt idx="97">
                  <c:v>-3</c:v>
                </c:pt>
                <c:pt idx="98">
                  <c:v>-2</c:v>
                </c:pt>
                <c:pt idx="99">
                  <c:v>-1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8</c:v>
                </c:pt>
                <c:pt idx="109">
                  <c:v>9</c:v>
                </c:pt>
                <c:pt idx="110">
                  <c:v>10</c:v>
                </c:pt>
                <c:pt idx="111">
                  <c:v>11</c:v>
                </c:pt>
                <c:pt idx="112">
                  <c:v>12</c:v>
                </c:pt>
                <c:pt idx="113">
                  <c:v>13</c:v>
                </c:pt>
                <c:pt idx="114">
                  <c:v>14</c:v>
                </c:pt>
                <c:pt idx="115">
                  <c:v>15</c:v>
                </c:pt>
                <c:pt idx="116">
                  <c:v>16</c:v>
                </c:pt>
                <c:pt idx="117">
                  <c:v>17</c:v>
                </c:pt>
                <c:pt idx="118">
                  <c:v>18</c:v>
                </c:pt>
                <c:pt idx="119">
                  <c:v>19</c:v>
                </c:pt>
                <c:pt idx="120">
                  <c:v>20</c:v>
                </c:pt>
                <c:pt idx="121">
                  <c:v>21</c:v>
                </c:pt>
                <c:pt idx="122">
                  <c:v>22</c:v>
                </c:pt>
                <c:pt idx="123">
                  <c:v>23</c:v>
                </c:pt>
                <c:pt idx="124">
                  <c:v>24</c:v>
                </c:pt>
                <c:pt idx="125">
                  <c:v>25</c:v>
                </c:pt>
                <c:pt idx="126">
                  <c:v>26</c:v>
                </c:pt>
                <c:pt idx="127">
                  <c:v>27</c:v>
                </c:pt>
                <c:pt idx="128">
                  <c:v>28</c:v>
                </c:pt>
                <c:pt idx="129">
                  <c:v>29</c:v>
                </c:pt>
                <c:pt idx="130">
                  <c:v>30</c:v>
                </c:pt>
                <c:pt idx="131">
                  <c:v>31</c:v>
                </c:pt>
                <c:pt idx="132">
                  <c:v>32</c:v>
                </c:pt>
                <c:pt idx="133">
                  <c:v>33</c:v>
                </c:pt>
                <c:pt idx="134">
                  <c:v>34</c:v>
                </c:pt>
                <c:pt idx="135">
                  <c:v>35</c:v>
                </c:pt>
                <c:pt idx="136">
                  <c:v>36</c:v>
                </c:pt>
                <c:pt idx="137">
                  <c:v>37</c:v>
                </c:pt>
                <c:pt idx="138">
                  <c:v>38</c:v>
                </c:pt>
                <c:pt idx="139">
                  <c:v>39</c:v>
                </c:pt>
                <c:pt idx="140">
                  <c:v>40</c:v>
                </c:pt>
                <c:pt idx="141">
                  <c:v>41</c:v>
                </c:pt>
                <c:pt idx="142">
                  <c:v>42</c:v>
                </c:pt>
                <c:pt idx="143">
                  <c:v>43</c:v>
                </c:pt>
                <c:pt idx="144">
                  <c:v>44</c:v>
                </c:pt>
                <c:pt idx="145">
                  <c:v>45</c:v>
                </c:pt>
                <c:pt idx="146">
                  <c:v>46</c:v>
                </c:pt>
                <c:pt idx="147">
                  <c:v>47</c:v>
                </c:pt>
                <c:pt idx="148">
                  <c:v>48</c:v>
                </c:pt>
                <c:pt idx="149">
                  <c:v>49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53</c:v>
                </c:pt>
                <c:pt idx="154">
                  <c:v>54</c:v>
                </c:pt>
                <c:pt idx="155">
                  <c:v>55</c:v>
                </c:pt>
                <c:pt idx="156">
                  <c:v>56</c:v>
                </c:pt>
                <c:pt idx="157">
                  <c:v>57</c:v>
                </c:pt>
                <c:pt idx="158">
                  <c:v>58</c:v>
                </c:pt>
                <c:pt idx="159">
                  <c:v>59</c:v>
                </c:pt>
                <c:pt idx="160">
                  <c:v>60</c:v>
                </c:pt>
                <c:pt idx="161">
                  <c:v>61</c:v>
                </c:pt>
                <c:pt idx="162">
                  <c:v>62</c:v>
                </c:pt>
                <c:pt idx="163">
                  <c:v>63</c:v>
                </c:pt>
                <c:pt idx="164">
                  <c:v>64</c:v>
                </c:pt>
                <c:pt idx="165">
                  <c:v>65</c:v>
                </c:pt>
                <c:pt idx="166">
                  <c:v>66</c:v>
                </c:pt>
                <c:pt idx="167">
                  <c:v>67</c:v>
                </c:pt>
                <c:pt idx="168">
                  <c:v>68</c:v>
                </c:pt>
                <c:pt idx="169">
                  <c:v>69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77</c:v>
                </c:pt>
                <c:pt idx="178">
                  <c:v>78</c:v>
                </c:pt>
                <c:pt idx="179">
                  <c:v>79</c:v>
                </c:pt>
                <c:pt idx="180">
                  <c:v>80</c:v>
                </c:pt>
                <c:pt idx="181">
                  <c:v>81</c:v>
                </c:pt>
                <c:pt idx="182">
                  <c:v>82</c:v>
                </c:pt>
                <c:pt idx="183">
                  <c:v>83</c:v>
                </c:pt>
                <c:pt idx="184">
                  <c:v>84</c:v>
                </c:pt>
                <c:pt idx="185">
                  <c:v>85</c:v>
                </c:pt>
                <c:pt idx="186">
                  <c:v>86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91</c:v>
                </c:pt>
                <c:pt idx="192">
                  <c:v>92</c:v>
                </c:pt>
                <c:pt idx="193">
                  <c:v>93</c:v>
                </c:pt>
                <c:pt idx="194">
                  <c:v>94</c:v>
                </c:pt>
                <c:pt idx="195">
                  <c:v>95</c:v>
                </c:pt>
                <c:pt idx="196">
                  <c:v>96</c:v>
                </c:pt>
                <c:pt idx="197">
                  <c:v>97</c:v>
                </c:pt>
                <c:pt idx="198">
                  <c:v>98</c:v>
                </c:pt>
                <c:pt idx="199">
                  <c:v>99</c:v>
                </c:pt>
                <c:pt idx="200">
                  <c:v>100</c:v>
                </c:pt>
              </c:numCache>
            </c:numRef>
          </c:xVal>
          <c:yVal>
            <c:numRef>
              <c:f>Tabelle4!$C$2:$C$202</c:f>
              <c:numCache>
                <c:formatCode>General</c:formatCode>
                <c:ptCount val="201"/>
                <c:pt idx="0">
                  <c:v>5.00911</c:v>
                </c:pt>
                <c:pt idx="1">
                  <c:v>7.24638</c:v>
                </c:pt>
                <c:pt idx="2">
                  <c:v>6.25</c:v>
                </c:pt>
                <c:pt idx="3">
                  <c:v>11.7647</c:v>
                </c:pt>
                <c:pt idx="4">
                  <c:v>2.43902</c:v>
                </c:pt>
                <c:pt idx="5">
                  <c:v>11.6279</c:v>
                </c:pt>
                <c:pt idx="6">
                  <c:v>4.10959</c:v>
                </c:pt>
                <c:pt idx="7">
                  <c:v>4.08163</c:v>
                </c:pt>
                <c:pt idx="8">
                  <c:v>2.77778</c:v>
                </c:pt>
                <c:pt idx="9">
                  <c:v>8</c:v>
                </c:pt>
                <c:pt idx="10">
                  <c:v>3.07692</c:v>
                </c:pt>
                <c:pt idx="11">
                  <c:v>6.34921</c:v>
                </c:pt>
                <c:pt idx="12">
                  <c:v>8.10811</c:v>
                </c:pt>
                <c:pt idx="13">
                  <c:v>2.27273</c:v>
                </c:pt>
                <c:pt idx="14">
                  <c:v>9.47368</c:v>
                </c:pt>
                <c:pt idx="15">
                  <c:v>3.47826</c:v>
                </c:pt>
                <c:pt idx="16">
                  <c:v>7.14286</c:v>
                </c:pt>
                <c:pt idx="17">
                  <c:v>8.33333</c:v>
                </c:pt>
                <c:pt idx="18">
                  <c:v>5.06329</c:v>
                </c:pt>
                <c:pt idx="19">
                  <c:v>6.38298</c:v>
                </c:pt>
                <c:pt idx="20">
                  <c:v>5.40541</c:v>
                </c:pt>
                <c:pt idx="21">
                  <c:v>4.65116</c:v>
                </c:pt>
                <c:pt idx="22">
                  <c:v>7.04225</c:v>
                </c:pt>
                <c:pt idx="23">
                  <c:v>3.57143</c:v>
                </c:pt>
                <c:pt idx="24">
                  <c:v>7.57576</c:v>
                </c:pt>
                <c:pt idx="25">
                  <c:v>7.24638</c:v>
                </c:pt>
                <c:pt idx="26">
                  <c:v>5.26316</c:v>
                </c:pt>
                <c:pt idx="27">
                  <c:v>7.89474</c:v>
                </c:pt>
                <c:pt idx="28">
                  <c:v>7.14286</c:v>
                </c:pt>
                <c:pt idx="29">
                  <c:v>8.13953</c:v>
                </c:pt>
                <c:pt idx="30">
                  <c:v>6.98925</c:v>
                </c:pt>
                <c:pt idx="31">
                  <c:v>11.2676</c:v>
                </c:pt>
                <c:pt idx="32">
                  <c:v>11.1675</c:v>
                </c:pt>
                <c:pt idx="33">
                  <c:v>8.29876</c:v>
                </c:pt>
                <c:pt idx="34">
                  <c:v>5.46875</c:v>
                </c:pt>
                <c:pt idx="35">
                  <c:v>7.60456</c:v>
                </c:pt>
                <c:pt idx="36">
                  <c:v>4.41989</c:v>
                </c:pt>
                <c:pt idx="37">
                  <c:v>3.7037</c:v>
                </c:pt>
                <c:pt idx="38">
                  <c:v>5.09383</c:v>
                </c:pt>
                <c:pt idx="39">
                  <c:v>4.90196</c:v>
                </c:pt>
                <c:pt idx="40">
                  <c:v>6</c:v>
                </c:pt>
                <c:pt idx="41">
                  <c:v>7.50605</c:v>
                </c:pt>
                <c:pt idx="42">
                  <c:v>4.8433</c:v>
                </c:pt>
                <c:pt idx="43">
                  <c:v>5.04451</c:v>
                </c:pt>
                <c:pt idx="44">
                  <c:v>3.61757</c:v>
                </c:pt>
                <c:pt idx="45">
                  <c:v>4.14747</c:v>
                </c:pt>
                <c:pt idx="46">
                  <c:v>5.54415</c:v>
                </c:pt>
                <c:pt idx="47">
                  <c:v>4.81013</c:v>
                </c:pt>
                <c:pt idx="48">
                  <c:v>4.375</c:v>
                </c:pt>
                <c:pt idx="49">
                  <c:v>6.06796</c:v>
                </c:pt>
                <c:pt idx="50">
                  <c:v>4.4484</c:v>
                </c:pt>
                <c:pt idx="51">
                  <c:v>4.6875</c:v>
                </c:pt>
                <c:pt idx="52">
                  <c:v>4.58015</c:v>
                </c:pt>
                <c:pt idx="53">
                  <c:v>3.65385</c:v>
                </c:pt>
                <c:pt idx="54">
                  <c:v>4.22323</c:v>
                </c:pt>
                <c:pt idx="55">
                  <c:v>3.27044</c:v>
                </c:pt>
                <c:pt idx="56">
                  <c:v>3.55828</c:v>
                </c:pt>
                <c:pt idx="57">
                  <c:v>4.56621</c:v>
                </c:pt>
                <c:pt idx="58">
                  <c:v>2.59849</c:v>
                </c:pt>
                <c:pt idx="59">
                  <c:v>4.06835</c:v>
                </c:pt>
                <c:pt idx="60">
                  <c:v>2.94785</c:v>
                </c:pt>
                <c:pt idx="61">
                  <c:v>4.23453</c:v>
                </c:pt>
                <c:pt idx="62">
                  <c:v>4.03917</c:v>
                </c:pt>
                <c:pt idx="63">
                  <c:v>3.8105</c:v>
                </c:pt>
                <c:pt idx="64">
                  <c:v>2.82776</c:v>
                </c:pt>
                <c:pt idx="65">
                  <c:v>3.88484</c:v>
                </c:pt>
                <c:pt idx="66">
                  <c:v>3.64936</c:v>
                </c:pt>
                <c:pt idx="67">
                  <c:v>3.5279</c:v>
                </c:pt>
                <c:pt idx="68">
                  <c:v>3.79301</c:v>
                </c:pt>
                <c:pt idx="69">
                  <c:v>4.20896</c:v>
                </c:pt>
                <c:pt idx="70">
                  <c:v>3.78044</c:v>
                </c:pt>
                <c:pt idx="71">
                  <c:v>4.59205</c:v>
                </c:pt>
                <c:pt idx="72">
                  <c:v>3.88007</c:v>
                </c:pt>
                <c:pt idx="73">
                  <c:v>3.45135</c:v>
                </c:pt>
                <c:pt idx="74">
                  <c:v>3.56146</c:v>
                </c:pt>
                <c:pt idx="75">
                  <c:v>3.93123</c:v>
                </c:pt>
                <c:pt idx="76">
                  <c:v>3.6981</c:v>
                </c:pt>
                <c:pt idx="77">
                  <c:v>3.73896</c:v>
                </c:pt>
                <c:pt idx="78">
                  <c:v>3.49557</c:v>
                </c:pt>
                <c:pt idx="79">
                  <c:v>3.82029</c:v>
                </c:pt>
                <c:pt idx="80">
                  <c:v>3.45441</c:v>
                </c:pt>
                <c:pt idx="81">
                  <c:v>3.8722</c:v>
                </c:pt>
                <c:pt idx="82">
                  <c:v>3.71792</c:v>
                </c:pt>
                <c:pt idx="83">
                  <c:v>3.57071</c:v>
                </c:pt>
                <c:pt idx="84">
                  <c:v>3.57243</c:v>
                </c:pt>
                <c:pt idx="85">
                  <c:v>3.8775</c:v>
                </c:pt>
                <c:pt idx="86">
                  <c:v>3.81758</c:v>
                </c:pt>
                <c:pt idx="87">
                  <c:v>3.98692</c:v>
                </c:pt>
                <c:pt idx="88">
                  <c:v>3.99339</c:v>
                </c:pt>
                <c:pt idx="89">
                  <c:v>4.36919</c:v>
                </c:pt>
                <c:pt idx="90">
                  <c:v>4.49893</c:v>
                </c:pt>
                <c:pt idx="91">
                  <c:v>4.66779</c:v>
                </c:pt>
                <c:pt idx="92">
                  <c:v>4.835</c:v>
                </c:pt>
                <c:pt idx="93">
                  <c:v>4.9983</c:v>
                </c:pt>
                <c:pt idx="94">
                  <c:v>5.25335</c:v>
                </c:pt>
                <c:pt idx="95">
                  <c:v>5.41395</c:v>
                </c:pt>
                <c:pt idx="96">
                  <c:v>5.35717</c:v>
                </c:pt>
                <c:pt idx="97">
                  <c:v>5.32823</c:v>
                </c:pt>
                <c:pt idx="98">
                  <c:v>5.2015</c:v>
                </c:pt>
                <c:pt idx="99">
                  <c:v>5.04838</c:v>
                </c:pt>
                <c:pt idx="100">
                  <c:v>22.288</c:v>
                </c:pt>
                <c:pt idx="101">
                  <c:v>46.3601</c:v>
                </c:pt>
                <c:pt idx="102">
                  <c:v>48.1893</c:v>
                </c:pt>
                <c:pt idx="103">
                  <c:v>50.6587</c:v>
                </c:pt>
                <c:pt idx="104">
                  <c:v>52.0671</c:v>
                </c:pt>
                <c:pt idx="105">
                  <c:v>53.3293</c:v>
                </c:pt>
                <c:pt idx="106">
                  <c:v>54.1439</c:v>
                </c:pt>
                <c:pt idx="107">
                  <c:v>55.9893</c:v>
                </c:pt>
                <c:pt idx="108">
                  <c:v>57.1486</c:v>
                </c:pt>
                <c:pt idx="109">
                  <c:v>57.5182</c:v>
                </c:pt>
                <c:pt idx="110">
                  <c:v>58.9235</c:v>
                </c:pt>
                <c:pt idx="111">
                  <c:v>59.1926</c:v>
                </c:pt>
                <c:pt idx="112">
                  <c:v>60.2842</c:v>
                </c:pt>
                <c:pt idx="113">
                  <c:v>61.1636</c:v>
                </c:pt>
                <c:pt idx="114">
                  <c:v>61.0936</c:v>
                </c:pt>
                <c:pt idx="115">
                  <c:v>61.6592</c:v>
                </c:pt>
                <c:pt idx="116">
                  <c:v>62.7054</c:v>
                </c:pt>
                <c:pt idx="117">
                  <c:v>62.8293</c:v>
                </c:pt>
                <c:pt idx="118">
                  <c:v>63.2024</c:v>
                </c:pt>
                <c:pt idx="119">
                  <c:v>64.0333</c:v>
                </c:pt>
                <c:pt idx="120">
                  <c:v>64.9262</c:v>
                </c:pt>
                <c:pt idx="121">
                  <c:v>65.6737</c:v>
                </c:pt>
                <c:pt idx="122">
                  <c:v>66.6004</c:v>
                </c:pt>
                <c:pt idx="123">
                  <c:v>67.4526</c:v>
                </c:pt>
                <c:pt idx="124">
                  <c:v>67.294</c:v>
                </c:pt>
                <c:pt idx="125">
                  <c:v>67.8116</c:v>
                </c:pt>
                <c:pt idx="126">
                  <c:v>68.3108</c:v>
                </c:pt>
                <c:pt idx="127">
                  <c:v>69.34</c:v>
                </c:pt>
                <c:pt idx="128">
                  <c:v>69.7338</c:v>
                </c:pt>
                <c:pt idx="129">
                  <c:v>69.8042</c:v>
                </c:pt>
                <c:pt idx="130">
                  <c:v>70.4599</c:v>
                </c:pt>
                <c:pt idx="131">
                  <c:v>71.0162</c:v>
                </c:pt>
                <c:pt idx="132">
                  <c:v>70.5959</c:v>
                </c:pt>
                <c:pt idx="133">
                  <c:v>71.8073</c:v>
                </c:pt>
                <c:pt idx="134">
                  <c:v>71.8673</c:v>
                </c:pt>
                <c:pt idx="135">
                  <c:v>72.6279</c:v>
                </c:pt>
                <c:pt idx="136">
                  <c:v>72.7493</c:v>
                </c:pt>
                <c:pt idx="137">
                  <c:v>72.9043</c:v>
                </c:pt>
                <c:pt idx="138">
                  <c:v>73.8433</c:v>
                </c:pt>
                <c:pt idx="139">
                  <c:v>73.2041</c:v>
                </c:pt>
                <c:pt idx="140">
                  <c:v>72.7624</c:v>
                </c:pt>
                <c:pt idx="141">
                  <c:v>73.5732</c:v>
                </c:pt>
                <c:pt idx="142">
                  <c:v>73.9663</c:v>
                </c:pt>
                <c:pt idx="143">
                  <c:v>75.7643</c:v>
                </c:pt>
                <c:pt idx="144">
                  <c:v>75.3298</c:v>
                </c:pt>
                <c:pt idx="145">
                  <c:v>74.2929</c:v>
                </c:pt>
                <c:pt idx="146">
                  <c:v>75.8835</c:v>
                </c:pt>
                <c:pt idx="147">
                  <c:v>75.308</c:v>
                </c:pt>
                <c:pt idx="148">
                  <c:v>75.1792</c:v>
                </c:pt>
                <c:pt idx="149">
                  <c:v>76.3141</c:v>
                </c:pt>
                <c:pt idx="150">
                  <c:v>77.3891</c:v>
                </c:pt>
                <c:pt idx="151">
                  <c:v>77.5563</c:v>
                </c:pt>
                <c:pt idx="152">
                  <c:v>78.3695</c:v>
                </c:pt>
                <c:pt idx="153">
                  <c:v>77.6984</c:v>
                </c:pt>
                <c:pt idx="154">
                  <c:v>79.1335</c:v>
                </c:pt>
                <c:pt idx="155">
                  <c:v>77.9587</c:v>
                </c:pt>
                <c:pt idx="156">
                  <c:v>78.8058</c:v>
                </c:pt>
                <c:pt idx="157">
                  <c:v>80.0071</c:v>
                </c:pt>
                <c:pt idx="158">
                  <c:v>79.0011</c:v>
                </c:pt>
                <c:pt idx="159">
                  <c:v>79.786</c:v>
                </c:pt>
                <c:pt idx="160">
                  <c:v>79.0153</c:v>
                </c:pt>
                <c:pt idx="161">
                  <c:v>78.1686</c:v>
                </c:pt>
                <c:pt idx="162">
                  <c:v>80.5168</c:v>
                </c:pt>
                <c:pt idx="163">
                  <c:v>81.6389</c:v>
                </c:pt>
                <c:pt idx="164">
                  <c:v>82.3069</c:v>
                </c:pt>
                <c:pt idx="165">
                  <c:v>80.7742</c:v>
                </c:pt>
                <c:pt idx="166">
                  <c:v>81.9237</c:v>
                </c:pt>
                <c:pt idx="167">
                  <c:v>82.4727</c:v>
                </c:pt>
                <c:pt idx="168">
                  <c:v>82.963</c:v>
                </c:pt>
                <c:pt idx="169">
                  <c:v>82.5673</c:v>
                </c:pt>
                <c:pt idx="170">
                  <c:v>81.2697</c:v>
                </c:pt>
                <c:pt idx="171">
                  <c:v>79.8091</c:v>
                </c:pt>
                <c:pt idx="172">
                  <c:v>82.6915</c:v>
                </c:pt>
                <c:pt idx="173">
                  <c:v>82.9723</c:v>
                </c:pt>
                <c:pt idx="174">
                  <c:v>83.5526</c:v>
                </c:pt>
                <c:pt idx="175">
                  <c:v>81.7888</c:v>
                </c:pt>
                <c:pt idx="176">
                  <c:v>82.5087</c:v>
                </c:pt>
                <c:pt idx="177">
                  <c:v>84.2388</c:v>
                </c:pt>
                <c:pt idx="178">
                  <c:v>83.6976</c:v>
                </c:pt>
                <c:pt idx="179">
                  <c:v>84.446</c:v>
                </c:pt>
                <c:pt idx="180">
                  <c:v>84.0685</c:v>
                </c:pt>
                <c:pt idx="181">
                  <c:v>83.0097</c:v>
                </c:pt>
                <c:pt idx="182">
                  <c:v>83.1477</c:v>
                </c:pt>
                <c:pt idx="183">
                  <c:v>85.0435</c:v>
                </c:pt>
                <c:pt idx="184">
                  <c:v>82.648</c:v>
                </c:pt>
                <c:pt idx="185">
                  <c:v>84.9541</c:v>
                </c:pt>
                <c:pt idx="186">
                  <c:v>84.3544</c:v>
                </c:pt>
                <c:pt idx="187">
                  <c:v>80.5044</c:v>
                </c:pt>
                <c:pt idx="188">
                  <c:v>83.8895</c:v>
                </c:pt>
                <c:pt idx="189">
                  <c:v>86.9616</c:v>
                </c:pt>
                <c:pt idx="190">
                  <c:v>88.4422</c:v>
                </c:pt>
                <c:pt idx="191">
                  <c:v>80.9456</c:v>
                </c:pt>
                <c:pt idx="192">
                  <c:v>87.7375</c:v>
                </c:pt>
                <c:pt idx="193">
                  <c:v>80.8799</c:v>
                </c:pt>
                <c:pt idx="194">
                  <c:v>87.169</c:v>
                </c:pt>
                <c:pt idx="195">
                  <c:v>81.8737</c:v>
                </c:pt>
                <c:pt idx="196">
                  <c:v>82.6271</c:v>
                </c:pt>
                <c:pt idx="197">
                  <c:v>82.6506</c:v>
                </c:pt>
                <c:pt idx="198">
                  <c:v>73.4021</c:v>
                </c:pt>
                <c:pt idx="199">
                  <c:v>88.1503</c:v>
                </c:pt>
                <c:pt idx="200">
                  <c:v>80.7281</c:v>
                </c:pt>
              </c:numCache>
            </c:numRef>
          </c:yVal>
          <c:smooth val="0"/>
        </c:ser>
        <c:axId val="8556478"/>
        <c:axId val="18243593"/>
      </c:scatterChart>
      <c:valAx>
        <c:axId val="85564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243593"/>
        <c:crossesAt val="0"/>
        <c:crossBetween val="midCat"/>
      </c:valAx>
      <c:valAx>
        <c:axId val="18243593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56478"/>
        <c:crossesAt val="0"/>
        <c:crossBetween val="midCat"/>
      </c:valAx>
      <c:spPr>
        <a:noFill/>
        <a:ln w="936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de-DE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12600">
              <a:noFill/>
            </a:ln>
          </c:spPr>
          <c:marker>
            <c:symbol val="square"/>
            <c:size val="7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allnode!$A$1:$A$1000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allnode!$B$1:$B$1000</c:f>
              <c:numCache>
                <c:formatCode>General</c:formatCode>
                <c:ptCount val="1000"/>
                <c:pt idx="0">
                  <c:v>13.3811</c:v>
                </c:pt>
                <c:pt idx="1">
                  <c:v>13.2765</c:v>
                </c:pt>
                <c:pt idx="2">
                  <c:v>13.1761</c:v>
                </c:pt>
                <c:pt idx="3">
                  <c:v>13.0792</c:v>
                </c:pt>
                <c:pt idx="4">
                  <c:v>12.9739</c:v>
                </c:pt>
                <c:pt idx="5">
                  <c:v>12.8667</c:v>
                </c:pt>
                <c:pt idx="6">
                  <c:v>12.764</c:v>
                </c:pt>
                <c:pt idx="7">
                  <c:v>12.6629</c:v>
                </c:pt>
                <c:pt idx="8">
                  <c:v>12.5667</c:v>
                </c:pt>
                <c:pt idx="9">
                  <c:v>12.4691</c:v>
                </c:pt>
                <c:pt idx="10">
                  <c:v>12.372</c:v>
                </c:pt>
                <c:pt idx="11">
                  <c:v>12.2775</c:v>
                </c:pt>
                <c:pt idx="12">
                  <c:v>12.1858</c:v>
                </c:pt>
                <c:pt idx="13">
                  <c:v>12.0945</c:v>
                </c:pt>
                <c:pt idx="14">
                  <c:v>12.0032</c:v>
                </c:pt>
                <c:pt idx="15">
                  <c:v>11.9176</c:v>
                </c:pt>
                <c:pt idx="16">
                  <c:v>11.8289</c:v>
                </c:pt>
                <c:pt idx="17">
                  <c:v>11.7412</c:v>
                </c:pt>
                <c:pt idx="18">
                  <c:v>11.6587</c:v>
                </c:pt>
                <c:pt idx="19">
                  <c:v>11.5748</c:v>
                </c:pt>
                <c:pt idx="20">
                  <c:v>11.498</c:v>
                </c:pt>
                <c:pt idx="21">
                  <c:v>11.42</c:v>
                </c:pt>
                <c:pt idx="22">
                  <c:v>11.3388</c:v>
                </c:pt>
                <c:pt idx="23">
                  <c:v>11.265</c:v>
                </c:pt>
                <c:pt idx="24">
                  <c:v>11.192</c:v>
                </c:pt>
                <c:pt idx="25">
                  <c:v>11.116</c:v>
                </c:pt>
                <c:pt idx="26">
                  <c:v>11.0445</c:v>
                </c:pt>
                <c:pt idx="27">
                  <c:v>10.9753</c:v>
                </c:pt>
                <c:pt idx="28">
                  <c:v>10.9045</c:v>
                </c:pt>
                <c:pt idx="29">
                  <c:v>10.8382</c:v>
                </c:pt>
                <c:pt idx="30">
                  <c:v>10.7666</c:v>
                </c:pt>
                <c:pt idx="31">
                  <c:v>10.696</c:v>
                </c:pt>
                <c:pt idx="32">
                  <c:v>10.6263</c:v>
                </c:pt>
                <c:pt idx="33">
                  <c:v>10.5611</c:v>
                </c:pt>
                <c:pt idx="34">
                  <c:v>10.4967</c:v>
                </c:pt>
                <c:pt idx="35">
                  <c:v>10.4339</c:v>
                </c:pt>
                <c:pt idx="36">
                  <c:v>10.3729</c:v>
                </c:pt>
                <c:pt idx="37">
                  <c:v>10.3119</c:v>
                </c:pt>
                <c:pt idx="38">
                  <c:v>10.2556</c:v>
                </c:pt>
                <c:pt idx="39">
                  <c:v>10.1928</c:v>
                </c:pt>
                <c:pt idx="40">
                  <c:v>10.1292</c:v>
                </c:pt>
                <c:pt idx="41">
                  <c:v>10.0707</c:v>
                </c:pt>
                <c:pt idx="42">
                  <c:v>10.0182</c:v>
                </c:pt>
                <c:pt idx="43">
                  <c:v>9.96087</c:v>
                </c:pt>
                <c:pt idx="44">
                  <c:v>9.90538</c:v>
                </c:pt>
                <c:pt idx="45">
                  <c:v>9.8462</c:v>
                </c:pt>
                <c:pt idx="46">
                  <c:v>9.79274</c:v>
                </c:pt>
                <c:pt idx="47">
                  <c:v>9.73933</c:v>
                </c:pt>
                <c:pt idx="48">
                  <c:v>9.68246</c:v>
                </c:pt>
                <c:pt idx="49">
                  <c:v>9.63096</c:v>
                </c:pt>
                <c:pt idx="50">
                  <c:v>9.57679</c:v>
                </c:pt>
                <c:pt idx="51">
                  <c:v>9.52488</c:v>
                </c:pt>
                <c:pt idx="52">
                  <c:v>9.47363</c:v>
                </c:pt>
                <c:pt idx="53">
                  <c:v>9.42122</c:v>
                </c:pt>
                <c:pt idx="54">
                  <c:v>9.36942</c:v>
                </c:pt>
                <c:pt idx="55">
                  <c:v>9.32503</c:v>
                </c:pt>
                <c:pt idx="56">
                  <c:v>9.27966</c:v>
                </c:pt>
                <c:pt idx="57">
                  <c:v>9.23124</c:v>
                </c:pt>
                <c:pt idx="58">
                  <c:v>9.18702</c:v>
                </c:pt>
                <c:pt idx="59">
                  <c:v>9.14174</c:v>
                </c:pt>
                <c:pt idx="60">
                  <c:v>9.09197</c:v>
                </c:pt>
                <c:pt idx="61">
                  <c:v>9.04862</c:v>
                </c:pt>
                <c:pt idx="62">
                  <c:v>9.00207</c:v>
                </c:pt>
                <c:pt idx="63">
                  <c:v>8.95531</c:v>
                </c:pt>
                <c:pt idx="64">
                  <c:v>8.91044</c:v>
                </c:pt>
                <c:pt idx="65">
                  <c:v>8.86668</c:v>
                </c:pt>
                <c:pt idx="66">
                  <c:v>8.82143</c:v>
                </c:pt>
                <c:pt idx="67">
                  <c:v>8.77653</c:v>
                </c:pt>
                <c:pt idx="68">
                  <c:v>8.73488</c:v>
                </c:pt>
                <c:pt idx="69">
                  <c:v>8.6908</c:v>
                </c:pt>
                <c:pt idx="70">
                  <c:v>8.64604</c:v>
                </c:pt>
                <c:pt idx="71">
                  <c:v>8.60527</c:v>
                </c:pt>
                <c:pt idx="72">
                  <c:v>8.56006</c:v>
                </c:pt>
                <c:pt idx="73">
                  <c:v>8.51556</c:v>
                </c:pt>
                <c:pt idx="74">
                  <c:v>8.46834</c:v>
                </c:pt>
                <c:pt idx="75">
                  <c:v>8.42947</c:v>
                </c:pt>
                <c:pt idx="76">
                  <c:v>8.38979</c:v>
                </c:pt>
                <c:pt idx="77">
                  <c:v>8.34864</c:v>
                </c:pt>
                <c:pt idx="78">
                  <c:v>8.30678</c:v>
                </c:pt>
                <c:pt idx="79">
                  <c:v>8.26512</c:v>
                </c:pt>
                <c:pt idx="80">
                  <c:v>8.22347</c:v>
                </c:pt>
                <c:pt idx="81">
                  <c:v>8.17685</c:v>
                </c:pt>
                <c:pt idx="82">
                  <c:v>8.144</c:v>
                </c:pt>
                <c:pt idx="83">
                  <c:v>8.10569</c:v>
                </c:pt>
                <c:pt idx="84">
                  <c:v>8.06644</c:v>
                </c:pt>
                <c:pt idx="85">
                  <c:v>8.02578</c:v>
                </c:pt>
                <c:pt idx="86">
                  <c:v>7.98701</c:v>
                </c:pt>
                <c:pt idx="87">
                  <c:v>7.94903</c:v>
                </c:pt>
                <c:pt idx="88">
                  <c:v>7.90812</c:v>
                </c:pt>
                <c:pt idx="89">
                  <c:v>7.87252</c:v>
                </c:pt>
                <c:pt idx="90">
                  <c:v>7.83087</c:v>
                </c:pt>
                <c:pt idx="91">
                  <c:v>7.79566</c:v>
                </c:pt>
                <c:pt idx="92">
                  <c:v>7.75562</c:v>
                </c:pt>
                <c:pt idx="93">
                  <c:v>7.71872</c:v>
                </c:pt>
                <c:pt idx="94">
                  <c:v>7.68084</c:v>
                </c:pt>
                <c:pt idx="95">
                  <c:v>7.64381</c:v>
                </c:pt>
                <c:pt idx="96">
                  <c:v>7.60948</c:v>
                </c:pt>
                <c:pt idx="97">
                  <c:v>7.57401</c:v>
                </c:pt>
                <c:pt idx="98">
                  <c:v>7.54293</c:v>
                </c:pt>
                <c:pt idx="99">
                  <c:v>7.5062</c:v>
                </c:pt>
                <c:pt idx="100">
                  <c:v>7.47203</c:v>
                </c:pt>
                <c:pt idx="101">
                  <c:v>7.43904</c:v>
                </c:pt>
                <c:pt idx="102">
                  <c:v>7.4068</c:v>
                </c:pt>
                <c:pt idx="103">
                  <c:v>7.37067</c:v>
                </c:pt>
                <c:pt idx="104">
                  <c:v>7.33831</c:v>
                </c:pt>
                <c:pt idx="105">
                  <c:v>7.30625</c:v>
                </c:pt>
                <c:pt idx="106">
                  <c:v>7.27347</c:v>
                </c:pt>
                <c:pt idx="107">
                  <c:v>7.2398</c:v>
                </c:pt>
                <c:pt idx="108">
                  <c:v>7.20962</c:v>
                </c:pt>
                <c:pt idx="109">
                  <c:v>7.17628</c:v>
                </c:pt>
                <c:pt idx="110">
                  <c:v>7.14379</c:v>
                </c:pt>
                <c:pt idx="111">
                  <c:v>7.10859</c:v>
                </c:pt>
                <c:pt idx="112">
                  <c:v>7.08111</c:v>
                </c:pt>
                <c:pt idx="113">
                  <c:v>7.04747</c:v>
                </c:pt>
                <c:pt idx="114">
                  <c:v>7.01519</c:v>
                </c:pt>
                <c:pt idx="115">
                  <c:v>6.98408</c:v>
                </c:pt>
                <c:pt idx="116">
                  <c:v>6.94756</c:v>
                </c:pt>
                <c:pt idx="117">
                  <c:v>6.91711</c:v>
                </c:pt>
                <c:pt idx="118">
                  <c:v>6.8871</c:v>
                </c:pt>
                <c:pt idx="119">
                  <c:v>6.85186</c:v>
                </c:pt>
                <c:pt idx="120">
                  <c:v>6.81789</c:v>
                </c:pt>
                <c:pt idx="121">
                  <c:v>6.78657</c:v>
                </c:pt>
                <c:pt idx="122">
                  <c:v>6.75704</c:v>
                </c:pt>
                <c:pt idx="123">
                  <c:v>6.72592</c:v>
                </c:pt>
                <c:pt idx="124">
                  <c:v>6.69688</c:v>
                </c:pt>
                <c:pt idx="125">
                  <c:v>6.66805</c:v>
                </c:pt>
                <c:pt idx="126">
                  <c:v>6.64143</c:v>
                </c:pt>
                <c:pt idx="127">
                  <c:v>6.61387</c:v>
                </c:pt>
                <c:pt idx="128">
                  <c:v>6.58458</c:v>
                </c:pt>
                <c:pt idx="129">
                  <c:v>6.55609</c:v>
                </c:pt>
                <c:pt idx="130">
                  <c:v>6.52643</c:v>
                </c:pt>
                <c:pt idx="131">
                  <c:v>6.50052</c:v>
                </c:pt>
                <c:pt idx="132">
                  <c:v>6.47011</c:v>
                </c:pt>
                <c:pt idx="133">
                  <c:v>6.442</c:v>
                </c:pt>
                <c:pt idx="134">
                  <c:v>6.41451</c:v>
                </c:pt>
                <c:pt idx="135">
                  <c:v>6.38831</c:v>
                </c:pt>
                <c:pt idx="136">
                  <c:v>6.3571</c:v>
                </c:pt>
                <c:pt idx="137">
                  <c:v>6.32832</c:v>
                </c:pt>
                <c:pt idx="138">
                  <c:v>6.29835</c:v>
                </c:pt>
                <c:pt idx="139">
                  <c:v>6.27077</c:v>
                </c:pt>
                <c:pt idx="140">
                  <c:v>6.24242</c:v>
                </c:pt>
                <c:pt idx="141">
                  <c:v>6.21676</c:v>
                </c:pt>
                <c:pt idx="142">
                  <c:v>6.1904</c:v>
                </c:pt>
                <c:pt idx="143">
                  <c:v>6.16727</c:v>
                </c:pt>
                <c:pt idx="144">
                  <c:v>6.14039</c:v>
                </c:pt>
                <c:pt idx="145">
                  <c:v>6.11511</c:v>
                </c:pt>
                <c:pt idx="146">
                  <c:v>6.08688</c:v>
                </c:pt>
                <c:pt idx="147">
                  <c:v>6.06482</c:v>
                </c:pt>
                <c:pt idx="148">
                  <c:v>6.03937</c:v>
                </c:pt>
                <c:pt idx="149">
                  <c:v>6.01043</c:v>
                </c:pt>
                <c:pt idx="150">
                  <c:v>5.98282</c:v>
                </c:pt>
                <c:pt idx="151">
                  <c:v>5.95139</c:v>
                </c:pt>
                <c:pt idx="152">
                  <c:v>5.92541</c:v>
                </c:pt>
                <c:pt idx="153">
                  <c:v>5.89911</c:v>
                </c:pt>
                <c:pt idx="154">
                  <c:v>5.8737</c:v>
                </c:pt>
                <c:pt idx="155">
                  <c:v>5.85059</c:v>
                </c:pt>
                <c:pt idx="156">
                  <c:v>5.82521</c:v>
                </c:pt>
                <c:pt idx="157">
                  <c:v>5.80033</c:v>
                </c:pt>
                <c:pt idx="158">
                  <c:v>5.77522</c:v>
                </c:pt>
                <c:pt idx="159">
                  <c:v>5.75068</c:v>
                </c:pt>
                <c:pt idx="160">
                  <c:v>5.72536</c:v>
                </c:pt>
                <c:pt idx="161">
                  <c:v>5.70041</c:v>
                </c:pt>
                <c:pt idx="162">
                  <c:v>5.67537</c:v>
                </c:pt>
                <c:pt idx="163">
                  <c:v>5.65179</c:v>
                </c:pt>
                <c:pt idx="164">
                  <c:v>5.62983</c:v>
                </c:pt>
                <c:pt idx="165">
                  <c:v>5.60709</c:v>
                </c:pt>
                <c:pt idx="166">
                  <c:v>5.58792</c:v>
                </c:pt>
                <c:pt idx="167">
                  <c:v>5.55962</c:v>
                </c:pt>
                <c:pt idx="168">
                  <c:v>5.54222</c:v>
                </c:pt>
                <c:pt idx="169">
                  <c:v>5.51948</c:v>
                </c:pt>
                <c:pt idx="170">
                  <c:v>5.4924</c:v>
                </c:pt>
                <c:pt idx="171">
                  <c:v>5.4707</c:v>
                </c:pt>
                <c:pt idx="172">
                  <c:v>5.44775</c:v>
                </c:pt>
                <c:pt idx="173">
                  <c:v>5.4251</c:v>
                </c:pt>
                <c:pt idx="174">
                  <c:v>5.40211</c:v>
                </c:pt>
                <c:pt idx="175">
                  <c:v>5.37638</c:v>
                </c:pt>
                <c:pt idx="176">
                  <c:v>5.35183</c:v>
                </c:pt>
                <c:pt idx="177">
                  <c:v>5.3322</c:v>
                </c:pt>
                <c:pt idx="178">
                  <c:v>5.30882</c:v>
                </c:pt>
                <c:pt idx="179">
                  <c:v>5.28694</c:v>
                </c:pt>
                <c:pt idx="180">
                  <c:v>5.26216</c:v>
                </c:pt>
                <c:pt idx="181">
                  <c:v>5.24219</c:v>
                </c:pt>
                <c:pt idx="182">
                  <c:v>5.21742</c:v>
                </c:pt>
                <c:pt idx="183">
                  <c:v>5.19298</c:v>
                </c:pt>
                <c:pt idx="184">
                  <c:v>5.16813</c:v>
                </c:pt>
                <c:pt idx="185">
                  <c:v>5.14739</c:v>
                </c:pt>
                <c:pt idx="186">
                  <c:v>5.12624</c:v>
                </c:pt>
                <c:pt idx="187">
                  <c:v>5.10736</c:v>
                </c:pt>
                <c:pt idx="188">
                  <c:v>5.08107</c:v>
                </c:pt>
                <c:pt idx="189">
                  <c:v>5.06156</c:v>
                </c:pt>
                <c:pt idx="190">
                  <c:v>5.04708</c:v>
                </c:pt>
                <c:pt idx="191">
                  <c:v>5.02214</c:v>
                </c:pt>
                <c:pt idx="192">
                  <c:v>5.00361</c:v>
                </c:pt>
                <c:pt idx="193">
                  <c:v>4.98195</c:v>
                </c:pt>
                <c:pt idx="194">
                  <c:v>4.96188</c:v>
                </c:pt>
                <c:pt idx="195">
                  <c:v>4.9487</c:v>
                </c:pt>
                <c:pt idx="196">
                  <c:v>4.9286</c:v>
                </c:pt>
                <c:pt idx="197">
                  <c:v>4.91193</c:v>
                </c:pt>
                <c:pt idx="198">
                  <c:v>4.88909</c:v>
                </c:pt>
                <c:pt idx="199">
                  <c:v>4.86574</c:v>
                </c:pt>
                <c:pt idx="200">
                  <c:v>4.84833</c:v>
                </c:pt>
                <c:pt idx="201">
                  <c:v>4.83286</c:v>
                </c:pt>
                <c:pt idx="202">
                  <c:v>4.81292</c:v>
                </c:pt>
                <c:pt idx="203">
                  <c:v>4.79762</c:v>
                </c:pt>
                <c:pt idx="204">
                  <c:v>4.77348</c:v>
                </c:pt>
                <c:pt idx="205">
                  <c:v>4.75297</c:v>
                </c:pt>
                <c:pt idx="206">
                  <c:v>4.73353</c:v>
                </c:pt>
                <c:pt idx="207">
                  <c:v>4.71807</c:v>
                </c:pt>
                <c:pt idx="208">
                  <c:v>4.69437</c:v>
                </c:pt>
                <c:pt idx="209">
                  <c:v>4.67553</c:v>
                </c:pt>
                <c:pt idx="210">
                  <c:v>4.65923</c:v>
                </c:pt>
                <c:pt idx="211">
                  <c:v>4.64254</c:v>
                </c:pt>
                <c:pt idx="212">
                  <c:v>4.62769</c:v>
                </c:pt>
                <c:pt idx="213">
                  <c:v>4.61356</c:v>
                </c:pt>
                <c:pt idx="214">
                  <c:v>4.59239</c:v>
                </c:pt>
                <c:pt idx="215">
                  <c:v>4.56993</c:v>
                </c:pt>
                <c:pt idx="216">
                  <c:v>4.5497</c:v>
                </c:pt>
                <c:pt idx="217">
                  <c:v>4.52994</c:v>
                </c:pt>
                <c:pt idx="218">
                  <c:v>4.51066</c:v>
                </c:pt>
                <c:pt idx="219">
                  <c:v>4.49375</c:v>
                </c:pt>
                <c:pt idx="220">
                  <c:v>4.47487</c:v>
                </c:pt>
                <c:pt idx="221">
                  <c:v>4.45858</c:v>
                </c:pt>
                <c:pt idx="222">
                  <c:v>4.43543</c:v>
                </c:pt>
                <c:pt idx="223">
                  <c:v>4.41361</c:v>
                </c:pt>
                <c:pt idx="224">
                  <c:v>4.39956</c:v>
                </c:pt>
                <c:pt idx="225">
                  <c:v>4.3847</c:v>
                </c:pt>
                <c:pt idx="226">
                  <c:v>4.36685</c:v>
                </c:pt>
                <c:pt idx="227">
                  <c:v>4.3488</c:v>
                </c:pt>
                <c:pt idx="228">
                  <c:v>4.33422</c:v>
                </c:pt>
                <c:pt idx="229">
                  <c:v>4.31713</c:v>
                </c:pt>
                <c:pt idx="230">
                  <c:v>4.30737</c:v>
                </c:pt>
                <c:pt idx="231">
                  <c:v>4.28828</c:v>
                </c:pt>
                <c:pt idx="232">
                  <c:v>4.26912</c:v>
                </c:pt>
                <c:pt idx="233">
                  <c:v>4.25845</c:v>
                </c:pt>
                <c:pt idx="234">
                  <c:v>4.23727</c:v>
                </c:pt>
                <c:pt idx="235">
                  <c:v>4.22183</c:v>
                </c:pt>
                <c:pt idx="236">
                  <c:v>4.20777</c:v>
                </c:pt>
                <c:pt idx="237">
                  <c:v>4.18972</c:v>
                </c:pt>
                <c:pt idx="238">
                  <c:v>4.17344</c:v>
                </c:pt>
                <c:pt idx="239">
                  <c:v>4.15183</c:v>
                </c:pt>
                <c:pt idx="240">
                  <c:v>4.13512</c:v>
                </c:pt>
                <c:pt idx="241">
                  <c:v>4.11612</c:v>
                </c:pt>
                <c:pt idx="242">
                  <c:v>4.09697</c:v>
                </c:pt>
                <c:pt idx="243">
                  <c:v>4.08049</c:v>
                </c:pt>
                <c:pt idx="244">
                  <c:v>4.06316</c:v>
                </c:pt>
                <c:pt idx="245">
                  <c:v>4.04647</c:v>
                </c:pt>
                <c:pt idx="246">
                  <c:v>4.02902</c:v>
                </c:pt>
                <c:pt idx="247">
                  <c:v>4.01422</c:v>
                </c:pt>
                <c:pt idx="248">
                  <c:v>4.00389</c:v>
                </c:pt>
                <c:pt idx="249">
                  <c:v>3.98835</c:v>
                </c:pt>
                <c:pt idx="250">
                  <c:v>3.97478</c:v>
                </c:pt>
                <c:pt idx="251">
                  <c:v>3.96178</c:v>
                </c:pt>
                <c:pt idx="252">
                  <c:v>3.94459</c:v>
                </c:pt>
                <c:pt idx="253">
                  <c:v>3.92654</c:v>
                </c:pt>
                <c:pt idx="254">
                  <c:v>3.9087</c:v>
                </c:pt>
                <c:pt idx="255">
                  <c:v>3.89492</c:v>
                </c:pt>
                <c:pt idx="256">
                  <c:v>3.88317</c:v>
                </c:pt>
                <c:pt idx="257">
                  <c:v>3.86568</c:v>
                </c:pt>
                <c:pt idx="258">
                  <c:v>3.85149</c:v>
                </c:pt>
                <c:pt idx="259">
                  <c:v>3.83747</c:v>
                </c:pt>
                <c:pt idx="260">
                  <c:v>3.82424</c:v>
                </c:pt>
                <c:pt idx="261">
                  <c:v>3.80569</c:v>
                </c:pt>
                <c:pt idx="262">
                  <c:v>3.78874</c:v>
                </c:pt>
                <c:pt idx="263">
                  <c:v>3.76927</c:v>
                </c:pt>
                <c:pt idx="264">
                  <c:v>3.75862</c:v>
                </c:pt>
                <c:pt idx="265">
                  <c:v>3.74445</c:v>
                </c:pt>
                <c:pt idx="266">
                  <c:v>3.73472</c:v>
                </c:pt>
                <c:pt idx="267">
                  <c:v>3.72079</c:v>
                </c:pt>
                <c:pt idx="268">
                  <c:v>3.704</c:v>
                </c:pt>
                <c:pt idx="269">
                  <c:v>3.69346</c:v>
                </c:pt>
                <c:pt idx="270">
                  <c:v>3.67877</c:v>
                </c:pt>
                <c:pt idx="271">
                  <c:v>3.66001</c:v>
                </c:pt>
                <c:pt idx="272">
                  <c:v>3.64466</c:v>
                </c:pt>
                <c:pt idx="273">
                  <c:v>3.63127</c:v>
                </c:pt>
                <c:pt idx="274">
                  <c:v>3.61691</c:v>
                </c:pt>
                <c:pt idx="275">
                  <c:v>3.60132</c:v>
                </c:pt>
                <c:pt idx="276">
                  <c:v>3.58653</c:v>
                </c:pt>
                <c:pt idx="277">
                  <c:v>3.57062</c:v>
                </c:pt>
                <c:pt idx="278">
                  <c:v>3.5518</c:v>
                </c:pt>
                <c:pt idx="279">
                  <c:v>3.53933</c:v>
                </c:pt>
                <c:pt idx="280">
                  <c:v>3.52625</c:v>
                </c:pt>
                <c:pt idx="281">
                  <c:v>3.50648</c:v>
                </c:pt>
                <c:pt idx="282">
                  <c:v>3.49578</c:v>
                </c:pt>
                <c:pt idx="283">
                  <c:v>3.47968</c:v>
                </c:pt>
                <c:pt idx="284">
                  <c:v>3.46655</c:v>
                </c:pt>
                <c:pt idx="285">
                  <c:v>3.45416</c:v>
                </c:pt>
                <c:pt idx="286">
                  <c:v>3.44285</c:v>
                </c:pt>
                <c:pt idx="287">
                  <c:v>3.43151</c:v>
                </c:pt>
                <c:pt idx="288">
                  <c:v>3.41944</c:v>
                </c:pt>
                <c:pt idx="289">
                  <c:v>3.40521</c:v>
                </c:pt>
                <c:pt idx="290">
                  <c:v>3.39575</c:v>
                </c:pt>
                <c:pt idx="291">
                  <c:v>3.37981</c:v>
                </c:pt>
                <c:pt idx="292">
                  <c:v>3.36019</c:v>
                </c:pt>
                <c:pt idx="293">
                  <c:v>3.34957</c:v>
                </c:pt>
                <c:pt idx="294">
                  <c:v>3.33787</c:v>
                </c:pt>
                <c:pt idx="295">
                  <c:v>3.32333</c:v>
                </c:pt>
                <c:pt idx="296">
                  <c:v>3.31229</c:v>
                </c:pt>
                <c:pt idx="297">
                  <c:v>3.30194</c:v>
                </c:pt>
                <c:pt idx="298">
                  <c:v>3.2848</c:v>
                </c:pt>
                <c:pt idx="299">
                  <c:v>3.27646</c:v>
                </c:pt>
                <c:pt idx="300">
                  <c:v>3.26415</c:v>
                </c:pt>
                <c:pt idx="301">
                  <c:v>3.25213</c:v>
                </c:pt>
                <c:pt idx="302">
                  <c:v>3.23406</c:v>
                </c:pt>
                <c:pt idx="303">
                  <c:v>3.21682</c:v>
                </c:pt>
                <c:pt idx="304">
                  <c:v>3.20849</c:v>
                </c:pt>
                <c:pt idx="305">
                  <c:v>3.18996</c:v>
                </c:pt>
                <c:pt idx="306">
                  <c:v>3.17349</c:v>
                </c:pt>
                <c:pt idx="307">
                  <c:v>3.16468</c:v>
                </c:pt>
                <c:pt idx="308">
                  <c:v>3.15559</c:v>
                </c:pt>
                <c:pt idx="309">
                  <c:v>3.13128</c:v>
                </c:pt>
                <c:pt idx="310">
                  <c:v>3.11522</c:v>
                </c:pt>
                <c:pt idx="311">
                  <c:v>3.09908</c:v>
                </c:pt>
                <c:pt idx="312">
                  <c:v>3.08592</c:v>
                </c:pt>
                <c:pt idx="313">
                  <c:v>3.06906</c:v>
                </c:pt>
                <c:pt idx="314">
                  <c:v>3.06232</c:v>
                </c:pt>
                <c:pt idx="315">
                  <c:v>3.04972</c:v>
                </c:pt>
                <c:pt idx="316">
                  <c:v>3.03265</c:v>
                </c:pt>
                <c:pt idx="317">
                  <c:v>3.02114</c:v>
                </c:pt>
                <c:pt idx="318">
                  <c:v>3.00461</c:v>
                </c:pt>
                <c:pt idx="319">
                  <c:v>2.99313</c:v>
                </c:pt>
                <c:pt idx="320">
                  <c:v>2.97341</c:v>
                </c:pt>
                <c:pt idx="321">
                  <c:v>2.96126</c:v>
                </c:pt>
                <c:pt idx="322">
                  <c:v>2.9496</c:v>
                </c:pt>
                <c:pt idx="323">
                  <c:v>2.94119</c:v>
                </c:pt>
                <c:pt idx="324">
                  <c:v>2.92999</c:v>
                </c:pt>
                <c:pt idx="325">
                  <c:v>2.91687</c:v>
                </c:pt>
                <c:pt idx="326">
                  <c:v>2.90509</c:v>
                </c:pt>
                <c:pt idx="327">
                  <c:v>2.89373</c:v>
                </c:pt>
                <c:pt idx="328">
                  <c:v>2.88252</c:v>
                </c:pt>
                <c:pt idx="329">
                  <c:v>2.87265</c:v>
                </c:pt>
                <c:pt idx="330">
                  <c:v>2.85904</c:v>
                </c:pt>
                <c:pt idx="331">
                  <c:v>2.84452</c:v>
                </c:pt>
                <c:pt idx="332">
                  <c:v>2.83394</c:v>
                </c:pt>
                <c:pt idx="333">
                  <c:v>2.82894</c:v>
                </c:pt>
                <c:pt idx="334">
                  <c:v>2.81969</c:v>
                </c:pt>
                <c:pt idx="335">
                  <c:v>2.81558</c:v>
                </c:pt>
                <c:pt idx="336">
                  <c:v>2.80231</c:v>
                </c:pt>
                <c:pt idx="337">
                  <c:v>2.78515</c:v>
                </c:pt>
                <c:pt idx="338">
                  <c:v>2.77109</c:v>
                </c:pt>
                <c:pt idx="339">
                  <c:v>2.76222</c:v>
                </c:pt>
                <c:pt idx="340">
                  <c:v>2.75562</c:v>
                </c:pt>
                <c:pt idx="341">
                  <c:v>2.7473</c:v>
                </c:pt>
                <c:pt idx="342">
                  <c:v>2.73624</c:v>
                </c:pt>
                <c:pt idx="343">
                  <c:v>2.72356</c:v>
                </c:pt>
                <c:pt idx="344">
                  <c:v>2.71813</c:v>
                </c:pt>
                <c:pt idx="345">
                  <c:v>2.71028</c:v>
                </c:pt>
                <c:pt idx="346">
                  <c:v>2.69883</c:v>
                </c:pt>
                <c:pt idx="347">
                  <c:v>2.68696</c:v>
                </c:pt>
                <c:pt idx="348">
                  <c:v>2.67942</c:v>
                </c:pt>
                <c:pt idx="349">
                  <c:v>2.6717</c:v>
                </c:pt>
                <c:pt idx="350">
                  <c:v>2.66103</c:v>
                </c:pt>
                <c:pt idx="351">
                  <c:v>2.64734</c:v>
                </c:pt>
                <c:pt idx="352">
                  <c:v>2.63601</c:v>
                </c:pt>
                <c:pt idx="353">
                  <c:v>2.62062</c:v>
                </c:pt>
                <c:pt idx="354">
                  <c:v>2.60649</c:v>
                </c:pt>
                <c:pt idx="355">
                  <c:v>2.60091</c:v>
                </c:pt>
                <c:pt idx="356">
                  <c:v>2.59195</c:v>
                </c:pt>
                <c:pt idx="357">
                  <c:v>2.58052</c:v>
                </c:pt>
                <c:pt idx="358">
                  <c:v>2.57425</c:v>
                </c:pt>
                <c:pt idx="359">
                  <c:v>2.57101</c:v>
                </c:pt>
                <c:pt idx="360">
                  <c:v>2.56013</c:v>
                </c:pt>
                <c:pt idx="361">
                  <c:v>2.55335</c:v>
                </c:pt>
                <c:pt idx="362">
                  <c:v>2.54644</c:v>
                </c:pt>
                <c:pt idx="363">
                  <c:v>2.53543</c:v>
                </c:pt>
                <c:pt idx="364">
                  <c:v>2.52634</c:v>
                </c:pt>
                <c:pt idx="365">
                  <c:v>2.51828</c:v>
                </c:pt>
                <c:pt idx="366">
                  <c:v>2.50418</c:v>
                </c:pt>
                <c:pt idx="367">
                  <c:v>2.49468</c:v>
                </c:pt>
                <c:pt idx="368">
                  <c:v>2.48152</c:v>
                </c:pt>
                <c:pt idx="369">
                  <c:v>2.46765</c:v>
                </c:pt>
                <c:pt idx="370">
                  <c:v>2.45855</c:v>
                </c:pt>
                <c:pt idx="371">
                  <c:v>2.45144</c:v>
                </c:pt>
                <c:pt idx="372">
                  <c:v>2.44508</c:v>
                </c:pt>
                <c:pt idx="373">
                  <c:v>2.43419</c:v>
                </c:pt>
                <c:pt idx="374">
                  <c:v>2.42722</c:v>
                </c:pt>
                <c:pt idx="375">
                  <c:v>2.41757</c:v>
                </c:pt>
                <c:pt idx="376">
                  <c:v>2.40832</c:v>
                </c:pt>
                <c:pt idx="377">
                  <c:v>2.39758</c:v>
                </c:pt>
                <c:pt idx="378">
                  <c:v>2.39125</c:v>
                </c:pt>
                <c:pt idx="379">
                  <c:v>2.38084</c:v>
                </c:pt>
                <c:pt idx="380">
                  <c:v>2.3705</c:v>
                </c:pt>
                <c:pt idx="381">
                  <c:v>2.36129</c:v>
                </c:pt>
                <c:pt idx="382">
                  <c:v>2.35452</c:v>
                </c:pt>
                <c:pt idx="383">
                  <c:v>2.34489</c:v>
                </c:pt>
                <c:pt idx="384">
                  <c:v>2.33407</c:v>
                </c:pt>
                <c:pt idx="385">
                  <c:v>2.32292</c:v>
                </c:pt>
                <c:pt idx="386">
                  <c:v>2.312</c:v>
                </c:pt>
                <c:pt idx="387">
                  <c:v>2.30844</c:v>
                </c:pt>
                <c:pt idx="388">
                  <c:v>2.29669</c:v>
                </c:pt>
                <c:pt idx="389">
                  <c:v>2.28638</c:v>
                </c:pt>
                <c:pt idx="390">
                  <c:v>2.27272</c:v>
                </c:pt>
                <c:pt idx="391">
                  <c:v>2.26406</c:v>
                </c:pt>
                <c:pt idx="392">
                  <c:v>2.25777</c:v>
                </c:pt>
                <c:pt idx="393">
                  <c:v>2.25083</c:v>
                </c:pt>
                <c:pt idx="394">
                  <c:v>2.23898</c:v>
                </c:pt>
                <c:pt idx="395">
                  <c:v>2.23116</c:v>
                </c:pt>
                <c:pt idx="396">
                  <c:v>2.21947</c:v>
                </c:pt>
                <c:pt idx="397">
                  <c:v>2.21238</c:v>
                </c:pt>
                <c:pt idx="398">
                  <c:v>2.202</c:v>
                </c:pt>
                <c:pt idx="399">
                  <c:v>2.18525</c:v>
                </c:pt>
                <c:pt idx="400">
                  <c:v>2.17126</c:v>
                </c:pt>
                <c:pt idx="401">
                  <c:v>2.16132</c:v>
                </c:pt>
                <c:pt idx="402">
                  <c:v>2.15505</c:v>
                </c:pt>
                <c:pt idx="403">
                  <c:v>2.14898</c:v>
                </c:pt>
                <c:pt idx="404">
                  <c:v>2.13759</c:v>
                </c:pt>
                <c:pt idx="405">
                  <c:v>2.13065</c:v>
                </c:pt>
                <c:pt idx="406">
                  <c:v>2.11634</c:v>
                </c:pt>
                <c:pt idx="407">
                  <c:v>2.11244</c:v>
                </c:pt>
                <c:pt idx="408">
                  <c:v>2.09874</c:v>
                </c:pt>
                <c:pt idx="409">
                  <c:v>2.08877</c:v>
                </c:pt>
                <c:pt idx="410">
                  <c:v>2.07328</c:v>
                </c:pt>
                <c:pt idx="411">
                  <c:v>2.0624</c:v>
                </c:pt>
                <c:pt idx="412">
                  <c:v>2.05563</c:v>
                </c:pt>
                <c:pt idx="413">
                  <c:v>2.04256</c:v>
                </c:pt>
                <c:pt idx="414">
                  <c:v>2.04099</c:v>
                </c:pt>
                <c:pt idx="415">
                  <c:v>2.03411</c:v>
                </c:pt>
                <c:pt idx="416">
                  <c:v>2.02559</c:v>
                </c:pt>
                <c:pt idx="417">
                  <c:v>2.0282</c:v>
                </c:pt>
                <c:pt idx="418">
                  <c:v>2.01928</c:v>
                </c:pt>
                <c:pt idx="419">
                  <c:v>2.01212</c:v>
                </c:pt>
                <c:pt idx="420">
                  <c:v>2.00573</c:v>
                </c:pt>
                <c:pt idx="421">
                  <c:v>1.99561</c:v>
                </c:pt>
                <c:pt idx="422">
                  <c:v>1.99087</c:v>
                </c:pt>
                <c:pt idx="423">
                  <c:v>1.98212</c:v>
                </c:pt>
                <c:pt idx="424">
                  <c:v>1.97531</c:v>
                </c:pt>
                <c:pt idx="425">
                  <c:v>1.97166</c:v>
                </c:pt>
                <c:pt idx="426">
                  <c:v>1.96536</c:v>
                </c:pt>
                <c:pt idx="427">
                  <c:v>1.95895</c:v>
                </c:pt>
                <c:pt idx="428">
                  <c:v>1.95092</c:v>
                </c:pt>
                <c:pt idx="429">
                  <c:v>1.94069</c:v>
                </c:pt>
                <c:pt idx="430">
                  <c:v>1.93452</c:v>
                </c:pt>
                <c:pt idx="431">
                  <c:v>1.93614</c:v>
                </c:pt>
                <c:pt idx="432">
                  <c:v>1.93017</c:v>
                </c:pt>
                <c:pt idx="433">
                  <c:v>1.9261</c:v>
                </c:pt>
                <c:pt idx="434">
                  <c:v>1.91732</c:v>
                </c:pt>
                <c:pt idx="435">
                  <c:v>1.91916</c:v>
                </c:pt>
                <c:pt idx="436">
                  <c:v>1.91744</c:v>
                </c:pt>
                <c:pt idx="437">
                  <c:v>1.90723</c:v>
                </c:pt>
                <c:pt idx="438">
                  <c:v>1.90405</c:v>
                </c:pt>
                <c:pt idx="439">
                  <c:v>1.89011</c:v>
                </c:pt>
                <c:pt idx="440">
                  <c:v>1.88181</c:v>
                </c:pt>
                <c:pt idx="441">
                  <c:v>1.87754</c:v>
                </c:pt>
                <c:pt idx="442">
                  <c:v>1.86609</c:v>
                </c:pt>
                <c:pt idx="443">
                  <c:v>1.86345</c:v>
                </c:pt>
                <c:pt idx="444">
                  <c:v>1.86107</c:v>
                </c:pt>
                <c:pt idx="445">
                  <c:v>1.85655</c:v>
                </c:pt>
                <c:pt idx="446">
                  <c:v>1.85185</c:v>
                </c:pt>
                <c:pt idx="447">
                  <c:v>1.84963</c:v>
                </c:pt>
                <c:pt idx="448">
                  <c:v>1.84243</c:v>
                </c:pt>
                <c:pt idx="449">
                  <c:v>1.83473</c:v>
                </c:pt>
                <c:pt idx="450">
                  <c:v>1.82742</c:v>
                </c:pt>
                <c:pt idx="451">
                  <c:v>1.8194</c:v>
                </c:pt>
                <c:pt idx="452">
                  <c:v>1.80912</c:v>
                </c:pt>
                <c:pt idx="453">
                  <c:v>1.79978</c:v>
                </c:pt>
                <c:pt idx="454">
                  <c:v>1.79165</c:v>
                </c:pt>
                <c:pt idx="455">
                  <c:v>1.77865</c:v>
                </c:pt>
                <c:pt idx="456">
                  <c:v>1.76763</c:v>
                </c:pt>
                <c:pt idx="457">
                  <c:v>1.7607</c:v>
                </c:pt>
                <c:pt idx="458">
                  <c:v>1.75377</c:v>
                </c:pt>
                <c:pt idx="459">
                  <c:v>1.74307</c:v>
                </c:pt>
                <c:pt idx="460">
                  <c:v>1.74149</c:v>
                </c:pt>
                <c:pt idx="461">
                  <c:v>1.73445</c:v>
                </c:pt>
                <c:pt idx="462">
                  <c:v>1.73075</c:v>
                </c:pt>
                <c:pt idx="463">
                  <c:v>1.71809</c:v>
                </c:pt>
                <c:pt idx="464">
                  <c:v>1.71416</c:v>
                </c:pt>
                <c:pt idx="465">
                  <c:v>1.70688</c:v>
                </c:pt>
                <c:pt idx="466">
                  <c:v>1.70786</c:v>
                </c:pt>
                <c:pt idx="467">
                  <c:v>1.70047</c:v>
                </c:pt>
                <c:pt idx="468">
                  <c:v>1.69076</c:v>
                </c:pt>
                <c:pt idx="469">
                  <c:v>1.68366</c:v>
                </c:pt>
                <c:pt idx="470">
                  <c:v>1.67442</c:v>
                </c:pt>
                <c:pt idx="471">
                  <c:v>1.66798</c:v>
                </c:pt>
                <c:pt idx="472">
                  <c:v>1.66772</c:v>
                </c:pt>
                <c:pt idx="473">
                  <c:v>1.65772</c:v>
                </c:pt>
                <c:pt idx="474">
                  <c:v>1.64661</c:v>
                </c:pt>
                <c:pt idx="475">
                  <c:v>1.64278</c:v>
                </c:pt>
                <c:pt idx="476">
                  <c:v>1.64559</c:v>
                </c:pt>
                <c:pt idx="477">
                  <c:v>1.64449</c:v>
                </c:pt>
                <c:pt idx="478">
                  <c:v>1.64032</c:v>
                </c:pt>
                <c:pt idx="479">
                  <c:v>1.62877</c:v>
                </c:pt>
                <c:pt idx="480">
                  <c:v>1.62129</c:v>
                </c:pt>
                <c:pt idx="481">
                  <c:v>1.61617</c:v>
                </c:pt>
                <c:pt idx="482">
                  <c:v>1.6081</c:v>
                </c:pt>
                <c:pt idx="483">
                  <c:v>1.60023</c:v>
                </c:pt>
                <c:pt idx="484">
                  <c:v>1.59006</c:v>
                </c:pt>
                <c:pt idx="485">
                  <c:v>1.57613</c:v>
                </c:pt>
                <c:pt idx="486">
                  <c:v>1.56576</c:v>
                </c:pt>
                <c:pt idx="487">
                  <c:v>1.5692</c:v>
                </c:pt>
                <c:pt idx="488">
                  <c:v>1.56574</c:v>
                </c:pt>
                <c:pt idx="489">
                  <c:v>1.55796</c:v>
                </c:pt>
                <c:pt idx="490">
                  <c:v>1.55414</c:v>
                </c:pt>
                <c:pt idx="491">
                  <c:v>1.55352</c:v>
                </c:pt>
                <c:pt idx="492">
                  <c:v>1.54731</c:v>
                </c:pt>
                <c:pt idx="493">
                  <c:v>1.53788</c:v>
                </c:pt>
                <c:pt idx="494">
                  <c:v>1.52787</c:v>
                </c:pt>
                <c:pt idx="495">
                  <c:v>1.5247</c:v>
                </c:pt>
                <c:pt idx="496">
                  <c:v>1.51503</c:v>
                </c:pt>
                <c:pt idx="497">
                  <c:v>1.50386</c:v>
                </c:pt>
                <c:pt idx="498">
                  <c:v>1.49836</c:v>
                </c:pt>
                <c:pt idx="499">
                  <c:v>1.48872</c:v>
                </c:pt>
                <c:pt idx="500">
                  <c:v>1.48992</c:v>
                </c:pt>
                <c:pt idx="501">
                  <c:v>1.48968</c:v>
                </c:pt>
                <c:pt idx="502">
                  <c:v>1.48561</c:v>
                </c:pt>
                <c:pt idx="503">
                  <c:v>1.47833</c:v>
                </c:pt>
                <c:pt idx="504">
                  <c:v>1.46578</c:v>
                </c:pt>
                <c:pt idx="505">
                  <c:v>1.46856</c:v>
                </c:pt>
                <c:pt idx="506">
                  <c:v>1.45739</c:v>
                </c:pt>
                <c:pt idx="507">
                  <c:v>1.45868</c:v>
                </c:pt>
                <c:pt idx="508">
                  <c:v>1.45664</c:v>
                </c:pt>
                <c:pt idx="509">
                  <c:v>1.45955</c:v>
                </c:pt>
                <c:pt idx="510">
                  <c:v>1.45427</c:v>
                </c:pt>
                <c:pt idx="511">
                  <c:v>1.4502</c:v>
                </c:pt>
                <c:pt idx="512">
                  <c:v>1.44746</c:v>
                </c:pt>
                <c:pt idx="513">
                  <c:v>1.44337</c:v>
                </c:pt>
                <c:pt idx="514">
                  <c:v>1.44195</c:v>
                </c:pt>
                <c:pt idx="515">
                  <c:v>1.43664</c:v>
                </c:pt>
                <c:pt idx="516">
                  <c:v>1.43232</c:v>
                </c:pt>
                <c:pt idx="517">
                  <c:v>1.43212</c:v>
                </c:pt>
                <c:pt idx="518">
                  <c:v>1.43192</c:v>
                </c:pt>
                <c:pt idx="519">
                  <c:v>1.42588</c:v>
                </c:pt>
                <c:pt idx="520">
                  <c:v>1.42591</c:v>
                </c:pt>
                <c:pt idx="521">
                  <c:v>1.42317</c:v>
                </c:pt>
                <c:pt idx="522">
                  <c:v>1.40897</c:v>
                </c:pt>
                <c:pt idx="523">
                  <c:v>1.39856</c:v>
                </c:pt>
                <c:pt idx="524">
                  <c:v>1.39081</c:v>
                </c:pt>
                <c:pt idx="525">
                  <c:v>1.38741</c:v>
                </c:pt>
                <c:pt idx="526">
                  <c:v>1.37589</c:v>
                </c:pt>
                <c:pt idx="527">
                  <c:v>1.36957</c:v>
                </c:pt>
                <c:pt idx="528">
                  <c:v>1.36611</c:v>
                </c:pt>
                <c:pt idx="529">
                  <c:v>1.36619</c:v>
                </c:pt>
                <c:pt idx="530">
                  <c:v>1.36197</c:v>
                </c:pt>
                <c:pt idx="531">
                  <c:v>1.3532</c:v>
                </c:pt>
                <c:pt idx="532">
                  <c:v>1.34352</c:v>
                </c:pt>
                <c:pt idx="533">
                  <c:v>1.33848</c:v>
                </c:pt>
                <c:pt idx="534">
                  <c:v>1.33562</c:v>
                </c:pt>
                <c:pt idx="535">
                  <c:v>1.32753</c:v>
                </c:pt>
                <c:pt idx="536">
                  <c:v>1.3251</c:v>
                </c:pt>
                <c:pt idx="537">
                  <c:v>1.317</c:v>
                </c:pt>
                <c:pt idx="538">
                  <c:v>1.31838</c:v>
                </c:pt>
                <c:pt idx="539">
                  <c:v>1.32305</c:v>
                </c:pt>
                <c:pt idx="540">
                  <c:v>1.31158</c:v>
                </c:pt>
                <c:pt idx="541">
                  <c:v>1.30921</c:v>
                </c:pt>
                <c:pt idx="542">
                  <c:v>1.30895</c:v>
                </c:pt>
                <c:pt idx="543">
                  <c:v>1.30653</c:v>
                </c:pt>
                <c:pt idx="544">
                  <c:v>1.30038</c:v>
                </c:pt>
                <c:pt idx="545">
                  <c:v>1.29785</c:v>
                </c:pt>
                <c:pt idx="546">
                  <c:v>1.29418</c:v>
                </c:pt>
                <c:pt idx="547">
                  <c:v>1.29277</c:v>
                </c:pt>
                <c:pt idx="548">
                  <c:v>1.29288</c:v>
                </c:pt>
                <c:pt idx="549">
                  <c:v>1.28599</c:v>
                </c:pt>
                <c:pt idx="550">
                  <c:v>1.28003</c:v>
                </c:pt>
                <c:pt idx="551">
                  <c:v>1.27777</c:v>
                </c:pt>
                <c:pt idx="552">
                  <c:v>1.26893</c:v>
                </c:pt>
                <c:pt idx="553">
                  <c:v>1.27487</c:v>
                </c:pt>
                <c:pt idx="554">
                  <c:v>1.26572</c:v>
                </c:pt>
                <c:pt idx="555">
                  <c:v>1.25428</c:v>
                </c:pt>
                <c:pt idx="556">
                  <c:v>1.25079</c:v>
                </c:pt>
                <c:pt idx="557">
                  <c:v>1.24712</c:v>
                </c:pt>
                <c:pt idx="558">
                  <c:v>1.2399</c:v>
                </c:pt>
                <c:pt idx="559">
                  <c:v>1.23015</c:v>
                </c:pt>
                <c:pt idx="560">
                  <c:v>1.21541</c:v>
                </c:pt>
                <c:pt idx="561">
                  <c:v>1.21586</c:v>
                </c:pt>
                <c:pt idx="562">
                  <c:v>1.21442</c:v>
                </c:pt>
                <c:pt idx="563">
                  <c:v>1.21027</c:v>
                </c:pt>
                <c:pt idx="564">
                  <c:v>1.20872</c:v>
                </c:pt>
                <c:pt idx="565">
                  <c:v>1.20534</c:v>
                </c:pt>
                <c:pt idx="566">
                  <c:v>1.19998</c:v>
                </c:pt>
                <c:pt idx="567">
                  <c:v>1.19522</c:v>
                </c:pt>
                <c:pt idx="568">
                  <c:v>1.19313</c:v>
                </c:pt>
                <c:pt idx="569">
                  <c:v>1.18337</c:v>
                </c:pt>
                <c:pt idx="570">
                  <c:v>1.18287</c:v>
                </c:pt>
                <c:pt idx="571">
                  <c:v>1.17867</c:v>
                </c:pt>
                <c:pt idx="572">
                  <c:v>1.16646</c:v>
                </c:pt>
                <c:pt idx="573">
                  <c:v>1.1589</c:v>
                </c:pt>
                <c:pt idx="574">
                  <c:v>1.15857</c:v>
                </c:pt>
                <c:pt idx="575">
                  <c:v>1.15447</c:v>
                </c:pt>
                <c:pt idx="576">
                  <c:v>1.15916</c:v>
                </c:pt>
                <c:pt idx="577">
                  <c:v>1.16099</c:v>
                </c:pt>
                <c:pt idx="578">
                  <c:v>1.15659</c:v>
                </c:pt>
                <c:pt idx="579">
                  <c:v>1.15499</c:v>
                </c:pt>
                <c:pt idx="580">
                  <c:v>1.15496</c:v>
                </c:pt>
                <c:pt idx="581">
                  <c:v>1.14866</c:v>
                </c:pt>
                <c:pt idx="582">
                  <c:v>1.14442</c:v>
                </c:pt>
                <c:pt idx="583">
                  <c:v>1.13959</c:v>
                </c:pt>
                <c:pt idx="584">
                  <c:v>1.14141</c:v>
                </c:pt>
                <c:pt idx="585">
                  <c:v>1.13772</c:v>
                </c:pt>
                <c:pt idx="586">
                  <c:v>1.13913</c:v>
                </c:pt>
                <c:pt idx="587">
                  <c:v>1.14047</c:v>
                </c:pt>
                <c:pt idx="588">
                  <c:v>1.14314</c:v>
                </c:pt>
                <c:pt idx="589">
                  <c:v>1.14501</c:v>
                </c:pt>
                <c:pt idx="590">
                  <c:v>1.13632</c:v>
                </c:pt>
                <c:pt idx="591">
                  <c:v>1.13267</c:v>
                </c:pt>
                <c:pt idx="592">
                  <c:v>1.12575</c:v>
                </c:pt>
                <c:pt idx="593">
                  <c:v>1.11986</c:v>
                </c:pt>
                <c:pt idx="594">
                  <c:v>1.11305</c:v>
                </c:pt>
                <c:pt idx="595">
                  <c:v>1.11584</c:v>
                </c:pt>
                <c:pt idx="596">
                  <c:v>1.11233</c:v>
                </c:pt>
                <c:pt idx="597">
                  <c:v>1.10526</c:v>
                </c:pt>
                <c:pt idx="598">
                  <c:v>1.09975</c:v>
                </c:pt>
                <c:pt idx="599">
                  <c:v>1.09142</c:v>
                </c:pt>
                <c:pt idx="600">
                  <c:v>1.09787</c:v>
                </c:pt>
                <c:pt idx="601">
                  <c:v>1.09638</c:v>
                </c:pt>
                <c:pt idx="602">
                  <c:v>1.09198</c:v>
                </c:pt>
                <c:pt idx="603">
                  <c:v>1.09303</c:v>
                </c:pt>
                <c:pt idx="604">
                  <c:v>1.09566</c:v>
                </c:pt>
                <c:pt idx="605">
                  <c:v>1.08987</c:v>
                </c:pt>
                <c:pt idx="606">
                  <c:v>1.08889</c:v>
                </c:pt>
                <c:pt idx="607">
                  <c:v>1.08163</c:v>
                </c:pt>
                <c:pt idx="608">
                  <c:v>1.08059</c:v>
                </c:pt>
                <c:pt idx="609">
                  <c:v>1.07545</c:v>
                </c:pt>
                <c:pt idx="610">
                  <c:v>1.07034</c:v>
                </c:pt>
                <c:pt idx="611">
                  <c:v>1.06931</c:v>
                </c:pt>
                <c:pt idx="612">
                  <c:v>1.07291</c:v>
                </c:pt>
                <c:pt idx="613">
                  <c:v>1.05754</c:v>
                </c:pt>
                <c:pt idx="614">
                  <c:v>1.05744</c:v>
                </c:pt>
                <c:pt idx="615">
                  <c:v>1.05955</c:v>
                </c:pt>
                <c:pt idx="616">
                  <c:v>1.06126</c:v>
                </c:pt>
                <c:pt idx="617">
                  <c:v>1.05689</c:v>
                </c:pt>
                <c:pt idx="618">
                  <c:v>1.05715</c:v>
                </c:pt>
                <c:pt idx="619">
                  <c:v>1.06132</c:v>
                </c:pt>
                <c:pt idx="620">
                  <c:v>1.06295</c:v>
                </c:pt>
                <c:pt idx="621">
                  <c:v>1.04954</c:v>
                </c:pt>
                <c:pt idx="622">
                  <c:v>1.04526</c:v>
                </c:pt>
                <c:pt idx="623">
                  <c:v>1.04287</c:v>
                </c:pt>
                <c:pt idx="624">
                  <c:v>1.04037</c:v>
                </c:pt>
                <c:pt idx="625">
                  <c:v>1.03756</c:v>
                </c:pt>
                <c:pt idx="626">
                  <c:v>1.03602</c:v>
                </c:pt>
                <c:pt idx="627">
                  <c:v>1.0311</c:v>
                </c:pt>
                <c:pt idx="628">
                  <c:v>1.02429</c:v>
                </c:pt>
                <c:pt idx="629">
                  <c:v>1.02176</c:v>
                </c:pt>
                <c:pt idx="630">
                  <c:v>1.02247</c:v>
                </c:pt>
                <c:pt idx="631">
                  <c:v>1.02144</c:v>
                </c:pt>
                <c:pt idx="632">
                  <c:v>1.01412</c:v>
                </c:pt>
                <c:pt idx="633">
                  <c:v>1.01332</c:v>
                </c:pt>
                <c:pt idx="634">
                  <c:v>1.01006</c:v>
                </c:pt>
                <c:pt idx="635">
                  <c:v>1.01084</c:v>
                </c:pt>
                <c:pt idx="636">
                  <c:v>1.00346</c:v>
                </c:pt>
                <c:pt idx="637">
                  <c:v>1.00232</c:v>
                </c:pt>
                <c:pt idx="638">
                  <c:v>0.997439</c:v>
                </c:pt>
                <c:pt idx="639">
                  <c:v>0.998802</c:v>
                </c:pt>
                <c:pt idx="640">
                  <c:v>1.00459</c:v>
                </c:pt>
                <c:pt idx="641">
                  <c:v>1.00999</c:v>
                </c:pt>
                <c:pt idx="642">
                  <c:v>0.997403</c:v>
                </c:pt>
                <c:pt idx="643">
                  <c:v>1.00106</c:v>
                </c:pt>
                <c:pt idx="644">
                  <c:v>1.00467</c:v>
                </c:pt>
                <c:pt idx="645">
                  <c:v>0.989914</c:v>
                </c:pt>
                <c:pt idx="646">
                  <c:v>0.986927</c:v>
                </c:pt>
                <c:pt idx="647">
                  <c:v>0.982923</c:v>
                </c:pt>
                <c:pt idx="648">
                  <c:v>0.988778</c:v>
                </c:pt>
                <c:pt idx="649">
                  <c:v>0.977316</c:v>
                </c:pt>
                <c:pt idx="650">
                  <c:v>0.978502</c:v>
                </c:pt>
                <c:pt idx="651">
                  <c:v>0.975207</c:v>
                </c:pt>
                <c:pt idx="652">
                  <c:v>0.971229</c:v>
                </c:pt>
                <c:pt idx="653">
                  <c:v>0.965412</c:v>
                </c:pt>
                <c:pt idx="654">
                  <c:v>0.960873</c:v>
                </c:pt>
                <c:pt idx="655">
                  <c:v>0.956736</c:v>
                </c:pt>
                <c:pt idx="656">
                  <c:v>0.954714</c:v>
                </c:pt>
                <c:pt idx="657">
                  <c:v>0.952572</c:v>
                </c:pt>
                <c:pt idx="658">
                  <c:v>0.950167</c:v>
                </c:pt>
                <c:pt idx="659">
                  <c:v>0.945074</c:v>
                </c:pt>
                <c:pt idx="660">
                  <c:v>0.945083</c:v>
                </c:pt>
                <c:pt idx="661">
                  <c:v>0.940149</c:v>
                </c:pt>
                <c:pt idx="662">
                  <c:v>0.932648</c:v>
                </c:pt>
                <c:pt idx="663">
                  <c:v>0.930281</c:v>
                </c:pt>
                <c:pt idx="664">
                  <c:v>0.919516</c:v>
                </c:pt>
                <c:pt idx="665">
                  <c:v>0.918997</c:v>
                </c:pt>
                <c:pt idx="666">
                  <c:v>0.918933</c:v>
                </c:pt>
                <c:pt idx="667">
                  <c:v>0.918673</c:v>
                </c:pt>
                <c:pt idx="668">
                  <c:v>0.916867</c:v>
                </c:pt>
                <c:pt idx="669">
                  <c:v>0.917604</c:v>
                </c:pt>
                <c:pt idx="670">
                  <c:v>0.911895</c:v>
                </c:pt>
                <c:pt idx="671">
                  <c:v>0.900582</c:v>
                </c:pt>
                <c:pt idx="672">
                  <c:v>0.903145</c:v>
                </c:pt>
                <c:pt idx="673">
                  <c:v>0.8978</c:v>
                </c:pt>
                <c:pt idx="674">
                  <c:v>0.894687</c:v>
                </c:pt>
                <c:pt idx="675">
                  <c:v>0.889</c:v>
                </c:pt>
                <c:pt idx="676">
                  <c:v>0.890856</c:v>
                </c:pt>
                <c:pt idx="677">
                  <c:v>0.887374</c:v>
                </c:pt>
                <c:pt idx="678">
                  <c:v>0.889216</c:v>
                </c:pt>
                <c:pt idx="679">
                  <c:v>0.888813</c:v>
                </c:pt>
                <c:pt idx="680">
                  <c:v>0.885463</c:v>
                </c:pt>
                <c:pt idx="681">
                  <c:v>0.886816</c:v>
                </c:pt>
                <c:pt idx="682">
                  <c:v>0.888542</c:v>
                </c:pt>
                <c:pt idx="683">
                  <c:v>0.884235</c:v>
                </c:pt>
                <c:pt idx="684">
                  <c:v>0.88317</c:v>
                </c:pt>
                <c:pt idx="685">
                  <c:v>0.882509</c:v>
                </c:pt>
                <c:pt idx="686">
                  <c:v>0.884956</c:v>
                </c:pt>
                <c:pt idx="687">
                  <c:v>0.875521</c:v>
                </c:pt>
                <c:pt idx="688">
                  <c:v>0.875011</c:v>
                </c:pt>
                <c:pt idx="689">
                  <c:v>0.87648</c:v>
                </c:pt>
                <c:pt idx="690">
                  <c:v>0.874883</c:v>
                </c:pt>
                <c:pt idx="691">
                  <c:v>0.877166</c:v>
                </c:pt>
                <c:pt idx="692">
                  <c:v>0.882218</c:v>
                </c:pt>
                <c:pt idx="693">
                  <c:v>0.878166</c:v>
                </c:pt>
                <c:pt idx="694">
                  <c:v>0.877465</c:v>
                </c:pt>
                <c:pt idx="695">
                  <c:v>0.879546</c:v>
                </c:pt>
                <c:pt idx="696">
                  <c:v>0.881513</c:v>
                </c:pt>
                <c:pt idx="697">
                  <c:v>0.886463</c:v>
                </c:pt>
                <c:pt idx="698">
                  <c:v>0.891158</c:v>
                </c:pt>
                <c:pt idx="699">
                  <c:v>0.889867</c:v>
                </c:pt>
                <c:pt idx="700">
                  <c:v>0.872326</c:v>
                </c:pt>
                <c:pt idx="701">
                  <c:v>0.858203</c:v>
                </c:pt>
                <c:pt idx="702">
                  <c:v>0.859943</c:v>
                </c:pt>
                <c:pt idx="703">
                  <c:v>0.857851</c:v>
                </c:pt>
                <c:pt idx="704">
                  <c:v>0.86255</c:v>
                </c:pt>
                <c:pt idx="705">
                  <c:v>0.857831</c:v>
                </c:pt>
                <c:pt idx="706">
                  <c:v>0.863328</c:v>
                </c:pt>
                <c:pt idx="707">
                  <c:v>0.855415</c:v>
                </c:pt>
                <c:pt idx="708">
                  <c:v>0.859522</c:v>
                </c:pt>
                <c:pt idx="709">
                  <c:v>0.863873</c:v>
                </c:pt>
                <c:pt idx="710">
                  <c:v>0.858325</c:v>
                </c:pt>
                <c:pt idx="711">
                  <c:v>0.852806</c:v>
                </c:pt>
                <c:pt idx="712">
                  <c:v>0.847341</c:v>
                </c:pt>
                <c:pt idx="713">
                  <c:v>0.845265</c:v>
                </c:pt>
                <c:pt idx="714">
                  <c:v>0.84296</c:v>
                </c:pt>
                <c:pt idx="715">
                  <c:v>0.832811</c:v>
                </c:pt>
                <c:pt idx="716">
                  <c:v>0.823839</c:v>
                </c:pt>
                <c:pt idx="717">
                  <c:v>0.824728</c:v>
                </c:pt>
                <c:pt idx="718">
                  <c:v>0.826622</c:v>
                </c:pt>
                <c:pt idx="719">
                  <c:v>0.824735</c:v>
                </c:pt>
                <c:pt idx="720">
                  <c:v>0.825793</c:v>
                </c:pt>
                <c:pt idx="721">
                  <c:v>0.823432</c:v>
                </c:pt>
                <c:pt idx="722">
                  <c:v>0.820416</c:v>
                </c:pt>
                <c:pt idx="723">
                  <c:v>0.821648</c:v>
                </c:pt>
                <c:pt idx="724">
                  <c:v>0.82229</c:v>
                </c:pt>
                <c:pt idx="725">
                  <c:v>0.808715</c:v>
                </c:pt>
                <c:pt idx="726">
                  <c:v>0.809356</c:v>
                </c:pt>
                <c:pt idx="727">
                  <c:v>0.806482</c:v>
                </c:pt>
                <c:pt idx="728">
                  <c:v>0.807057</c:v>
                </c:pt>
                <c:pt idx="729">
                  <c:v>0.811198</c:v>
                </c:pt>
                <c:pt idx="730">
                  <c:v>0.804646</c:v>
                </c:pt>
                <c:pt idx="731">
                  <c:v>0.805836</c:v>
                </c:pt>
                <c:pt idx="732">
                  <c:v>0.806761</c:v>
                </c:pt>
                <c:pt idx="733">
                  <c:v>0.807355</c:v>
                </c:pt>
                <c:pt idx="734">
                  <c:v>0.807453</c:v>
                </c:pt>
                <c:pt idx="735">
                  <c:v>0.811739</c:v>
                </c:pt>
                <c:pt idx="736">
                  <c:v>0.812338</c:v>
                </c:pt>
                <c:pt idx="737">
                  <c:v>0.816923</c:v>
                </c:pt>
                <c:pt idx="738">
                  <c:v>0.809717</c:v>
                </c:pt>
                <c:pt idx="739">
                  <c:v>0.813722</c:v>
                </c:pt>
                <c:pt idx="740">
                  <c:v>0.798459</c:v>
                </c:pt>
                <c:pt idx="741">
                  <c:v>0.790641</c:v>
                </c:pt>
                <c:pt idx="742">
                  <c:v>0.790498</c:v>
                </c:pt>
                <c:pt idx="743">
                  <c:v>0.794751</c:v>
                </c:pt>
                <c:pt idx="744">
                  <c:v>0.799082</c:v>
                </c:pt>
                <c:pt idx="745">
                  <c:v>0.791949</c:v>
                </c:pt>
                <c:pt idx="746">
                  <c:v>0.796053</c:v>
                </c:pt>
                <c:pt idx="747">
                  <c:v>0.792129</c:v>
                </c:pt>
                <c:pt idx="748">
                  <c:v>0.791955</c:v>
                </c:pt>
                <c:pt idx="749">
                  <c:v>0.7878</c:v>
                </c:pt>
                <c:pt idx="750">
                  <c:v>0.787168</c:v>
                </c:pt>
                <c:pt idx="751">
                  <c:v>0.787871</c:v>
                </c:pt>
                <c:pt idx="752">
                  <c:v>0.783894</c:v>
                </c:pt>
                <c:pt idx="753">
                  <c:v>0.775227</c:v>
                </c:pt>
                <c:pt idx="754">
                  <c:v>0.770896</c:v>
                </c:pt>
                <c:pt idx="755">
                  <c:v>0.762328</c:v>
                </c:pt>
                <c:pt idx="756">
                  <c:v>0.761588</c:v>
                </c:pt>
                <c:pt idx="757">
                  <c:v>0.765576</c:v>
                </c:pt>
                <c:pt idx="758">
                  <c:v>0.761163</c:v>
                </c:pt>
                <c:pt idx="759">
                  <c:v>0.760473</c:v>
                </c:pt>
                <c:pt idx="760">
                  <c:v>0.756728</c:v>
                </c:pt>
                <c:pt idx="761">
                  <c:v>0.756416</c:v>
                </c:pt>
                <c:pt idx="762">
                  <c:v>0.751267</c:v>
                </c:pt>
                <c:pt idx="763">
                  <c:v>0.755163</c:v>
                </c:pt>
                <c:pt idx="764">
                  <c:v>0.758892</c:v>
                </c:pt>
                <c:pt idx="765">
                  <c:v>0.753711</c:v>
                </c:pt>
                <c:pt idx="766">
                  <c:v>0.748856</c:v>
                </c:pt>
                <c:pt idx="767">
                  <c:v>0.751949</c:v>
                </c:pt>
                <c:pt idx="768">
                  <c:v>0.746582</c:v>
                </c:pt>
                <c:pt idx="769">
                  <c:v>0.750223</c:v>
                </c:pt>
                <c:pt idx="770">
                  <c:v>0.75429</c:v>
                </c:pt>
                <c:pt idx="771">
                  <c:v>0.757755</c:v>
                </c:pt>
                <c:pt idx="772">
                  <c:v>0.761433</c:v>
                </c:pt>
                <c:pt idx="773">
                  <c:v>0.766027</c:v>
                </c:pt>
                <c:pt idx="774">
                  <c:v>0.765122</c:v>
                </c:pt>
                <c:pt idx="775">
                  <c:v>0.759996</c:v>
                </c:pt>
                <c:pt idx="776">
                  <c:v>0.754258</c:v>
                </c:pt>
                <c:pt idx="777">
                  <c:v>0.759283</c:v>
                </c:pt>
                <c:pt idx="778">
                  <c:v>0.753435</c:v>
                </c:pt>
                <c:pt idx="779">
                  <c:v>0.737624</c:v>
                </c:pt>
                <c:pt idx="780">
                  <c:v>0.74133</c:v>
                </c:pt>
                <c:pt idx="781">
                  <c:v>0.739815</c:v>
                </c:pt>
                <c:pt idx="782">
                  <c:v>0.743793</c:v>
                </c:pt>
                <c:pt idx="783">
                  <c:v>0.748495</c:v>
                </c:pt>
                <c:pt idx="784">
                  <c:v>0.746724</c:v>
                </c:pt>
                <c:pt idx="785">
                  <c:v>0.736008</c:v>
                </c:pt>
                <c:pt idx="786">
                  <c:v>0.734841</c:v>
                </c:pt>
                <c:pt idx="787">
                  <c:v>0.723439</c:v>
                </c:pt>
                <c:pt idx="788">
                  <c:v>0.712021</c:v>
                </c:pt>
                <c:pt idx="789">
                  <c:v>0.704814</c:v>
                </c:pt>
                <c:pt idx="790">
                  <c:v>0.698236</c:v>
                </c:pt>
                <c:pt idx="791">
                  <c:v>0.696643</c:v>
                </c:pt>
                <c:pt idx="792">
                  <c:v>0.699634</c:v>
                </c:pt>
                <c:pt idx="793">
                  <c:v>0.702838</c:v>
                </c:pt>
                <c:pt idx="794">
                  <c:v>0.701435</c:v>
                </c:pt>
                <c:pt idx="795">
                  <c:v>0.694893</c:v>
                </c:pt>
                <c:pt idx="796">
                  <c:v>0.693316</c:v>
                </c:pt>
                <c:pt idx="797">
                  <c:v>0.68564</c:v>
                </c:pt>
                <c:pt idx="798">
                  <c:v>0.689466</c:v>
                </c:pt>
                <c:pt idx="799">
                  <c:v>0.688137</c:v>
                </c:pt>
                <c:pt idx="800">
                  <c:v>0.686866</c:v>
                </c:pt>
                <c:pt idx="801">
                  <c:v>0.684588</c:v>
                </c:pt>
                <c:pt idx="802">
                  <c:v>0.687304</c:v>
                </c:pt>
                <c:pt idx="803">
                  <c:v>0.685624</c:v>
                </c:pt>
                <c:pt idx="804">
                  <c:v>0.688682</c:v>
                </c:pt>
                <c:pt idx="805">
                  <c:v>0.686252</c:v>
                </c:pt>
                <c:pt idx="806">
                  <c:v>0.677677</c:v>
                </c:pt>
                <c:pt idx="807">
                  <c:v>0.67018</c:v>
                </c:pt>
                <c:pt idx="808">
                  <c:v>0.656266</c:v>
                </c:pt>
                <c:pt idx="809">
                  <c:v>0.647923</c:v>
                </c:pt>
                <c:pt idx="810">
                  <c:v>0.651352</c:v>
                </c:pt>
                <c:pt idx="811">
                  <c:v>0.654588</c:v>
                </c:pt>
                <c:pt idx="812">
                  <c:v>0.652289</c:v>
                </c:pt>
                <c:pt idx="813">
                  <c:v>0.638109</c:v>
                </c:pt>
                <c:pt idx="814">
                  <c:v>0.629903</c:v>
                </c:pt>
                <c:pt idx="815">
                  <c:v>0.621341</c:v>
                </c:pt>
                <c:pt idx="816">
                  <c:v>0.613054</c:v>
                </c:pt>
                <c:pt idx="817">
                  <c:v>0.610161</c:v>
                </c:pt>
                <c:pt idx="818">
                  <c:v>0.607792</c:v>
                </c:pt>
                <c:pt idx="819">
                  <c:v>0.604506</c:v>
                </c:pt>
                <c:pt idx="820">
                  <c:v>0.60725</c:v>
                </c:pt>
                <c:pt idx="821">
                  <c:v>0.610583</c:v>
                </c:pt>
                <c:pt idx="822">
                  <c:v>0.60794</c:v>
                </c:pt>
                <c:pt idx="823">
                  <c:v>0.598653</c:v>
                </c:pt>
                <c:pt idx="824">
                  <c:v>0.595649</c:v>
                </c:pt>
                <c:pt idx="825">
                  <c:v>0.599029</c:v>
                </c:pt>
                <c:pt idx="826">
                  <c:v>0.595464</c:v>
                </c:pt>
                <c:pt idx="827">
                  <c:v>0.597774</c:v>
                </c:pt>
                <c:pt idx="828">
                  <c:v>0.600908</c:v>
                </c:pt>
                <c:pt idx="829">
                  <c:v>0.603841</c:v>
                </c:pt>
                <c:pt idx="830">
                  <c:v>0.594699</c:v>
                </c:pt>
                <c:pt idx="831">
                  <c:v>0.59137</c:v>
                </c:pt>
                <c:pt idx="832">
                  <c:v>0.581357</c:v>
                </c:pt>
                <c:pt idx="833">
                  <c:v>0.584181</c:v>
                </c:pt>
                <c:pt idx="834">
                  <c:v>0.587033</c:v>
                </c:pt>
                <c:pt idx="835">
                  <c:v>0.582627</c:v>
                </c:pt>
                <c:pt idx="836">
                  <c:v>0.58534</c:v>
                </c:pt>
                <c:pt idx="837">
                  <c:v>0.581124</c:v>
                </c:pt>
                <c:pt idx="838">
                  <c:v>0.583736</c:v>
                </c:pt>
                <c:pt idx="839">
                  <c:v>0.57971</c:v>
                </c:pt>
                <c:pt idx="840">
                  <c:v>0.569839</c:v>
                </c:pt>
                <c:pt idx="841">
                  <c:v>0.565742</c:v>
                </c:pt>
                <c:pt idx="842">
                  <c:v>0.569468</c:v>
                </c:pt>
                <c:pt idx="843">
                  <c:v>0.572493</c:v>
                </c:pt>
                <c:pt idx="844">
                  <c:v>0.5683</c:v>
                </c:pt>
                <c:pt idx="845">
                  <c:v>0.571588</c:v>
                </c:pt>
                <c:pt idx="846">
                  <c:v>0.574189</c:v>
                </c:pt>
                <c:pt idx="847">
                  <c:v>0.56974</c:v>
                </c:pt>
                <c:pt idx="848">
                  <c:v>0.572155</c:v>
                </c:pt>
                <c:pt idx="849">
                  <c:v>0.56794</c:v>
                </c:pt>
                <c:pt idx="850">
                  <c:v>0.557023</c:v>
                </c:pt>
                <c:pt idx="851">
                  <c:v>0.538059</c:v>
                </c:pt>
                <c:pt idx="852">
                  <c:v>0.54058</c:v>
                </c:pt>
                <c:pt idx="853">
                  <c:v>0.536504</c:v>
                </c:pt>
                <c:pt idx="854">
                  <c:v>0.539791</c:v>
                </c:pt>
                <c:pt idx="855">
                  <c:v>0.542283</c:v>
                </c:pt>
                <c:pt idx="856">
                  <c:v>0.544839</c:v>
                </c:pt>
                <c:pt idx="857">
                  <c:v>0.547661</c:v>
                </c:pt>
                <c:pt idx="858">
                  <c:v>0.550554</c:v>
                </c:pt>
                <c:pt idx="859">
                  <c:v>0.545754</c:v>
                </c:pt>
                <c:pt idx="860">
                  <c:v>0.540865</c:v>
                </c:pt>
                <c:pt idx="861">
                  <c:v>0.535445</c:v>
                </c:pt>
                <c:pt idx="862">
                  <c:v>0.538164</c:v>
                </c:pt>
                <c:pt idx="863">
                  <c:v>0.533171</c:v>
                </c:pt>
                <c:pt idx="864">
                  <c:v>0.536563</c:v>
                </c:pt>
                <c:pt idx="865">
                  <c:v>0.523681</c:v>
                </c:pt>
                <c:pt idx="866">
                  <c:v>0.518335</c:v>
                </c:pt>
                <c:pt idx="867">
                  <c:v>0.521279</c:v>
                </c:pt>
                <c:pt idx="868">
                  <c:v>0.523315</c:v>
                </c:pt>
                <c:pt idx="869">
                  <c:v>0.526109</c:v>
                </c:pt>
                <c:pt idx="870">
                  <c:v>0.512942</c:v>
                </c:pt>
                <c:pt idx="871">
                  <c:v>0.507614</c:v>
                </c:pt>
                <c:pt idx="872">
                  <c:v>0.51053</c:v>
                </c:pt>
                <c:pt idx="873">
                  <c:v>0.513726</c:v>
                </c:pt>
                <c:pt idx="874">
                  <c:v>0.515963</c:v>
                </c:pt>
                <c:pt idx="875">
                  <c:v>0.502309</c:v>
                </c:pt>
                <c:pt idx="876">
                  <c:v>0.504763</c:v>
                </c:pt>
                <c:pt idx="877">
                  <c:v>0.507822</c:v>
                </c:pt>
                <c:pt idx="878">
                  <c:v>0.510498</c:v>
                </c:pt>
                <c:pt idx="879">
                  <c:v>0.512693</c:v>
                </c:pt>
                <c:pt idx="880">
                  <c:v>0.51525</c:v>
                </c:pt>
                <c:pt idx="881">
                  <c:v>0.501379</c:v>
                </c:pt>
                <c:pt idx="882">
                  <c:v>0.503525</c:v>
                </c:pt>
                <c:pt idx="883">
                  <c:v>0.506415</c:v>
                </c:pt>
                <c:pt idx="884">
                  <c:v>0.509079</c:v>
                </c:pt>
                <c:pt idx="885">
                  <c:v>0.511858</c:v>
                </c:pt>
                <c:pt idx="886">
                  <c:v>0.514447</c:v>
                </c:pt>
                <c:pt idx="887">
                  <c:v>0.508621</c:v>
                </c:pt>
                <c:pt idx="888">
                  <c:v>0.510734</c:v>
                </c:pt>
                <c:pt idx="889">
                  <c:v>0.512553</c:v>
                </c:pt>
                <c:pt idx="890">
                  <c:v>0.515194</c:v>
                </c:pt>
                <c:pt idx="891">
                  <c:v>0.517726</c:v>
                </c:pt>
                <c:pt idx="892">
                  <c:v>0.510968</c:v>
                </c:pt>
                <c:pt idx="893">
                  <c:v>0.513456</c:v>
                </c:pt>
                <c:pt idx="894">
                  <c:v>0.497999</c:v>
                </c:pt>
                <c:pt idx="895">
                  <c:v>0.500447</c:v>
                </c:pt>
                <c:pt idx="896">
                  <c:v>0.485262</c:v>
                </c:pt>
                <c:pt idx="897">
                  <c:v>0.487849</c:v>
                </c:pt>
                <c:pt idx="898">
                  <c:v>0.489441</c:v>
                </c:pt>
                <c:pt idx="899">
                  <c:v>0.482608</c:v>
                </c:pt>
                <c:pt idx="900">
                  <c:v>0.476321</c:v>
                </c:pt>
                <c:pt idx="901">
                  <c:v>0.478865</c:v>
                </c:pt>
                <c:pt idx="902">
                  <c:v>0.471698</c:v>
                </c:pt>
                <c:pt idx="903">
                  <c:v>0.464943</c:v>
                </c:pt>
                <c:pt idx="904">
                  <c:v>0.467683</c:v>
                </c:pt>
                <c:pt idx="905">
                  <c:v>0.460613</c:v>
                </c:pt>
                <c:pt idx="906">
                  <c:v>0.462788</c:v>
                </c:pt>
                <c:pt idx="907">
                  <c:v>0.4561</c:v>
                </c:pt>
                <c:pt idx="908">
                  <c:v>0.448003</c:v>
                </c:pt>
                <c:pt idx="909">
                  <c:v>0.449675</c:v>
                </c:pt>
                <c:pt idx="910">
                  <c:v>0.451749</c:v>
                </c:pt>
                <c:pt idx="911">
                  <c:v>0.453712</c:v>
                </c:pt>
                <c:pt idx="912">
                  <c:v>0.455912</c:v>
                </c:pt>
                <c:pt idx="913">
                  <c:v>0.458671</c:v>
                </c:pt>
                <c:pt idx="914">
                  <c:v>0.460513</c:v>
                </c:pt>
                <c:pt idx="915">
                  <c:v>0.452756</c:v>
                </c:pt>
                <c:pt idx="916">
                  <c:v>0.45513</c:v>
                </c:pt>
                <c:pt idx="917">
                  <c:v>0.457848</c:v>
                </c:pt>
                <c:pt idx="918">
                  <c:v>0.45045</c:v>
                </c:pt>
                <c:pt idx="919">
                  <c:v>0.45258</c:v>
                </c:pt>
                <c:pt idx="920">
                  <c:v>0.455327</c:v>
                </c:pt>
                <c:pt idx="921">
                  <c:v>0.457736</c:v>
                </c:pt>
                <c:pt idx="922">
                  <c:v>0.460405</c:v>
                </c:pt>
                <c:pt idx="923">
                  <c:v>0.463106</c:v>
                </c:pt>
                <c:pt idx="924">
                  <c:v>0.465309</c:v>
                </c:pt>
                <c:pt idx="925">
                  <c:v>0.467824</c:v>
                </c:pt>
                <c:pt idx="926">
                  <c:v>0.459722</c:v>
                </c:pt>
                <c:pt idx="927">
                  <c:v>0.451017</c:v>
                </c:pt>
                <c:pt idx="928">
                  <c:v>0.453443</c:v>
                </c:pt>
                <c:pt idx="929">
                  <c:v>0.445151</c:v>
                </c:pt>
                <c:pt idx="930">
                  <c:v>0.447332</c:v>
                </c:pt>
                <c:pt idx="931">
                  <c:v>0.428311</c:v>
                </c:pt>
                <c:pt idx="932">
                  <c:v>0.430385</c:v>
                </c:pt>
                <c:pt idx="933">
                  <c:v>0.431965</c:v>
                </c:pt>
                <c:pt idx="934">
                  <c:v>0.434924</c:v>
                </c:pt>
                <c:pt idx="935">
                  <c:v>0.437063</c:v>
                </c:pt>
                <c:pt idx="936">
                  <c:v>0.439416</c:v>
                </c:pt>
                <c:pt idx="937">
                  <c:v>0.442038</c:v>
                </c:pt>
                <c:pt idx="938">
                  <c:v>0.444741</c:v>
                </c:pt>
                <c:pt idx="939">
                  <c:v>0.446728</c:v>
                </c:pt>
                <c:pt idx="940">
                  <c:v>0.43776</c:v>
                </c:pt>
                <c:pt idx="941">
                  <c:v>0.428121</c:v>
                </c:pt>
                <c:pt idx="942">
                  <c:v>0.429767</c:v>
                </c:pt>
                <c:pt idx="943">
                  <c:v>0.43172</c:v>
                </c:pt>
                <c:pt idx="944">
                  <c:v>0.434236</c:v>
                </c:pt>
                <c:pt idx="945">
                  <c:v>0.43598</c:v>
                </c:pt>
                <c:pt idx="946">
                  <c:v>0.438192</c:v>
                </c:pt>
                <c:pt idx="947">
                  <c:v>0.440427</c:v>
                </c:pt>
                <c:pt idx="948">
                  <c:v>0.430934</c:v>
                </c:pt>
                <c:pt idx="949">
                  <c:v>0.420905</c:v>
                </c:pt>
                <c:pt idx="950">
                  <c:v>0.411136</c:v>
                </c:pt>
                <c:pt idx="951">
                  <c:v>0.412882</c:v>
                </c:pt>
                <c:pt idx="952">
                  <c:v>0.415282</c:v>
                </c:pt>
                <c:pt idx="953">
                  <c:v>0.416518</c:v>
                </c:pt>
                <c:pt idx="954">
                  <c:v>0.406261</c:v>
                </c:pt>
                <c:pt idx="955">
                  <c:v>0.409195</c:v>
                </c:pt>
                <c:pt idx="956">
                  <c:v>0.411174</c:v>
                </c:pt>
                <c:pt idx="957">
                  <c:v>0.413123</c:v>
                </c:pt>
                <c:pt idx="958">
                  <c:v>0.414533</c:v>
                </c:pt>
                <c:pt idx="959">
                  <c:v>0.417127</c:v>
                </c:pt>
                <c:pt idx="960">
                  <c:v>0.418977</c:v>
                </c:pt>
                <c:pt idx="961">
                  <c:v>0.421941</c:v>
                </c:pt>
                <c:pt idx="962">
                  <c:v>0.424152</c:v>
                </c:pt>
                <c:pt idx="963">
                  <c:v>0.426065</c:v>
                </c:pt>
                <c:pt idx="964">
                  <c:v>0.428104</c:v>
                </c:pt>
                <c:pt idx="965">
                  <c:v>0.430216</c:v>
                </c:pt>
                <c:pt idx="966">
                  <c:v>0.432295</c:v>
                </c:pt>
                <c:pt idx="967">
                  <c:v>0.434061</c:v>
                </c:pt>
                <c:pt idx="968">
                  <c:v>0.435786</c:v>
                </c:pt>
                <c:pt idx="969">
                  <c:v>0.438257</c:v>
                </c:pt>
                <c:pt idx="970">
                  <c:v>0.441043</c:v>
                </c:pt>
                <c:pt idx="971">
                  <c:v>0.443459</c:v>
                </c:pt>
                <c:pt idx="972">
                  <c:v>0.445434</c:v>
                </c:pt>
                <c:pt idx="973">
                  <c:v>0.447368</c:v>
                </c:pt>
                <c:pt idx="974">
                  <c:v>0.449974</c:v>
                </c:pt>
                <c:pt idx="975">
                  <c:v>0.439707</c:v>
                </c:pt>
                <c:pt idx="976">
                  <c:v>0.442004</c:v>
                </c:pt>
                <c:pt idx="977">
                  <c:v>0.444145</c:v>
                </c:pt>
                <c:pt idx="978">
                  <c:v>0.432549</c:v>
                </c:pt>
                <c:pt idx="979">
                  <c:v>0.434783</c:v>
                </c:pt>
                <c:pt idx="980">
                  <c:v>0.43692</c:v>
                </c:pt>
                <c:pt idx="981">
                  <c:v>0.439379</c:v>
                </c:pt>
                <c:pt idx="982">
                  <c:v>0.427822</c:v>
                </c:pt>
                <c:pt idx="983">
                  <c:v>0.429839</c:v>
                </c:pt>
                <c:pt idx="984">
                  <c:v>0.432056</c:v>
                </c:pt>
                <c:pt idx="985">
                  <c:v>0.434174</c:v>
                </c:pt>
                <c:pt idx="986">
                  <c:v>0.435822</c:v>
                </c:pt>
                <c:pt idx="987">
                  <c:v>0.42343</c:v>
                </c:pt>
                <c:pt idx="988">
                  <c:v>0.411289</c:v>
                </c:pt>
                <c:pt idx="989">
                  <c:v>0.41287</c:v>
                </c:pt>
                <c:pt idx="990">
                  <c:v>0.415413</c:v>
                </c:pt>
                <c:pt idx="991">
                  <c:v>0.403866</c:v>
                </c:pt>
                <c:pt idx="992">
                  <c:v>0.406386</c:v>
                </c:pt>
                <c:pt idx="993">
                  <c:v>0.408282</c:v>
                </c:pt>
                <c:pt idx="994">
                  <c:v>0.409956</c:v>
                </c:pt>
                <c:pt idx="995">
                  <c:v>0.411946</c:v>
                </c:pt>
                <c:pt idx="996">
                  <c:v>0.413956</c:v>
                </c:pt>
                <c:pt idx="997">
                  <c:v>0.386387</c:v>
                </c:pt>
                <c:pt idx="998">
                  <c:v>0.388582</c:v>
                </c:pt>
                <c:pt idx="999">
                  <c:v>0.375488</c:v>
                </c:pt>
              </c:numCache>
            </c:numRef>
          </c:yVal>
          <c:smooth val="0"/>
        </c:ser>
        <c:axId val="37356417"/>
        <c:axId val="67712615"/>
      </c:scatterChart>
      <c:valAx>
        <c:axId val="373564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712615"/>
        <c:crossesAt val="0"/>
        <c:crossBetween val="midCat"/>
      </c:valAx>
      <c:valAx>
        <c:axId val="67712615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356417"/>
        <c:crossesAt val="0"/>
        <c:crossBetween val="midCat"/>
      </c:valAx>
      <c:spPr>
        <a:noFill/>
        <a:ln w="936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de-DE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12600">
              <a:noFill/>
            </a:ln>
          </c:spPr>
          <c:marker>
            <c:symbol val="square"/>
            <c:size val="7"/>
            <c:spPr>
              <a:solidFill>
                <a:srgbClr val="99CCFF"/>
              </a:solidFill>
            </c:spPr>
          </c:marker>
          <c:smooth val="0"/>
        </c:ser>
        <c:axId val="3274155"/>
        <c:axId val="31958597"/>
      </c:scatterChart>
      <c:valAx>
        <c:axId val="32741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958597"/>
        <c:crossesAt val="0"/>
        <c:crossBetween val="midCat"/>
      </c:valAx>
      <c:valAx>
        <c:axId val="31958597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74155"/>
        <c:crossesAt val="0"/>
        <c:crossBetween val="midCat"/>
      </c:valAx>
      <c:spPr>
        <a:noFill/>
        <a:ln w="936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de-DE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004586"/>
            </a:solidFill>
            <a:ln cap="rnd"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9"/>
                <c:pt idx="0">
                  <c:v>13.3305</c:v>
                </c:pt>
                <c:pt idx="1">
                  <c:v>13.3166</c:v>
                </c:pt>
                <c:pt idx="2">
                  <c:v>13.2731</c:v>
                </c:pt>
                <c:pt idx="3">
                  <c:v>13.2804</c:v>
                </c:pt>
                <c:pt idx="4">
                  <c:v>13.2421</c:v>
                </c:pt>
                <c:pt idx="5">
                  <c:v>13.2219</c:v>
                </c:pt>
                <c:pt idx="6">
                  <c:v>13.2012</c:v>
                </c:pt>
                <c:pt idx="7">
                  <c:v>13.1523</c:v>
                </c:pt>
                <c:pt idx="8">
                  <c:v>13.1133</c:v>
                </c:pt>
              </c:numCache>
            </c:numRef>
          </c:yVal>
          <c:smooth val="0"/>
        </c:ser>
        <c:axId val="31753320"/>
        <c:axId val="70494106"/>
      </c:scatterChart>
      <c:valAx>
        <c:axId val="31753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494106"/>
        <c:crossesAt val="0"/>
        <c:crossBetween val="midCat"/>
      </c:valAx>
      <c:valAx>
        <c:axId val="70494106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753320"/>
        <c:crossesAt val="0"/>
        <c:crossBetween val="midCat"/>
      </c:valAx>
      <c:spPr>
        <a:noFill/>
        <a:ln w="936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de-DE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004586"/>
            </a:solidFill>
            <a:ln cap="rnd"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9"/>
                <c:pt idx="0">
                  <c:v>20.6074</c:v>
                </c:pt>
                <c:pt idx="1">
                  <c:v>20.3151</c:v>
                </c:pt>
                <c:pt idx="2">
                  <c:v>20.3089</c:v>
                </c:pt>
                <c:pt idx="3">
                  <c:v>20.4035</c:v>
                </c:pt>
                <c:pt idx="4">
                  <c:v>20.4954</c:v>
                </c:pt>
                <c:pt idx="5">
                  <c:v>20.5378</c:v>
                </c:pt>
                <c:pt idx="6">
                  <c:v>20.5643</c:v>
                </c:pt>
                <c:pt idx="7">
                  <c:v>20.5703</c:v>
                </c:pt>
                <c:pt idx="8">
                  <c:v>20.5566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label 2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FF420E"/>
            </a:solidFill>
            <a:ln cap="rnd" w="28800">
              <a:solidFill>
                <a:srgbClr val="FF420E"/>
              </a:solidFill>
              <a:round/>
            </a:ln>
          </c:spPr>
          <c:marker>
            <c:symbol val="diamond"/>
            <c:size val="7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9"/>
                <c:pt idx="0">
                  <c:v>20.4728</c:v>
                </c:pt>
                <c:pt idx="1">
                  <c:v>20.4996</c:v>
                </c:pt>
                <c:pt idx="2">
                  <c:v>20.5329</c:v>
                </c:pt>
                <c:pt idx="3">
                  <c:v>20.5961</c:v>
                </c:pt>
                <c:pt idx="4">
                  <c:v>20.3458</c:v>
                </c:pt>
                <c:pt idx="5">
                  <c:v>20.3316</c:v>
                </c:pt>
                <c:pt idx="6">
                  <c:v>20.3618</c:v>
                </c:pt>
                <c:pt idx="7">
                  <c:v>20.4336</c:v>
                </c:pt>
                <c:pt idx="8">
                  <c:v>20.4421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label 4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FFD320"/>
            </a:solidFill>
            <a:ln cap="rnd" w="28800">
              <a:solidFill>
                <a:srgbClr val="FFD320"/>
              </a:solidFill>
              <a:round/>
            </a:ln>
          </c:spP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4</c:f>
              <c:numCache>
                <c:formatCode>General</c:formatCode>
                <c:ptCount val="9"/>
                <c:pt idx="0">
                  <c:v>20.5513</c:v>
                </c:pt>
                <c:pt idx="1">
                  <c:v>20.5285</c:v>
                </c:pt>
                <c:pt idx="2">
                  <c:v>20.5415</c:v>
                </c:pt>
                <c:pt idx="3">
                  <c:v>20.5345</c:v>
                </c:pt>
                <c:pt idx="4">
                  <c:v>20.5383</c:v>
                </c:pt>
                <c:pt idx="5">
                  <c:v>20.5221</c:v>
                </c:pt>
                <c:pt idx="6">
                  <c:v>20.5093</c:v>
                </c:pt>
                <c:pt idx="7">
                  <c:v>20.505</c:v>
                </c:pt>
                <c:pt idx="8">
                  <c:v>20.5355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label 6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579D1C"/>
            </a:solidFill>
            <a:ln cap="rnd" w="28800">
              <a:solidFill>
                <a:srgbClr val="579D1C"/>
              </a:solidFill>
              <a:round/>
            </a:ln>
          </c:spPr>
          <c:marker>
            <c:symbol val="x"/>
            <c:size val="7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6</c:f>
              <c:numCache>
                <c:formatCode>General</c:formatCode>
                <c:ptCount val="9"/>
                <c:pt idx="0">
                  <c:v>20.5345</c:v>
                </c:pt>
                <c:pt idx="1">
                  <c:v>20.5534</c:v>
                </c:pt>
                <c:pt idx="2">
                  <c:v>20.5395</c:v>
                </c:pt>
                <c:pt idx="3">
                  <c:v>20.5289</c:v>
                </c:pt>
                <c:pt idx="4">
                  <c:v>20.5324</c:v>
                </c:pt>
                <c:pt idx="5">
                  <c:v>20.5323</c:v>
                </c:pt>
                <c:pt idx="6">
                  <c:v>20.5265</c:v>
                </c:pt>
                <c:pt idx="7">
                  <c:v>20.5365</c:v>
                </c:pt>
                <c:pt idx="8">
                  <c:v>20.5259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label 8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7E0021"/>
            </a:solidFill>
            <a:ln cap="rnd" w="28800">
              <a:solidFill>
                <a:srgbClr val="7E0021"/>
              </a:solidFill>
              <a:round/>
            </a:ln>
          </c:spPr>
          <c:marker>
            <c:symbol val="square"/>
            <c:size val="7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8</c:f>
              <c:numCache>
                <c:formatCode>General</c:formatCode>
                <c:ptCount val="9"/>
                <c:pt idx="0">
                  <c:v>20.6947</c:v>
                </c:pt>
                <c:pt idx="1">
                  <c:v>20.6887</c:v>
                </c:pt>
                <c:pt idx="2">
                  <c:v>20.6913</c:v>
                </c:pt>
                <c:pt idx="3">
                  <c:v>20.695</c:v>
                </c:pt>
                <c:pt idx="4">
                  <c:v>20.7009</c:v>
                </c:pt>
                <c:pt idx="5">
                  <c:v>20.6907</c:v>
                </c:pt>
                <c:pt idx="6">
                  <c:v>20.6933</c:v>
                </c:pt>
                <c:pt idx="7">
                  <c:v>20.683</c:v>
                </c:pt>
                <c:pt idx="8">
                  <c:v>20.6757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label 10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83CAFF"/>
            </a:solidFill>
            <a:ln cap="rnd" w="28800">
              <a:solidFill>
                <a:srgbClr val="83CAFF"/>
              </a:solidFill>
              <a:round/>
            </a:ln>
          </c:spPr>
          <c:marker>
            <c:symbol val="circle"/>
            <c:size val="7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10</c:f>
              <c:numCache>
                <c:formatCode>General</c:formatCode>
                <c:ptCount val="9"/>
                <c:pt idx="0">
                  <c:v>20.5765</c:v>
                </c:pt>
                <c:pt idx="1">
                  <c:v>20.5709</c:v>
                </c:pt>
                <c:pt idx="2">
                  <c:v>20.5652</c:v>
                </c:pt>
                <c:pt idx="3">
                  <c:v>20.5578</c:v>
                </c:pt>
                <c:pt idx="4">
                  <c:v>20.5519</c:v>
                </c:pt>
                <c:pt idx="5">
                  <c:v>20.5558</c:v>
                </c:pt>
                <c:pt idx="6">
                  <c:v>20.5548</c:v>
                </c:pt>
                <c:pt idx="7">
                  <c:v>20.5499</c:v>
                </c:pt>
                <c:pt idx="8">
                  <c:v>20.566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label 12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314004"/>
            </a:solidFill>
            <a:ln cap="rnd" w="28800">
              <a:solidFill>
                <a:srgbClr val="314004"/>
              </a:solidFill>
              <a:round/>
            </a:ln>
          </c:spPr>
          <c:marker>
            <c:symbol val="plus"/>
            <c:size val="7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12</c:f>
              <c:numCache>
                <c:formatCode>General</c:formatCode>
                <c:ptCount val="9"/>
                <c:pt idx="0">
                  <c:v>0</c:v>
                </c:pt>
                <c:pt idx="1">
                  <c:v>953</c:v>
                </c:pt>
                <c:pt idx="2">
                  <c:v>72429</c:v>
                </c:pt>
                <c:pt idx="3">
                  <c:v>86689</c:v>
                </c:pt>
                <c:pt idx="4">
                  <c:v>4425</c:v>
                </c:pt>
                <c:pt idx="5">
                  <c:v>81779</c:v>
                </c:pt>
                <c:pt idx="6">
                  <c:v>67336</c:v>
                </c:pt>
                <c:pt idx="7">
                  <c:v>359</c:v>
                </c:pt>
                <c:pt idx="8">
                  <c:v>50979</c:v>
                </c:pt>
              </c:numCache>
            </c:numRef>
          </c:yVal>
          <c:smooth val="0"/>
        </c:ser>
        <c:axId val="72405178"/>
        <c:axId val="17472952"/>
      </c:scatterChart>
      <c:valAx>
        <c:axId val="724051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472952"/>
        <c:crossesAt val="0"/>
        <c:crossBetween val="midCat"/>
      </c:valAx>
      <c:valAx>
        <c:axId val="17472952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405178"/>
        <c:crossesAt val="0"/>
        <c:crossBetween val="midCat"/>
      </c:valAx>
      <c:spPr>
        <a:noFill/>
        <a:ln w="936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de-DE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>
        <c:manualLayout>
          <c:xMode val="edge"/>
          <c:yMode val="edge"/>
          <c:x val="0.0189386836677292"/>
          <c:y val="0.04004004004004"/>
          <c:w val="0.778298643665229"/>
          <c:h val="0.959848737626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004586"/>
            </a:solidFill>
            <a:ln cap="rnd"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9"/>
                <c:pt idx="0">
                  <c:v>6.11329</c:v>
                </c:pt>
                <c:pt idx="1">
                  <c:v>6.13414</c:v>
                </c:pt>
                <c:pt idx="2">
                  <c:v>6.18455</c:v>
                </c:pt>
                <c:pt idx="3">
                  <c:v>6.18466</c:v>
                </c:pt>
                <c:pt idx="4">
                  <c:v>6.21101</c:v>
                </c:pt>
                <c:pt idx="5">
                  <c:v>6.1445</c:v>
                </c:pt>
                <c:pt idx="6">
                  <c:v>6.11738</c:v>
                </c:pt>
                <c:pt idx="7">
                  <c:v>6.07317</c:v>
                </c:pt>
                <c:pt idx="8">
                  <c:v>6.03159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label 2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FF420E"/>
            </a:solidFill>
            <a:ln cap="rnd" w="28800">
              <a:solidFill>
                <a:srgbClr val="FF420E"/>
              </a:solidFill>
              <a:round/>
            </a:ln>
          </c:spPr>
          <c:marker>
            <c:symbol val="diamond"/>
            <c:size val="7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9"/>
                <c:pt idx="0">
                  <c:v>6.1499</c:v>
                </c:pt>
                <c:pt idx="1">
                  <c:v>6.0888</c:v>
                </c:pt>
                <c:pt idx="2">
                  <c:v>6.0597</c:v>
                </c:pt>
                <c:pt idx="3">
                  <c:v>6.07742</c:v>
                </c:pt>
                <c:pt idx="4">
                  <c:v>6.09793</c:v>
                </c:pt>
                <c:pt idx="5">
                  <c:v>6.02138</c:v>
                </c:pt>
                <c:pt idx="6">
                  <c:v>5.96813</c:v>
                </c:pt>
                <c:pt idx="7">
                  <c:v>5.99589</c:v>
                </c:pt>
                <c:pt idx="8">
                  <c:v>6.0573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label 4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FFD320"/>
            </a:solidFill>
            <a:ln cap="rnd" w="28800">
              <a:solidFill>
                <a:srgbClr val="FFD320"/>
              </a:solidFill>
              <a:round/>
            </a:ln>
          </c:spP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4</c:f>
              <c:numCache>
                <c:formatCode>General</c:formatCode>
                <c:ptCount val="9"/>
                <c:pt idx="0">
                  <c:v>6.18157</c:v>
                </c:pt>
                <c:pt idx="1">
                  <c:v>6.18196</c:v>
                </c:pt>
                <c:pt idx="2">
                  <c:v>6.18158</c:v>
                </c:pt>
                <c:pt idx="3">
                  <c:v>6.1625</c:v>
                </c:pt>
                <c:pt idx="4">
                  <c:v>6.13927</c:v>
                </c:pt>
                <c:pt idx="5">
                  <c:v>6.13687</c:v>
                </c:pt>
                <c:pt idx="6">
                  <c:v>6.1049</c:v>
                </c:pt>
                <c:pt idx="7">
                  <c:v>6.08922</c:v>
                </c:pt>
                <c:pt idx="8">
                  <c:v>6.09969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label 6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579D1C"/>
            </a:solidFill>
            <a:ln cap="rnd" w="28800">
              <a:solidFill>
                <a:srgbClr val="579D1C"/>
              </a:solidFill>
              <a:round/>
            </a:ln>
          </c:spPr>
          <c:marker>
            <c:symbol val="x"/>
            <c:size val="7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6</c:f>
              <c:numCache>
                <c:formatCode>General</c:formatCode>
                <c:ptCount val="9"/>
                <c:pt idx="0">
                  <c:v>6.119</c:v>
                </c:pt>
                <c:pt idx="1">
                  <c:v>6.09237</c:v>
                </c:pt>
                <c:pt idx="2">
                  <c:v>6.0955</c:v>
                </c:pt>
                <c:pt idx="3">
                  <c:v>6.08235</c:v>
                </c:pt>
                <c:pt idx="4">
                  <c:v>6.04839</c:v>
                </c:pt>
                <c:pt idx="5">
                  <c:v>6.03394</c:v>
                </c:pt>
                <c:pt idx="6">
                  <c:v>6.03753</c:v>
                </c:pt>
                <c:pt idx="7">
                  <c:v>6.02337</c:v>
                </c:pt>
                <c:pt idx="8">
                  <c:v>6.01649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label 8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7E0021"/>
            </a:solidFill>
            <a:ln cap="rnd" w="28800">
              <a:solidFill>
                <a:srgbClr val="7E0021"/>
              </a:solidFill>
              <a:round/>
            </a:ln>
          </c:spPr>
          <c:marker>
            <c:symbol val="square"/>
            <c:size val="7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8</c:f>
              <c:numCache>
                <c:formatCode>General</c:formatCode>
                <c:ptCount val="9"/>
                <c:pt idx="0">
                  <c:v>6.27454</c:v>
                </c:pt>
                <c:pt idx="1">
                  <c:v>6.28378</c:v>
                </c:pt>
                <c:pt idx="2">
                  <c:v>6.26247</c:v>
                </c:pt>
                <c:pt idx="3">
                  <c:v>6.23654</c:v>
                </c:pt>
                <c:pt idx="4">
                  <c:v>6.23637</c:v>
                </c:pt>
                <c:pt idx="5">
                  <c:v>6.21791</c:v>
                </c:pt>
                <c:pt idx="6">
                  <c:v>6.19559</c:v>
                </c:pt>
                <c:pt idx="7">
                  <c:v>6.19332</c:v>
                </c:pt>
                <c:pt idx="8">
                  <c:v>6.17366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label 10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83CAFF"/>
            </a:solidFill>
            <a:ln cap="rnd" w="28800">
              <a:solidFill>
                <a:srgbClr val="83CAFF"/>
              </a:solidFill>
              <a:round/>
            </a:ln>
          </c:spPr>
          <c:marker>
            <c:symbol val="circle"/>
            <c:size val="7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10</c:f>
              <c:numCache>
                <c:formatCode>General</c:formatCode>
                <c:ptCount val="9"/>
                <c:pt idx="0">
                  <c:v>6.16502</c:v>
                </c:pt>
                <c:pt idx="1">
                  <c:v>6.11937</c:v>
                </c:pt>
                <c:pt idx="2">
                  <c:v>6.12575</c:v>
                </c:pt>
                <c:pt idx="3">
                  <c:v>6.08759</c:v>
                </c:pt>
                <c:pt idx="4">
                  <c:v>6.07295</c:v>
                </c:pt>
                <c:pt idx="5">
                  <c:v>6.06991</c:v>
                </c:pt>
                <c:pt idx="6">
                  <c:v>6.06101</c:v>
                </c:pt>
                <c:pt idx="7">
                  <c:v>6.03834</c:v>
                </c:pt>
                <c:pt idx="8">
                  <c:v>6.03581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label 12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314004"/>
            </a:solidFill>
            <a:ln cap="rnd" w="28800">
              <a:solidFill>
                <a:srgbClr val="314004"/>
              </a:solidFill>
              <a:round/>
            </a:ln>
          </c:spPr>
          <c:marker>
            <c:symbol val="plus"/>
            <c:size val="7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12</c:f>
              <c:numCache>
                <c:formatCode>General</c:formatCode>
                <c:ptCount val="9"/>
                <c:pt idx="0">
                  <c:v>6.21133</c:v>
                </c:pt>
                <c:pt idx="1">
                  <c:v>6.20045</c:v>
                </c:pt>
                <c:pt idx="2">
                  <c:v>6.18689</c:v>
                </c:pt>
                <c:pt idx="3">
                  <c:v>6.17821</c:v>
                </c:pt>
                <c:pt idx="4">
                  <c:v>6.15278</c:v>
                </c:pt>
                <c:pt idx="5">
                  <c:v>6.15107</c:v>
                </c:pt>
                <c:pt idx="6">
                  <c:v>6.11342</c:v>
                </c:pt>
                <c:pt idx="7">
                  <c:v>6.11036</c:v>
                </c:pt>
                <c:pt idx="8">
                  <c:v>6.09547</c:v>
                </c:pt>
              </c:numCache>
            </c:numRef>
          </c:yVal>
          <c:smooth val="0"/>
        </c:ser>
        <c:axId val="89165542"/>
        <c:axId val="98539188"/>
      </c:scatterChart>
      <c:valAx>
        <c:axId val="891655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539188"/>
        <c:crossesAt val="0"/>
        <c:crossBetween val="midCat"/>
      </c:valAx>
      <c:valAx>
        <c:axId val="98539188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165542"/>
        <c:crossesAt val="0"/>
        <c:crossBetween val="midCat"/>
      </c:valAx>
      <c:spPr>
        <a:noFill/>
        <a:ln w="936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de-DE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Tabelle7!$F$1</c:f>
              <c:strCache>
                <c:ptCount val="1"/>
                <c:pt idx="0">
                  <c:v>prior%</c:v>
                </c:pt>
              </c:strCache>
            </c:strRef>
          </c:tx>
          <c:spPr>
            <a:solidFill>
              <a:srgbClr val="004586"/>
            </a:solidFill>
            <a:ln cap="rnd"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Tabelle7!$A$2:$A$16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Tabelle7!$F$2:$F$16</c:f>
              <c:numCache>
                <c:formatCode>0.00\ %</c:formatCode>
                <c:ptCount val="15"/>
                <c:pt idx="0">
                  <c:v>-0.392156862745098</c:v>
                </c:pt>
                <c:pt idx="1">
                  <c:v>-0.36036036036036</c:v>
                </c:pt>
                <c:pt idx="2">
                  <c:v>-0.28436018957346</c:v>
                </c:pt>
                <c:pt idx="3">
                  <c:v>-0.227920227920228</c:v>
                </c:pt>
                <c:pt idx="4">
                  <c:v>-0.188323917137476</c:v>
                </c:pt>
                <c:pt idx="5">
                  <c:v>-0.159786950732357</c:v>
                </c:pt>
                <c:pt idx="6">
                  <c:v>-0.138476755687438</c:v>
                </c:pt>
                <c:pt idx="7">
                  <c:v>-0.122044241037376</c:v>
                </c:pt>
                <c:pt idx="8">
                  <c:v>-0.109024833434282</c:v>
                </c:pt>
                <c:pt idx="9">
                  <c:v>-0.0984736582964058</c:v>
                </c:pt>
                <c:pt idx="10">
                  <c:v>-0.0897592819257446</c:v>
                </c:pt>
                <c:pt idx="11">
                  <c:v>-0.082445894881484</c:v>
                </c:pt>
                <c:pt idx="12">
                  <c:v>-0.0762239812371739</c:v>
                </c:pt>
                <c:pt idx="13">
                  <c:v>-0.0708681346494559</c:v>
                </c:pt>
                <c:pt idx="14">
                  <c:v>-0.0662105495475612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Tabelle7!$G$1</c:f>
              <c:strCache>
                <c:ptCount val="1"/>
                <c:pt idx="0">
                  <c:v>prior2%</c:v>
                </c:pt>
              </c:strCache>
            </c:strRef>
          </c:tx>
          <c:spPr>
            <a:solidFill>
              <a:srgbClr val="FF420E"/>
            </a:solidFill>
            <a:ln cap="rnd" w="28800">
              <a:solidFill>
                <a:srgbClr val="FF420E"/>
              </a:solidFill>
              <a:round/>
            </a:ln>
          </c:spPr>
          <c:marker>
            <c:symbol val="diamond"/>
            <c:size val="7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lang="de-DE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Tabelle7!$A$2:$A$16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Tabelle7!$G$2:$G$16</c:f>
              <c:numCache>
                <c:formatCode>0.00\ %</c:formatCode>
                <c:ptCount val="15"/>
                <c:pt idx="0">
                  <c:v>-0.196078431372549</c:v>
                </c:pt>
                <c:pt idx="1">
                  <c:v>-0.18018018018018</c:v>
                </c:pt>
                <c:pt idx="2">
                  <c:v>-0.14218009478673</c:v>
                </c:pt>
                <c:pt idx="3">
                  <c:v>-0.113960113960114</c:v>
                </c:pt>
                <c:pt idx="4">
                  <c:v>-0.0941619585687382</c:v>
                </c:pt>
                <c:pt idx="5">
                  <c:v>-0.0798934753661784</c:v>
                </c:pt>
                <c:pt idx="6">
                  <c:v>-0.0692383778437191</c:v>
                </c:pt>
                <c:pt idx="7">
                  <c:v>-0.0610221205186881</c:v>
                </c:pt>
                <c:pt idx="8">
                  <c:v>-0.0545124167171411</c:v>
                </c:pt>
                <c:pt idx="9">
                  <c:v>-0.0492368291482028</c:v>
                </c:pt>
                <c:pt idx="10">
                  <c:v>-0.0448796409628723</c:v>
                </c:pt>
                <c:pt idx="11">
                  <c:v>-0.0412229474407421</c:v>
                </c:pt>
                <c:pt idx="12">
                  <c:v>-0.0381119906185869</c:v>
                </c:pt>
                <c:pt idx="13">
                  <c:v>-0.0354340673247279</c:v>
                </c:pt>
                <c:pt idx="14">
                  <c:v>-0.0331052747737807</c:v>
                </c:pt>
              </c:numCache>
            </c:numRef>
          </c:yVal>
          <c:smooth val="0"/>
        </c:ser>
        <c:axId val="93045252"/>
        <c:axId val="94924546"/>
      </c:scatterChart>
      <c:valAx>
        <c:axId val="930452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924546"/>
        <c:crossesAt val="0"/>
        <c:crossBetween val="midCat"/>
      </c:valAx>
      <c:valAx>
        <c:axId val="94924546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0.00\ %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lang="de-DE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045252"/>
        <c:crossesAt val="0"/>
        <c:crossBetween val="midCat"/>
      </c:valAx>
      <c:spPr>
        <a:noFill/>
        <a:ln w="936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de-DE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38160</xdr:colOff>
      <xdr:row>0</xdr:row>
      <xdr:rowOff>119160</xdr:rowOff>
    </xdr:from>
    <xdr:to>
      <xdr:col>24</xdr:col>
      <xdr:colOff>180360</xdr:colOff>
      <xdr:row>17</xdr:row>
      <xdr:rowOff>142560</xdr:rowOff>
    </xdr:to>
    <xdr:graphicFrame>
      <xdr:nvGraphicFramePr>
        <xdr:cNvPr id="1" name="Diagramm 2"/>
        <xdr:cNvGraphicFramePr/>
      </xdr:nvGraphicFramePr>
      <xdr:xfrm>
        <a:off x="13860720" y="119160"/>
        <a:ext cx="5343120" cy="326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57240</xdr:colOff>
      <xdr:row>18</xdr:row>
      <xdr:rowOff>4680</xdr:rowOff>
    </xdr:from>
    <xdr:to>
      <xdr:col>24</xdr:col>
      <xdr:colOff>190080</xdr:colOff>
      <xdr:row>34</xdr:row>
      <xdr:rowOff>94680</xdr:rowOff>
    </xdr:to>
    <xdr:graphicFrame>
      <xdr:nvGraphicFramePr>
        <xdr:cNvPr id="2" name="Diagramm 3"/>
        <xdr:cNvGraphicFramePr/>
      </xdr:nvGraphicFramePr>
      <xdr:xfrm>
        <a:off x="13879800" y="3433680"/>
        <a:ext cx="5333760" cy="313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40</xdr:col>
      <xdr:colOff>41400</xdr:colOff>
      <xdr:row>0</xdr:row>
      <xdr:rowOff>76680</xdr:rowOff>
    </xdr:from>
    <xdr:to>
      <xdr:col>47</xdr:col>
      <xdr:colOff>16920</xdr:colOff>
      <xdr:row>16</xdr:row>
      <xdr:rowOff>52560</xdr:rowOff>
    </xdr:to>
    <xdr:graphicFrame>
      <xdr:nvGraphicFramePr>
        <xdr:cNvPr id="3" name="Diagramm 2"/>
        <xdr:cNvGraphicFramePr/>
      </xdr:nvGraphicFramePr>
      <xdr:xfrm>
        <a:off x="31743000" y="76680"/>
        <a:ext cx="5176440" cy="30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40</xdr:col>
      <xdr:colOff>48600</xdr:colOff>
      <xdr:row>16</xdr:row>
      <xdr:rowOff>112680</xdr:rowOff>
    </xdr:from>
    <xdr:to>
      <xdr:col>47</xdr:col>
      <xdr:colOff>76680</xdr:colOff>
      <xdr:row>33</xdr:row>
      <xdr:rowOff>40680</xdr:rowOff>
    </xdr:to>
    <xdr:graphicFrame>
      <xdr:nvGraphicFramePr>
        <xdr:cNvPr id="4" name="Diagramm 3"/>
        <xdr:cNvGraphicFramePr/>
      </xdr:nvGraphicFramePr>
      <xdr:xfrm>
        <a:off x="31750200" y="3160800"/>
        <a:ext cx="5229000" cy="31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47520</xdr:colOff>
      <xdr:row>0</xdr:row>
      <xdr:rowOff>61920</xdr:rowOff>
    </xdr:from>
    <xdr:to>
      <xdr:col>20</xdr:col>
      <xdr:colOff>189720</xdr:colOff>
      <xdr:row>18</xdr:row>
      <xdr:rowOff>169200</xdr:rowOff>
    </xdr:to>
    <xdr:graphicFrame>
      <xdr:nvGraphicFramePr>
        <xdr:cNvPr id="5" name="Diagramm 2"/>
        <xdr:cNvGraphicFramePr/>
      </xdr:nvGraphicFramePr>
      <xdr:xfrm>
        <a:off x="10672200" y="61920"/>
        <a:ext cx="5343120" cy="326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57240</xdr:colOff>
      <xdr:row>20</xdr:row>
      <xdr:rowOff>100080</xdr:rowOff>
    </xdr:from>
    <xdr:to>
      <xdr:col>20</xdr:col>
      <xdr:colOff>190080</xdr:colOff>
      <xdr:row>38</xdr:row>
      <xdr:rowOff>83520</xdr:rowOff>
    </xdr:to>
    <xdr:graphicFrame>
      <xdr:nvGraphicFramePr>
        <xdr:cNvPr id="6" name="Diagramm 3"/>
        <xdr:cNvGraphicFramePr/>
      </xdr:nvGraphicFramePr>
      <xdr:xfrm>
        <a:off x="10681920" y="3605400"/>
        <a:ext cx="5333760" cy="313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52560</xdr:colOff>
      <xdr:row>0</xdr:row>
      <xdr:rowOff>81000</xdr:rowOff>
    </xdr:from>
    <xdr:to>
      <xdr:col>20</xdr:col>
      <xdr:colOff>28080</xdr:colOff>
      <xdr:row>17</xdr:row>
      <xdr:rowOff>125640</xdr:rowOff>
    </xdr:to>
    <xdr:graphicFrame>
      <xdr:nvGraphicFramePr>
        <xdr:cNvPr id="7" name="Diagramm 2"/>
        <xdr:cNvGraphicFramePr/>
      </xdr:nvGraphicFramePr>
      <xdr:xfrm>
        <a:off x="10677240" y="81000"/>
        <a:ext cx="5176440" cy="30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76320</xdr:colOff>
      <xdr:row>19</xdr:row>
      <xdr:rowOff>85680</xdr:rowOff>
    </xdr:from>
    <xdr:to>
      <xdr:col>20</xdr:col>
      <xdr:colOff>104400</xdr:colOff>
      <xdr:row>37</xdr:row>
      <xdr:rowOff>97560</xdr:rowOff>
    </xdr:to>
    <xdr:graphicFrame>
      <xdr:nvGraphicFramePr>
        <xdr:cNvPr id="8" name="Diagramm 3"/>
        <xdr:cNvGraphicFramePr/>
      </xdr:nvGraphicFramePr>
      <xdr:xfrm>
        <a:off x="10701000" y="3415680"/>
        <a:ext cx="5229000" cy="31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43200</xdr:colOff>
      <xdr:row>1</xdr:row>
      <xdr:rowOff>64800</xdr:rowOff>
    </xdr:from>
    <xdr:to>
      <xdr:col>12</xdr:col>
      <xdr:colOff>539640</xdr:colOff>
      <xdr:row>19</xdr:row>
      <xdr:rowOff>146880</xdr:rowOff>
    </xdr:to>
    <xdr:graphicFrame>
      <xdr:nvGraphicFramePr>
        <xdr:cNvPr id="9" name="Diagramm 1"/>
        <xdr:cNvGraphicFramePr/>
      </xdr:nvGraphicFramePr>
      <xdr:xfrm>
        <a:off x="4323240" y="240120"/>
        <a:ext cx="575928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360</xdr:rowOff>
    </xdr:from>
    <xdr:to>
      <xdr:col>14</xdr:col>
      <xdr:colOff>704520</xdr:colOff>
      <xdr:row>22</xdr:row>
      <xdr:rowOff>123480</xdr:rowOff>
    </xdr:to>
    <xdr:graphicFrame>
      <xdr:nvGraphicFramePr>
        <xdr:cNvPr id="10" name="Diagramm 1"/>
        <xdr:cNvGraphicFramePr/>
      </xdr:nvGraphicFramePr>
      <xdr:xfrm>
        <a:off x="1711800" y="360"/>
        <a:ext cx="9795240" cy="397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360</xdr:rowOff>
    </xdr:from>
    <xdr:to>
      <xdr:col>14</xdr:col>
      <xdr:colOff>704520</xdr:colOff>
      <xdr:row>22</xdr:row>
      <xdr:rowOff>123480</xdr:rowOff>
    </xdr:to>
    <xdr:graphicFrame>
      <xdr:nvGraphicFramePr>
        <xdr:cNvPr id="11" name="Diagramm 1"/>
        <xdr:cNvGraphicFramePr/>
      </xdr:nvGraphicFramePr>
      <xdr:xfrm>
        <a:off x="1711800" y="360"/>
        <a:ext cx="9795240" cy="397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502560</xdr:colOff>
      <xdr:row>111</xdr:row>
      <xdr:rowOff>52200</xdr:rowOff>
    </xdr:from>
    <xdr:to>
      <xdr:col>9</xdr:col>
      <xdr:colOff>269640</xdr:colOff>
      <xdr:row>129</xdr:row>
      <xdr:rowOff>133920</xdr:rowOff>
    </xdr:to>
    <xdr:graphicFrame>
      <xdr:nvGraphicFramePr>
        <xdr:cNvPr id="12" name="Diagramm 1"/>
        <xdr:cNvGraphicFramePr/>
      </xdr:nvGraphicFramePr>
      <xdr:xfrm>
        <a:off x="2214360" y="19506240"/>
        <a:ext cx="575928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40680</xdr:colOff>
      <xdr:row>1</xdr:row>
      <xdr:rowOff>156240</xdr:rowOff>
    </xdr:from>
    <xdr:to>
      <xdr:col>26</xdr:col>
      <xdr:colOff>424080</xdr:colOff>
      <xdr:row>20</xdr:row>
      <xdr:rowOff>69840</xdr:rowOff>
    </xdr:to>
    <xdr:graphicFrame>
      <xdr:nvGraphicFramePr>
        <xdr:cNvPr id="13" name="Diagramm 2"/>
        <xdr:cNvGraphicFramePr/>
      </xdr:nvGraphicFramePr>
      <xdr:xfrm>
        <a:off x="16304400" y="331560"/>
        <a:ext cx="5759280" cy="32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364320</xdr:colOff>
      <xdr:row>60</xdr:row>
      <xdr:rowOff>720</xdr:rowOff>
    </xdr:from>
    <xdr:to>
      <xdr:col>27</xdr:col>
      <xdr:colOff>4680</xdr:colOff>
      <xdr:row>78</xdr:row>
      <xdr:rowOff>82440</xdr:rowOff>
    </xdr:to>
    <xdr:graphicFrame>
      <xdr:nvGraphicFramePr>
        <xdr:cNvPr id="14" name="Diagramm 3"/>
        <xdr:cNvGraphicFramePr/>
      </xdr:nvGraphicFramePr>
      <xdr:xfrm>
        <a:off x="16628040" y="10516320"/>
        <a:ext cx="575928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590040</xdr:colOff>
      <xdr:row>0</xdr:row>
      <xdr:rowOff>36000</xdr:rowOff>
    </xdr:from>
    <xdr:to>
      <xdr:col>14</xdr:col>
      <xdr:colOff>230400</xdr:colOff>
      <xdr:row>18</xdr:row>
      <xdr:rowOff>120600</xdr:rowOff>
    </xdr:to>
    <xdr:graphicFrame>
      <xdr:nvGraphicFramePr>
        <xdr:cNvPr id="15" name="Diagramm 1"/>
        <xdr:cNvGraphicFramePr/>
      </xdr:nvGraphicFramePr>
      <xdr:xfrm>
        <a:off x="5725800" y="360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__Anonymous_Sheet_DB__3" displayName="__Anonymous_Sheet_DB__3" ref="A1:M52" headerRowCount="0" totalsRowCount="0" totalsRowShown="0">
  <tableColumns count="13">
    <tableColumn id="1" name="Spalte1"/>
    <tableColumn id="2" name="Spalte2"/>
    <tableColumn id="3" name="Spalte3"/>
    <tableColumn id="4" name="Spalte4"/>
    <tableColumn id="5" name="Spalte5"/>
    <tableColumn id="6" name="Spalte6"/>
    <tableColumn id="7" name="Spalte7"/>
    <tableColumn id="8" name="Spalte8"/>
    <tableColumn id="9" name="Spalte9"/>
    <tableColumn id="10" name="Spalte10"/>
    <tableColumn id="11" name="Spalte11"/>
    <tableColumn id="12" name="Spalte12"/>
    <tableColumn id="13" name="Spalte13"/>
  </tableColumns>
</table>
</file>

<file path=xl/tables/table2.xml><?xml version="1.0" encoding="utf-8"?>
<table xmlns="http://schemas.openxmlformats.org/spreadsheetml/2006/main" id="2" name="test1" displayName="test1" ref="S2:T262" headerRowCount="1" totalsRowCount="0" totalsRowShown="0">
  <tableColumns count="2">
    <tableColumn id="1" name="26"/>
    <tableColumn id="2" name="2861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F2" activeCellId="0" sqref="F2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0" min="1" style="0" width="12.15"/>
    <col collapsed="false" customWidth="true" hidden="false" outlineLevel="0" max="11" min="11" style="0" width="11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J1" s="0" t="str">
        <f aca="false">C1</f>
        <v>master_old</v>
      </c>
      <c r="K1" s="0" t="str">
        <f aca="false">C1</f>
        <v>master_old</v>
      </c>
      <c r="L1" s="0" t="str">
        <f aca="false">D1</f>
        <v>n%(w+6)</v>
      </c>
      <c r="M1" s="0" t="str">
        <f aca="false">D1</f>
        <v>n%(w+6)</v>
      </c>
      <c r="N1" s="0" t="str">
        <f aca="false">E1</f>
        <v>n%(w+4)</v>
      </c>
      <c r="O1" s="0" t="str">
        <f aca="false">E1</f>
        <v>n%(w+4)</v>
      </c>
      <c r="P1" s="0" t="str">
        <f aca="false">F1</f>
        <v>n%(w+5)</v>
      </c>
      <c r="Q1" s="0" t="str">
        <f aca="false">F1</f>
        <v>n%(w+5)</v>
      </c>
    </row>
    <row r="2" customFormat="false" ht="15" hidden="false" customHeight="false" outlineLevel="0" collapsed="false">
      <c r="A2" s="0" t="n">
        <v>0</v>
      </c>
      <c r="B2" s="0" t="n">
        <v>25.8026</v>
      </c>
      <c r="C2" s="0" t="n">
        <v>26.2663</v>
      </c>
      <c r="D2" s="0" t="n">
        <v>26.0259</v>
      </c>
      <c r="E2" s="0" t="n">
        <v>25.782</v>
      </c>
      <c r="F2" s="0" t="n">
        <v>25.8397</v>
      </c>
      <c r="I2" s="1" t="n">
        <f aca="false">LN(B2/(100-B2))-LN($B2/(100-$B2))</f>
        <v>0</v>
      </c>
      <c r="J2" s="1" t="n">
        <f aca="false">LN(C2)-LN($B2)</f>
        <v>0.0178114866635362</v>
      </c>
      <c r="K2" s="1" t="n">
        <f aca="false">C2-$B2</f>
        <v>0.463699999999999</v>
      </c>
      <c r="L2" s="1" t="n">
        <f aca="false">LN(D2)-LN($B2)</f>
        <v>0.00861693399175767</v>
      </c>
      <c r="M2" s="1" t="n">
        <f aca="false">D2-$B2</f>
        <v>0.223299999999998</v>
      </c>
      <c r="N2" s="1" t="n">
        <f aca="false">LN(E2)-LN($B2)</f>
        <v>-0.000798688022978666</v>
      </c>
      <c r="O2" s="1" t="n">
        <f aca="false">E2-$B2</f>
        <v>-0.0206000000000017</v>
      </c>
      <c r="P2" s="1" t="n">
        <f aca="false">LN(F2)-LN($B2)</f>
        <v>0.00143680689599313</v>
      </c>
      <c r="Q2" s="1" t="n">
        <f aca="false">F2-$B2</f>
        <v>0.0370999999999988</v>
      </c>
    </row>
    <row r="3" customFormat="false" ht="15" hidden="false" customHeight="false" outlineLevel="0" collapsed="false">
      <c r="A3" s="0" t="n">
        <f aca="false">1+A2</f>
        <v>1</v>
      </c>
      <c r="B3" s="0" t="n">
        <v>27.8843</v>
      </c>
      <c r="C3" s="0" t="n">
        <v>27.9971</v>
      </c>
      <c r="D3" s="0" t="n">
        <v>28.2711</v>
      </c>
      <c r="E3" s="0" t="n">
        <v>27.6413</v>
      </c>
      <c r="F3" s="0" t="n">
        <v>28.0917</v>
      </c>
      <c r="I3" s="1" t="n">
        <f aca="false">B3-$B3</f>
        <v>0</v>
      </c>
      <c r="J3" s="1" t="n">
        <f aca="false">LN(C3)-LN($B3)</f>
        <v>0.00403712695833924</v>
      </c>
      <c r="K3" s="1" t="n">
        <f aca="false">C3-$B3</f>
        <v>0.1128</v>
      </c>
      <c r="L3" s="1" t="n">
        <f aca="false">LN(D3)-LN($B3)</f>
        <v>0.0137762750299388</v>
      </c>
      <c r="M3" s="1" t="n">
        <f aca="false">D3-$B3</f>
        <v>0.386800000000001</v>
      </c>
      <c r="N3" s="1" t="n">
        <f aca="false">LN(E3)-LN($B3)</f>
        <v>-0.0087527753458696</v>
      </c>
      <c r="O3" s="1" t="n">
        <f aca="false">E3-$B3</f>
        <v>-0.242999999999999</v>
      </c>
      <c r="P3" s="1" t="n">
        <f aca="false">LN(F3)-LN($B3)</f>
        <v>0.00741035261842393</v>
      </c>
      <c r="Q3" s="1" t="n">
        <f aca="false">F3-$B3</f>
        <v>0.2074</v>
      </c>
    </row>
    <row r="4" customFormat="false" ht="15" hidden="false" customHeight="false" outlineLevel="0" collapsed="false">
      <c r="A4" s="0" t="n">
        <f aca="false">1+A3</f>
        <v>2</v>
      </c>
      <c r="B4" s="0" t="n">
        <v>8.38808</v>
      </c>
      <c r="C4" s="0" t="n">
        <v>8.45358</v>
      </c>
      <c r="D4" s="0" t="n">
        <v>8.38264</v>
      </c>
      <c r="E4" s="0" t="n">
        <v>8.39193</v>
      </c>
      <c r="F4" s="0" t="n">
        <v>8.36457</v>
      </c>
      <c r="I4" s="1" t="n">
        <f aca="false">LN(B4)-LN($B4)</f>
        <v>0</v>
      </c>
      <c r="J4" s="1" t="n">
        <f aca="false">LN(C4)-LN($B4)</f>
        <v>0.00777836985729596</v>
      </c>
      <c r="K4" s="1" t="n">
        <f aca="false">C4-$B4</f>
        <v>0.0655000000000001</v>
      </c>
      <c r="L4" s="1" t="n">
        <f aca="false">LN(D4)-LN($B4)</f>
        <v>-0.00064874974846596</v>
      </c>
      <c r="M4" s="1" t="n">
        <f aca="false">D4-$B4</f>
        <v>-0.00544000000000011</v>
      </c>
      <c r="N4" s="1" t="n">
        <f aca="false">LN(E4)-LN($B4)</f>
        <v>0.000458879353177899</v>
      </c>
      <c r="O4" s="1" t="n">
        <f aca="false">E4-$B4</f>
        <v>0.00384999999999991</v>
      </c>
      <c r="P4" s="1" t="n">
        <f aca="false">LN(F4)-LN($B4)</f>
        <v>-0.00280672197338339</v>
      </c>
      <c r="Q4" s="1" t="n">
        <f aca="false">F4-$B4</f>
        <v>-0.0235099999999999</v>
      </c>
    </row>
    <row r="5" customFormat="false" ht="15" hidden="false" customHeight="false" outlineLevel="0" collapsed="false">
      <c r="A5" s="0" t="n">
        <f aca="false">1+A4</f>
        <v>3</v>
      </c>
      <c r="B5" s="0" t="n">
        <v>7.68033</v>
      </c>
      <c r="C5" s="0" t="n">
        <v>7.78302</v>
      </c>
      <c r="D5" s="0" t="n">
        <v>7.64597</v>
      </c>
      <c r="E5" s="0" t="n">
        <v>7.75436</v>
      </c>
      <c r="F5" s="0" t="n">
        <v>7.66565</v>
      </c>
      <c r="J5" s="1" t="n">
        <f aca="false">LN(C5)-LN($B5)</f>
        <v>0.0132819226906982</v>
      </c>
      <c r="K5" s="1" t="n">
        <f aca="false">C5-$B5</f>
        <v>0.10269</v>
      </c>
      <c r="L5" s="1" t="n">
        <f aca="false">LN(D5)-LN($B5)</f>
        <v>-0.00448380334012022</v>
      </c>
      <c r="M5" s="1" t="n">
        <f aca="false">D5-$B5</f>
        <v>-0.0343599999999995</v>
      </c>
      <c r="N5" s="1" t="n">
        <f aca="false">LN(E5)-LN($B5)</f>
        <v>0.00959275083480193</v>
      </c>
      <c r="O5" s="1" t="n">
        <f aca="false">E5-$B5</f>
        <v>0.0740300000000005</v>
      </c>
      <c r="P5" s="1" t="n">
        <f aca="false">LN(F5)-LN($B5)</f>
        <v>-0.0019132052143731</v>
      </c>
      <c r="Q5" s="1" t="n">
        <f aca="false">F5-$B5</f>
        <v>-0.0146799999999994</v>
      </c>
    </row>
    <row r="6" customFormat="false" ht="15" hidden="false" customHeight="false" outlineLevel="0" collapsed="false">
      <c r="A6" s="0" t="n">
        <f aca="false">1+A5</f>
        <v>4</v>
      </c>
      <c r="B6" s="0" t="n">
        <v>6.29467</v>
      </c>
      <c r="C6" s="0" t="n">
        <v>6.28993</v>
      </c>
      <c r="D6" s="0" t="n">
        <v>6.2465</v>
      </c>
      <c r="E6" s="0" t="n">
        <v>6.40944</v>
      </c>
      <c r="F6" s="0" t="n">
        <v>6.28354</v>
      </c>
      <c r="J6" s="1" t="n">
        <f aca="false">LN(C6)-LN($B6)</f>
        <v>-0.000753301690025632</v>
      </c>
      <c r="K6" s="1" t="n">
        <f aca="false">C6-$B6</f>
        <v>-0.00473999999999997</v>
      </c>
      <c r="L6" s="1" t="n">
        <f aca="false">LN(D6)-LN($B6)</f>
        <v>-0.00768193667486794</v>
      </c>
      <c r="M6" s="1" t="n">
        <f aca="false">D6-$B6</f>
        <v>-0.0481699999999998</v>
      </c>
      <c r="N6" s="1" t="n">
        <f aca="false">LN(E6)-LN($B6)</f>
        <v>0.0180686600570117</v>
      </c>
      <c r="O6" s="1" t="n">
        <f aca="false">E6-$B6</f>
        <v>0.11477</v>
      </c>
      <c r="P6" s="1" t="n">
        <f aca="false">LN(F6)-LN($B6)</f>
        <v>-0.0017697276329256</v>
      </c>
      <c r="Q6" s="1" t="n">
        <f aca="false">F6-$B6</f>
        <v>-0.0111299999999996</v>
      </c>
    </row>
    <row r="7" customFormat="false" ht="15" hidden="false" customHeight="false" outlineLevel="0" collapsed="false">
      <c r="A7" s="0" t="n">
        <f aca="false">1+A6</f>
        <v>5</v>
      </c>
      <c r="B7" s="0" t="n">
        <v>4.84316</v>
      </c>
      <c r="C7" s="0" t="n">
        <v>4.71501</v>
      </c>
      <c r="D7" s="0" t="n">
        <v>4.79142</v>
      </c>
      <c r="E7" s="0" t="n">
        <v>4.97971</v>
      </c>
      <c r="F7" s="0" t="n">
        <v>4.83452</v>
      </c>
      <c r="J7" s="1" t="n">
        <f aca="false">LN(C7)-LN($B7)</f>
        <v>-0.026816363274953</v>
      </c>
      <c r="K7" s="1" t="n">
        <f aca="false">C7-$B7</f>
        <v>-0.12815</v>
      </c>
      <c r="L7" s="1" t="n">
        <f aca="false">LN(D7)-LN($B7)</f>
        <v>-0.0107405818195152</v>
      </c>
      <c r="M7" s="1" t="n">
        <f aca="false">D7-$B7</f>
        <v>-0.0517400000000006</v>
      </c>
      <c r="N7" s="1" t="n">
        <f aca="false">LN(E7)-LN($B7)</f>
        <v>0.0278042561603327</v>
      </c>
      <c r="O7" s="1" t="n">
        <f aca="false">E7-$B7</f>
        <v>0.13655</v>
      </c>
      <c r="P7" s="1" t="n">
        <f aca="false">LN(F7)-LN($B7)</f>
        <v>-0.00178555238352618</v>
      </c>
      <c r="Q7" s="1" t="n">
        <f aca="false">F7-$B7</f>
        <v>-0.00863999999999976</v>
      </c>
    </row>
    <row r="8" customFormat="false" ht="15" hidden="false" customHeight="false" outlineLevel="0" collapsed="false">
      <c r="A8" s="0" t="n">
        <f aca="false">1+A7</f>
        <v>6</v>
      </c>
      <c r="B8" s="0" t="n">
        <v>3.77075</v>
      </c>
      <c r="C8" s="0" t="n">
        <v>3.60666</v>
      </c>
      <c r="D8" s="0" t="n">
        <v>3.72211</v>
      </c>
      <c r="E8" s="0" t="n">
        <v>3.8997</v>
      </c>
      <c r="F8" s="0" t="n">
        <v>3.75927</v>
      </c>
      <c r="J8" s="1" t="n">
        <f aca="false">LN(C8)-LN($B8)</f>
        <v>-0.0444917843465427</v>
      </c>
      <c r="K8" s="1" t="n">
        <f aca="false">C8-$B8</f>
        <v>-0.16409</v>
      </c>
      <c r="L8" s="1" t="n">
        <f aca="false">LN(D8)-LN($B8)</f>
        <v>-0.0129832088796527</v>
      </c>
      <c r="M8" s="1" t="n">
        <f aca="false">D8-$B8</f>
        <v>-0.0486400000000002</v>
      </c>
      <c r="N8" s="1" t="n">
        <f aca="false">LN(E8)-LN($B8)</f>
        <v>0.0336257064337213</v>
      </c>
      <c r="O8" s="1" t="n">
        <f aca="false">E8-$B8</f>
        <v>0.12895</v>
      </c>
      <c r="P8" s="1" t="n">
        <f aca="false">LN(F8)-LN($B8)</f>
        <v>-0.00304913104993632</v>
      </c>
      <c r="Q8" s="1" t="n">
        <f aca="false">F8-$B8</f>
        <v>-0.0114800000000002</v>
      </c>
    </row>
    <row r="9" customFormat="false" ht="15" hidden="false" customHeight="false" outlineLevel="0" collapsed="false">
      <c r="A9" s="0" t="n">
        <f aca="false">1+A8</f>
        <v>7</v>
      </c>
      <c r="B9" s="0" t="n">
        <v>3.14605</v>
      </c>
      <c r="C9" s="0" t="n">
        <v>2.99493</v>
      </c>
      <c r="D9" s="0" t="n">
        <v>3.09296</v>
      </c>
      <c r="E9" s="0" t="n">
        <v>3.21885</v>
      </c>
      <c r="F9" s="0" t="n">
        <v>3.12511</v>
      </c>
      <c r="J9" s="1" t="n">
        <f aca="false">LN(C9)-LN($B9)</f>
        <v>-0.0492268387003705</v>
      </c>
      <c r="K9" s="1" t="n">
        <f aca="false">C9-$B9</f>
        <v>-0.15112</v>
      </c>
      <c r="L9" s="1" t="n">
        <f aca="false">LN(D9)-LN($B9)</f>
        <v>-0.0170191365162571</v>
      </c>
      <c r="M9" s="1" t="n">
        <f aca="false">D9-$B9</f>
        <v>-0.0530899999999996</v>
      </c>
      <c r="N9" s="1" t="n">
        <f aca="false">LN(E9)-LN($B9)</f>
        <v>0.0228764552009735</v>
      </c>
      <c r="O9" s="1" t="n">
        <f aca="false">E9-$B9</f>
        <v>0.0728000000000004</v>
      </c>
      <c r="P9" s="1" t="n">
        <f aca="false">LN(F9)-LN($B9)</f>
        <v>-0.00667821513864242</v>
      </c>
      <c r="Q9" s="1" t="n">
        <f aca="false">F9-$B9</f>
        <v>-0.02094</v>
      </c>
    </row>
    <row r="10" customFormat="false" ht="15" hidden="false" customHeight="false" outlineLevel="0" collapsed="false">
      <c r="A10" s="0" t="n">
        <f aca="false">1+A9</f>
        <v>8</v>
      </c>
      <c r="B10" s="0" t="n">
        <v>2.63541</v>
      </c>
      <c r="C10" s="0" t="n">
        <v>2.53763</v>
      </c>
      <c r="D10" s="0" t="n">
        <v>2.57318</v>
      </c>
      <c r="E10" s="0" t="n">
        <v>2.64889</v>
      </c>
      <c r="F10" s="0" t="n">
        <v>2.60278</v>
      </c>
      <c r="J10" s="1" t="n">
        <f aca="false">LN(C10)-LN($B10)</f>
        <v>-0.0378081930295061</v>
      </c>
      <c r="K10" s="1" t="n">
        <f aca="false">C10-$B10</f>
        <v>-0.0977799999999998</v>
      </c>
      <c r="L10" s="1" t="n">
        <f aca="false">LN(D10)-LN($B10)</f>
        <v>-0.0238962795111546</v>
      </c>
      <c r="M10" s="1" t="n">
        <f aca="false">D10-$B10</f>
        <v>-0.06223</v>
      </c>
      <c r="N10" s="1" t="n">
        <f aca="false">LN(E10)-LN($B10)</f>
        <v>0.00510191671171334</v>
      </c>
      <c r="O10" s="1" t="n">
        <f aca="false">E10-$B10</f>
        <v>0.0134800000000004</v>
      </c>
      <c r="P10" s="1" t="n">
        <f aca="false">LN(F10)-LN($B10)</f>
        <v>-0.0124586630356263</v>
      </c>
      <c r="Q10" s="1" t="n">
        <f aca="false">F10-$B10</f>
        <v>-0.0326299999999997</v>
      </c>
    </row>
    <row r="11" customFormat="false" ht="15" hidden="false" customHeight="false" outlineLevel="0" collapsed="false">
      <c r="A11" s="0" t="n">
        <f aca="false">1+A10</f>
        <v>9</v>
      </c>
      <c r="B11" s="0" t="n">
        <v>2.17763</v>
      </c>
      <c r="C11" s="0" t="n">
        <v>2.12875</v>
      </c>
      <c r="D11" s="0" t="n">
        <v>2.09931</v>
      </c>
      <c r="E11" s="0" t="n">
        <v>2.13553</v>
      </c>
      <c r="F11" s="0" t="n">
        <v>2.12664</v>
      </c>
      <c r="J11" s="1" t="n">
        <f aca="false">LN(C11)-LN($B11)</f>
        <v>-0.022702176460234</v>
      </c>
      <c r="K11" s="1" t="n">
        <f aca="false">C11-$B11</f>
        <v>-0.04888</v>
      </c>
      <c r="L11" s="1" t="n">
        <f aca="false">LN(D11)-LN($B11)</f>
        <v>-0.036628410145608</v>
      </c>
      <c r="M11" s="1" t="n">
        <f aca="false">D11-$B11</f>
        <v>-0.0783200000000002</v>
      </c>
      <c r="N11" s="1" t="n">
        <f aca="false">LN(E11)-LN($B11)</f>
        <v>-0.0195222700220222</v>
      </c>
      <c r="O11" s="1" t="n">
        <f aca="false">E11-$B11</f>
        <v>-0.0421</v>
      </c>
      <c r="P11" s="1" t="n">
        <f aca="false">LN(F11)-LN($B11)</f>
        <v>-0.0236938600299754</v>
      </c>
      <c r="Q11" s="1" t="n">
        <f aca="false">F11-$B11</f>
        <v>-0.0509900000000001</v>
      </c>
    </row>
    <row r="12" customFormat="false" ht="15" hidden="false" customHeight="false" outlineLevel="0" collapsed="false">
      <c r="A12" s="0" t="n">
        <f aca="false">1+A11</f>
        <v>10</v>
      </c>
      <c r="B12" s="0" t="n">
        <v>1.75032</v>
      </c>
      <c r="C12" s="0" t="n">
        <v>1.73073</v>
      </c>
      <c r="D12" s="0" t="n">
        <v>1.6782</v>
      </c>
      <c r="E12" s="0" t="n">
        <v>1.68691</v>
      </c>
      <c r="F12" s="0" t="n">
        <v>1.70418</v>
      </c>
      <c r="J12" s="1" t="n">
        <f aca="false">LN(C12)-LN($B12)</f>
        <v>-0.0112553435366719</v>
      </c>
      <c r="K12" s="1" t="n">
        <f aca="false">C12-$B12</f>
        <v>-0.01959</v>
      </c>
      <c r="L12" s="1" t="n">
        <f aca="false">LN(D12)-LN($B12)</f>
        <v>-0.0420768379081183</v>
      </c>
      <c r="M12" s="1" t="n">
        <f aca="false">D12-$B12</f>
        <v>-0.0721200000000002</v>
      </c>
      <c r="N12" s="1" t="n">
        <f aca="false">LN(E12)-LN($B12)</f>
        <v>-0.0369001753617212</v>
      </c>
      <c r="O12" s="1" t="n">
        <f aca="false">E12-$B12</f>
        <v>-0.0634100000000002</v>
      </c>
      <c r="P12" s="1" t="n">
        <f aca="false">LN(F12)-LN($B12)</f>
        <v>-0.0267145717308667</v>
      </c>
      <c r="Q12" s="1" t="n">
        <f aca="false">F12-$B12</f>
        <v>-0.0461400000000001</v>
      </c>
    </row>
    <row r="13" customFormat="false" ht="15" hidden="false" customHeight="false" outlineLevel="0" collapsed="false">
      <c r="A13" s="0" t="n">
        <f aca="false">1+A12</f>
        <v>11</v>
      </c>
      <c r="B13" s="0" t="n">
        <v>1.39229</v>
      </c>
      <c r="C13" s="0" t="n">
        <v>1.39171</v>
      </c>
      <c r="D13" s="0" t="n">
        <v>1.32994</v>
      </c>
      <c r="E13" s="0" t="n">
        <v>1.3303</v>
      </c>
      <c r="F13" s="0" t="n">
        <v>1.3535</v>
      </c>
      <c r="J13" s="1" t="n">
        <f aca="false">LN(C13)-LN($B13)</f>
        <v>-0.000416666672694854</v>
      </c>
      <c r="K13" s="1" t="n">
        <f aca="false">C13-$B13</f>
        <v>-0.000580000000000025</v>
      </c>
      <c r="L13" s="1" t="n">
        <f aca="false">LN(D13)-LN($B13)</f>
        <v>-0.0458160451130907</v>
      </c>
      <c r="M13" s="1" t="n">
        <f aca="false">D13-$B13</f>
        <v>-0.0623500000000001</v>
      </c>
      <c r="N13" s="1" t="n">
        <f aca="false">LN(E13)-LN($B13)</f>
        <v>-0.045545392839463</v>
      </c>
      <c r="O13" s="1" t="n">
        <f aca="false">E13-$B13</f>
        <v>-0.06199</v>
      </c>
      <c r="P13" s="1" t="n">
        <f aca="false">LN(F13)-LN($B13)</f>
        <v>-0.0282560434749672</v>
      </c>
      <c r="Q13" s="1" t="n">
        <f aca="false">F13-$B13</f>
        <v>-0.0387900000000001</v>
      </c>
    </row>
    <row r="14" customFormat="false" ht="15" hidden="false" customHeight="false" outlineLevel="0" collapsed="false">
      <c r="A14" s="0" t="n">
        <f aca="false">1+A13</f>
        <v>12</v>
      </c>
      <c r="B14" s="0" t="n">
        <v>1.09297</v>
      </c>
      <c r="C14" s="0" t="n">
        <v>1.08697</v>
      </c>
      <c r="D14" s="0" t="n">
        <v>1.04777</v>
      </c>
      <c r="E14" s="0" t="n">
        <v>1.04424</v>
      </c>
      <c r="F14" s="0" t="n">
        <v>1.0684</v>
      </c>
      <c r="J14" s="1" t="n">
        <f aca="false">LN(C14)-LN($B14)</f>
        <v>-0.00550475256304554</v>
      </c>
      <c r="K14" s="1" t="n">
        <f aca="false">C14-$B14</f>
        <v>-0.00600000000000001</v>
      </c>
      <c r="L14" s="1" t="n">
        <f aca="false">LN(D14)-LN($B14)</f>
        <v>-0.0422346652613313</v>
      </c>
      <c r="M14" s="1" t="n">
        <f aca="false">D14-$B14</f>
        <v>-0.0451999999999999</v>
      </c>
      <c r="N14" s="1" t="n">
        <f aca="false">LN(E14)-LN($B14)</f>
        <v>-0.0456094133268199</v>
      </c>
      <c r="O14" s="1" t="n">
        <f aca="false">E14-$B14</f>
        <v>-0.0487299999999999</v>
      </c>
      <c r="P14" s="1" t="n">
        <f aca="false">LN(F14)-LN($B14)</f>
        <v>-0.0227365591715485</v>
      </c>
      <c r="Q14" s="1" t="n">
        <f aca="false">F14-$B14</f>
        <v>-0.02457</v>
      </c>
    </row>
    <row r="15" customFormat="false" ht="15" hidden="false" customHeight="false" outlineLevel="0" collapsed="false">
      <c r="A15" s="0" t="n">
        <f aca="false">1+A14</f>
        <v>13</v>
      </c>
      <c r="B15" s="0" t="n">
        <v>0.837173</v>
      </c>
      <c r="C15" s="0" t="n">
        <v>0.820004</v>
      </c>
      <c r="D15" s="0" t="n">
        <v>0.809317</v>
      </c>
      <c r="E15" s="0" t="n">
        <v>0.803802</v>
      </c>
      <c r="F15" s="0" t="n">
        <v>0.826994</v>
      </c>
      <c r="J15" s="1" t="n">
        <f aca="false">LN(C15)-LN($B15)</f>
        <v>-0.0207215213982717</v>
      </c>
      <c r="K15" s="1" t="n">
        <f aca="false">C15-$B15</f>
        <v>-0.017169</v>
      </c>
      <c r="L15" s="1" t="n">
        <f aca="false">LN(D15)-LN($B15)</f>
        <v>-0.0338400576049281</v>
      </c>
      <c r="M15" s="1" t="n">
        <f aca="false">D15-$B15</f>
        <v>-0.027856</v>
      </c>
      <c r="N15" s="1" t="n">
        <f aca="false">LN(E15)-LN($B15)</f>
        <v>-0.0406777695003085</v>
      </c>
      <c r="O15" s="1" t="n">
        <f aca="false">E15-$B15</f>
        <v>-0.0333709999999999</v>
      </c>
      <c r="P15" s="1" t="n">
        <f aca="false">LN(F15)-LN($B15)</f>
        <v>-0.0122332998351375</v>
      </c>
      <c r="Q15" s="1" t="n">
        <f aca="false">F15-$B15</f>
        <v>-0.0101789999999999</v>
      </c>
    </row>
    <row r="16" customFormat="false" ht="15" hidden="false" customHeight="false" outlineLevel="0" collapsed="false">
      <c r="A16" s="0" t="n">
        <f aca="false">1+A15</f>
        <v>14</v>
      </c>
      <c r="B16" s="0" t="n">
        <v>0.632933</v>
      </c>
      <c r="C16" s="0" t="n">
        <v>0.608468</v>
      </c>
      <c r="D16" s="0" t="n">
        <v>0.6177</v>
      </c>
      <c r="E16" s="0" t="n">
        <v>0.611386</v>
      </c>
      <c r="F16" s="0" t="n">
        <v>0.632526</v>
      </c>
      <c r="J16" s="1" t="n">
        <f aca="false">LN(C16)-LN($B16)</f>
        <v>-0.0394202486477018</v>
      </c>
      <c r="K16" s="1" t="n">
        <f aca="false">C16-$B16</f>
        <v>-0.024465</v>
      </c>
      <c r="L16" s="1" t="n">
        <f aca="false">LN(D16)-LN($B16)</f>
        <v>-0.0243616686586515</v>
      </c>
      <c r="M16" s="1" t="n">
        <f aca="false">D16-$B16</f>
        <v>-0.0152329999999999</v>
      </c>
      <c r="N16" s="1" t="n">
        <f aca="false">LN(E16)-LN($B16)</f>
        <v>-0.0346360604322143</v>
      </c>
      <c r="O16" s="1" t="n">
        <f aca="false">E16-$B16</f>
        <v>-0.021547</v>
      </c>
      <c r="P16" s="1" t="n">
        <f aca="false">LN(F16)-LN($B16)</f>
        <v>-0.000643244884320104</v>
      </c>
      <c r="Q16" s="1" t="n">
        <f aca="false">F16-$B16</f>
        <v>-0.000406999999999935</v>
      </c>
    </row>
    <row r="17" customFormat="false" ht="15" hidden="false" customHeight="false" outlineLevel="0" collapsed="false">
      <c r="A17" s="0" t="n">
        <f aca="false">1+A16</f>
        <v>15</v>
      </c>
      <c r="B17" s="0" t="n">
        <v>0.471794</v>
      </c>
      <c r="C17" s="0" t="n">
        <v>0.444986</v>
      </c>
      <c r="D17" s="0" t="n">
        <v>0.462876</v>
      </c>
      <c r="E17" s="0" t="n">
        <v>0.458151</v>
      </c>
      <c r="F17" s="0" t="n">
        <v>0.475818</v>
      </c>
      <c r="J17" s="1" t="n">
        <f aca="false">LN(C17)-LN($B17)</f>
        <v>-0.0584996286424508</v>
      </c>
      <c r="K17" s="1" t="n">
        <f aca="false">C17-$B17</f>
        <v>-0.026808</v>
      </c>
      <c r="L17" s="1" t="n">
        <f aca="false">LN(D17)-LN($B17)</f>
        <v>-0.0190832499977153</v>
      </c>
      <c r="M17" s="1" t="n">
        <f aca="false">D17-$B17</f>
        <v>-0.00891799999999998</v>
      </c>
      <c r="N17" s="1" t="n">
        <f aca="false">LN(E17)-LN($B17)</f>
        <v>-0.029343625539538</v>
      </c>
      <c r="O17" s="1" t="n">
        <f aca="false">E17-$B17</f>
        <v>-0.013643</v>
      </c>
      <c r="P17" s="1" t="n">
        <f aca="false">LN(F17)-LN($B17)</f>
        <v>0.00849297853508346</v>
      </c>
      <c r="Q17" s="1" t="n">
        <f aca="false">F17-$B17</f>
        <v>0.00402400000000003</v>
      </c>
    </row>
    <row r="18" customFormat="false" ht="15" hidden="false" customHeight="false" outlineLevel="0" collapsed="false">
      <c r="A18" s="0" t="n">
        <f aca="false">1+A17</f>
        <v>16</v>
      </c>
      <c r="B18" s="0" t="n">
        <v>0.348</v>
      </c>
      <c r="C18" s="0" t="n">
        <v>0.324951</v>
      </c>
      <c r="D18" s="0" t="n">
        <v>0.342433</v>
      </c>
      <c r="E18" s="0" t="n">
        <v>0.339749</v>
      </c>
      <c r="F18" s="0" t="n">
        <v>0.353286</v>
      </c>
      <c r="J18" s="1" t="n">
        <f aca="false">LN(C18)-LN($B18)</f>
        <v>-0.068528078042329</v>
      </c>
      <c r="K18" s="1" t="n">
        <f aca="false">C18-$B18</f>
        <v>-0.023049</v>
      </c>
      <c r="L18" s="1" t="n">
        <f aca="false">LN(D18)-LN($B18)</f>
        <v>-0.0161264616463241</v>
      </c>
      <c r="M18" s="1" t="n">
        <f aca="false">D18-$B18</f>
        <v>-0.00556699999999999</v>
      </c>
      <c r="N18" s="1" t="n">
        <f aca="false">LN(E18)-LN($B18)</f>
        <v>-0.0239953700882445</v>
      </c>
      <c r="O18" s="1" t="n">
        <f aca="false">E18-$B18</f>
        <v>-0.00825099999999995</v>
      </c>
      <c r="P18" s="1" t="n">
        <f aca="false">LN(F18)-LN($B18)</f>
        <v>0.0150754474256323</v>
      </c>
      <c r="Q18" s="1" t="n">
        <f aca="false">F18-$B18</f>
        <v>0.00528600000000001</v>
      </c>
    </row>
    <row r="19" customFormat="false" ht="15" hidden="false" customHeight="false" outlineLevel="0" collapsed="false">
      <c r="A19" s="0" t="n">
        <f aca="false">1+A18</f>
        <v>17</v>
      </c>
      <c r="B19" s="0" t="n">
        <v>0.254459</v>
      </c>
      <c r="C19" s="0" t="n">
        <v>0.236503</v>
      </c>
      <c r="D19" s="0" t="n">
        <v>0.250929</v>
      </c>
      <c r="E19" s="0" t="n">
        <v>0.249861</v>
      </c>
      <c r="F19" s="0" t="n">
        <v>0.259533</v>
      </c>
      <c r="J19" s="1" t="n">
        <f aca="false">LN(C19)-LN($B19)</f>
        <v>-0.0731788299751202</v>
      </c>
      <c r="K19" s="1" t="n">
        <f aca="false">C19-$B19</f>
        <v>-0.017956</v>
      </c>
      <c r="L19" s="1" t="n">
        <f aca="false">LN(D19)-LN($B19)</f>
        <v>-0.0139696922250434</v>
      </c>
      <c r="M19" s="1" t="n">
        <f aca="false">D19-$B19</f>
        <v>-0.00352999999999998</v>
      </c>
      <c r="N19" s="1" t="n">
        <f aca="false">LN(E19)-LN($B19)</f>
        <v>-0.018234959579154</v>
      </c>
      <c r="O19" s="1" t="n">
        <f aca="false">E19-$B19</f>
        <v>-0.00459799999999999</v>
      </c>
      <c r="P19" s="1" t="n">
        <f aca="false">LN(F19)-LN($B19)</f>
        <v>0.0197441393348003</v>
      </c>
      <c r="Q19" s="1" t="n">
        <f aca="false">F19-$B19</f>
        <v>0.00507400000000002</v>
      </c>
    </row>
    <row r="20" customFormat="false" ht="15" hidden="false" customHeight="false" outlineLevel="0" collapsed="false">
      <c r="A20" s="0" t="n">
        <f aca="false">1+A19</f>
        <v>18</v>
      </c>
      <c r="B20" s="0" t="n">
        <v>0.183004</v>
      </c>
      <c r="C20" s="0" t="n">
        <v>0.170747</v>
      </c>
      <c r="D20" s="0" t="n">
        <v>0.180806</v>
      </c>
      <c r="E20" s="0" t="n">
        <v>0.181075</v>
      </c>
      <c r="F20" s="0" t="n">
        <v>0.187781</v>
      </c>
      <c r="J20" s="1" t="n">
        <f aca="false">LN(C20)-LN($B20)</f>
        <v>-0.0693250817756039</v>
      </c>
      <c r="K20" s="1" t="n">
        <f aca="false">C20-$B20</f>
        <v>-0.012257</v>
      </c>
      <c r="L20" s="1" t="n">
        <f aca="false">LN(D20)-LN($B20)</f>
        <v>-0.012083377277891</v>
      </c>
      <c r="M20" s="1" t="n">
        <f aca="false">D20-$B20</f>
        <v>-0.00219800000000001</v>
      </c>
      <c r="N20" s="1" t="n">
        <f aca="false">LN(E20)-LN($B20)</f>
        <v>-0.0105967004446474</v>
      </c>
      <c r="O20" s="1" t="n">
        <f aca="false">E20-$B20</f>
        <v>-0.00192899999999999</v>
      </c>
      <c r="P20" s="1" t="n">
        <f aca="false">LN(F20)-LN($B20)</f>
        <v>0.0257683796709491</v>
      </c>
      <c r="Q20" s="1" t="n">
        <f aca="false">F20-$B20</f>
        <v>0.004777</v>
      </c>
    </row>
    <row r="21" customFormat="false" ht="15" hidden="false" customHeight="false" outlineLevel="0" collapsed="false">
      <c r="A21" s="0" t="n">
        <f aca="false">1+A20</f>
        <v>19</v>
      </c>
      <c r="B21" s="0" t="n">
        <v>0.129821</v>
      </c>
      <c r="C21" s="0" t="n">
        <v>0.122323</v>
      </c>
      <c r="D21" s="0" t="n">
        <v>0.128794</v>
      </c>
      <c r="E21" s="0" t="n">
        <v>0.129723</v>
      </c>
      <c r="F21" s="0" t="n">
        <v>0.134256</v>
      </c>
      <c r="J21" s="1" t="n">
        <f aca="false">LN(C21)-LN($B21)</f>
        <v>-0.0594914913950704</v>
      </c>
      <c r="K21" s="1" t="n">
        <f aca="false">C21-$B21</f>
        <v>-0.00749799999999999</v>
      </c>
      <c r="L21" s="1" t="n">
        <f aca="false">LN(D21)-LN($B21)</f>
        <v>-0.0079423498147424</v>
      </c>
      <c r="M21" s="1" t="n">
        <f aca="false">D21-$B21</f>
        <v>-0.001027</v>
      </c>
      <c r="N21" s="1" t="n">
        <f aca="false">LN(E21)-LN($B21)</f>
        <v>-0.000755170642798841</v>
      </c>
      <c r="O21" s="1" t="n">
        <f aca="false">E21-$B21</f>
        <v>-9.7999999999987E-005</v>
      </c>
      <c r="P21" s="1" t="n">
        <f aca="false">LN(F21)-LN($B21)</f>
        <v>0.0335918465787111</v>
      </c>
      <c r="Q21" s="1" t="n">
        <f aca="false">F21-$B21</f>
        <v>0.00443499999999999</v>
      </c>
    </row>
    <row r="22" customFormat="false" ht="15" hidden="false" customHeight="false" outlineLevel="0" collapsed="false">
      <c r="A22" s="0" t="n">
        <f aca="false">1+A21</f>
        <v>20</v>
      </c>
      <c r="B22" s="0" t="n">
        <v>0.0909841</v>
      </c>
      <c r="C22" s="0" t="n">
        <v>0.0871234</v>
      </c>
      <c r="D22" s="0" t="n">
        <v>0.0910779</v>
      </c>
      <c r="E22" s="0" t="n">
        <v>0.0920991</v>
      </c>
      <c r="F22" s="0" t="n">
        <v>0.0951015</v>
      </c>
      <c r="J22" s="1" t="n">
        <f aca="false">LN(C22)-LN($B22)</f>
        <v>-0.043359261482764</v>
      </c>
      <c r="K22" s="1" t="n">
        <f aca="false">C22-$B22</f>
        <v>-0.00386069999999999</v>
      </c>
      <c r="L22" s="1" t="n">
        <f aca="false">LN(D22)-LN($B22)</f>
        <v>0.00103041830035311</v>
      </c>
      <c r="M22" s="1" t="n">
        <f aca="false">D22-$B22</f>
        <v>9.3800000000005E-005</v>
      </c>
      <c r="N22" s="1" t="n">
        <f aca="false">LN(E22)-LN($B22)</f>
        <v>0.0121804052506587</v>
      </c>
      <c r="O22" s="1" t="n">
        <f aca="false">E22-$B22</f>
        <v>0.001115</v>
      </c>
      <c r="P22" s="1" t="n">
        <f aca="false">LN(F22)-LN($B22)</f>
        <v>0.0442599763217313</v>
      </c>
      <c r="Q22" s="1" t="n">
        <f aca="false">F22-$B22</f>
        <v>0.00411740000000001</v>
      </c>
    </row>
    <row r="23" customFormat="false" ht="15" hidden="false" customHeight="false" outlineLevel="0" collapsed="false">
      <c r="A23" s="0" t="n">
        <f aca="false">1+A22</f>
        <v>21</v>
      </c>
      <c r="B23" s="0" t="n">
        <v>0.063216</v>
      </c>
      <c r="C23" s="0" t="n">
        <v>0.0617216</v>
      </c>
      <c r="D23" s="0" t="n">
        <v>0.0641303</v>
      </c>
      <c r="E23" s="0" t="n">
        <v>0.0649616</v>
      </c>
      <c r="F23" s="0" t="n">
        <v>0.0669841</v>
      </c>
      <c r="J23" s="1" t="n">
        <f aca="false">LN(C23)-LN($B23)</f>
        <v>-0.0239234829844839</v>
      </c>
      <c r="K23" s="1" t="n">
        <f aca="false">C23-$B23</f>
        <v>-0.00149439999999999</v>
      </c>
      <c r="L23" s="1" t="n">
        <f aca="false">LN(D23)-LN($B23)</f>
        <v>0.0143595174786118</v>
      </c>
      <c r="M23" s="1" t="n">
        <f aca="false">D23-$B23</f>
        <v>0.000914300000000007</v>
      </c>
      <c r="N23" s="1" t="n">
        <f aca="false">LN(E23)-LN($B23)</f>
        <v>0.027238892422933</v>
      </c>
      <c r="O23" s="1" t="n">
        <f aca="false">E23-$B23</f>
        <v>0.0017456</v>
      </c>
      <c r="P23" s="1" t="n">
        <f aca="false">LN(F23)-LN($B23)</f>
        <v>0.0578978441258071</v>
      </c>
      <c r="Q23" s="1" t="n">
        <f aca="false">F23-$B23</f>
        <v>0.00376810000000001</v>
      </c>
    </row>
    <row r="24" customFormat="false" ht="15" hidden="false" customHeight="false" outlineLevel="0" collapsed="false">
      <c r="A24" s="0" t="n">
        <f aca="false">1+A23</f>
        <v>22</v>
      </c>
      <c r="B24" s="0" t="n">
        <v>0.0434022</v>
      </c>
      <c r="C24" s="0" t="n">
        <v>0.0433984</v>
      </c>
      <c r="D24" s="0" t="n">
        <v>0.0448466</v>
      </c>
      <c r="E24" s="0" t="n">
        <v>0.045533</v>
      </c>
      <c r="F24" s="0" t="n">
        <v>0.046708</v>
      </c>
      <c r="J24" s="1" t="n">
        <f aca="false">LN(C24)-LN($B24)</f>
        <v>-8.75569985101521E-005</v>
      </c>
      <c r="K24" s="1" t="n">
        <f aca="false">C24-$B24</f>
        <v>-3.80000000000519E-006</v>
      </c>
      <c r="L24" s="1" t="n">
        <f aca="false">LN(D24)-LN($B24)</f>
        <v>0.0327376463156521</v>
      </c>
      <c r="M24" s="1" t="n">
        <f aca="false">D24-$B24</f>
        <v>0.0014444</v>
      </c>
      <c r="N24" s="1" t="n">
        <f aca="false">LN(E24)-LN($B24)</f>
        <v>0.047927206731726</v>
      </c>
      <c r="O24" s="1" t="n">
        <f aca="false">E24-$B24</f>
        <v>0.0021308</v>
      </c>
      <c r="P24" s="1" t="n">
        <f aca="false">LN(F24)-LN($B24)</f>
        <v>0.0734053251476272</v>
      </c>
      <c r="Q24" s="1" t="n">
        <f aca="false">F24-$B24</f>
        <v>0.0033058</v>
      </c>
    </row>
    <row r="25" customFormat="false" ht="15" hidden="false" customHeight="false" outlineLevel="0" collapsed="false">
      <c r="A25" s="0" t="n">
        <f aca="false">1+A24</f>
        <v>23</v>
      </c>
      <c r="B25" s="0" t="n">
        <v>0.029377</v>
      </c>
      <c r="C25" s="0" t="n">
        <v>0.0303281</v>
      </c>
      <c r="D25" s="0" t="n">
        <v>0.0312322</v>
      </c>
      <c r="E25" s="0" t="n">
        <v>0.031706</v>
      </c>
      <c r="F25" s="0" t="n">
        <v>0.032369</v>
      </c>
      <c r="J25" s="1" t="n">
        <f aca="false">LN(C25)-LN($B25)</f>
        <v>0.0318626202386163</v>
      </c>
      <c r="K25" s="1" t="n">
        <f aca="false">C25-$B25</f>
        <v>0.0009511</v>
      </c>
      <c r="L25" s="1" t="n">
        <f aca="false">LN(D25)-LN($B25)</f>
        <v>0.0612375586456828</v>
      </c>
      <c r="M25" s="1" t="n">
        <f aca="false">D25-$B25</f>
        <v>0.0018552</v>
      </c>
      <c r="N25" s="1" t="n">
        <f aca="false">LN(E25)-LN($B25)</f>
        <v>0.0762938821680157</v>
      </c>
      <c r="O25" s="1" t="n">
        <f aca="false">E25-$B25</f>
        <v>0.002329</v>
      </c>
      <c r="P25" s="1" t="n">
        <f aca="false">LN(F25)-LN($B25)</f>
        <v>0.0969891194059631</v>
      </c>
      <c r="Q25" s="1" t="n">
        <f aca="false">F25-$B25</f>
        <v>0.002992</v>
      </c>
    </row>
    <row r="26" customFormat="false" ht="15" hidden="false" customHeight="false" outlineLevel="0" collapsed="false">
      <c r="A26" s="0" t="n">
        <f aca="false">1+A25</f>
        <v>24</v>
      </c>
      <c r="B26" s="0" t="n">
        <v>0.0197719</v>
      </c>
      <c r="C26" s="0" t="n">
        <v>0.0211236</v>
      </c>
      <c r="D26" s="0" t="n">
        <v>0.0217377</v>
      </c>
      <c r="E26" s="0" t="n">
        <v>0.0220716</v>
      </c>
      <c r="F26" s="0" t="n">
        <v>0.0223263</v>
      </c>
      <c r="J26" s="1" t="n">
        <f aca="false">LN(C26)-LN($B26)</f>
        <v>0.0661291610831603</v>
      </c>
      <c r="K26" s="1" t="n">
        <f aca="false">C26-$B26</f>
        <v>0.0013517</v>
      </c>
      <c r="L26" s="1" t="n">
        <f aca="false">LN(D26)-LN($B26)</f>
        <v>0.0947863425534972</v>
      </c>
      <c r="M26" s="1" t="n">
        <f aca="false">D26-$B26</f>
        <v>0.0019658</v>
      </c>
      <c r="N26" s="1" t="n">
        <f aca="false">LN(E26)-LN($B26)</f>
        <v>0.110029976467986</v>
      </c>
      <c r="O26" s="1" t="n">
        <f aca="false">E26-$B26</f>
        <v>0.0022997</v>
      </c>
      <c r="P26" s="1" t="n">
        <f aca="false">LN(F26)-LN($B26)</f>
        <v>0.121503617975683</v>
      </c>
      <c r="Q26" s="1" t="n">
        <f aca="false">F26-$B26</f>
        <v>0.0025544</v>
      </c>
    </row>
    <row r="27" customFormat="false" ht="15" hidden="false" customHeight="false" outlineLevel="0" collapsed="false">
      <c r="A27" s="0" t="n">
        <f aca="false">1+A26</f>
        <v>25</v>
      </c>
      <c r="B27" s="0" t="n">
        <v>0.0132366</v>
      </c>
      <c r="C27" s="0" t="n">
        <v>0.0146606</v>
      </c>
      <c r="D27" s="0" t="n">
        <v>0.0151236</v>
      </c>
      <c r="E27" s="0" t="n">
        <v>0.0152941</v>
      </c>
      <c r="F27" s="0" t="n">
        <v>0.0153092</v>
      </c>
      <c r="J27" s="1" t="n">
        <f aca="false">LN(C27)-LN($B27)</f>
        <v>0.102177903367762</v>
      </c>
      <c r="K27" s="1" t="n">
        <f aca="false">C27-$B27</f>
        <v>0.001424</v>
      </c>
      <c r="L27" s="1" t="n">
        <f aca="false">LN(D27)-LN($B27)</f>
        <v>0.133270717701675</v>
      </c>
      <c r="M27" s="1" t="n">
        <f aca="false">D27-$B27</f>
        <v>0.001887</v>
      </c>
      <c r="N27" s="1" t="n">
        <f aca="false">LN(E27)-LN($B27)</f>
        <v>0.144481413164857</v>
      </c>
      <c r="O27" s="1" t="n">
        <f aca="false">E27-$B27</f>
        <v>0.0020575</v>
      </c>
      <c r="P27" s="1" t="n">
        <f aca="false">LN(F27)-LN($B27)</f>
        <v>0.145468234927568</v>
      </c>
      <c r="Q27" s="1" t="n">
        <f aca="false">F27-$B27</f>
        <v>0.0020726</v>
      </c>
    </row>
    <row r="28" customFormat="false" ht="15" hidden="false" customHeight="false" outlineLevel="0" collapsed="false">
      <c r="A28" s="0" t="n">
        <f aca="false">1+A27</f>
        <v>26</v>
      </c>
      <c r="B28" s="0" t="n">
        <v>0.00874697</v>
      </c>
      <c r="C28" s="0" t="n">
        <v>0.0101137</v>
      </c>
      <c r="D28" s="0" t="n">
        <v>0.0104981</v>
      </c>
      <c r="E28" s="0" t="n">
        <v>0.0105221</v>
      </c>
      <c r="F28" s="0" t="n">
        <v>0.0104144</v>
      </c>
      <c r="J28" s="1" t="n">
        <f aca="false">LN(C28)-LN($B28)</f>
        <v>0.145183585678521</v>
      </c>
      <c r="K28" s="1" t="n">
        <f aca="false">C28-$B28</f>
        <v>0.00136673</v>
      </c>
      <c r="L28" s="1" t="n">
        <f aca="false">LN(D28)-LN($B28)</f>
        <v>0.182486933724174</v>
      </c>
      <c r="M28" s="1" t="n">
        <f aca="false">D28-$B28</f>
        <v>0.00175113</v>
      </c>
      <c r="N28" s="1" t="n">
        <f aca="false">LN(E28)-LN($B28)</f>
        <v>0.184770452475558</v>
      </c>
      <c r="O28" s="1" t="n">
        <f aca="false">E28-$B28</f>
        <v>0.00177513</v>
      </c>
      <c r="P28" s="1" t="n">
        <f aca="false">LN(F28)-LN($B28)</f>
        <v>0.174482109151492</v>
      </c>
      <c r="Q28" s="1" t="n">
        <f aca="false">F28-$B28</f>
        <v>0.00166743</v>
      </c>
    </row>
    <row r="29" customFormat="false" ht="15" hidden="false" customHeight="false" outlineLevel="0" collapsed="false">
      <c r="A29" s="0" t="n">
        <f aca="false">1+A28</f>
        <v>27</v>
      </c>
      <c r="B29" s="0" t="n">
        <v>0.00572124</v>
      </c>
      <c r="C29" s="0" t="n">
        <v>0.00696465</v>
      </c>
      <c r="D29" s="0" t="n">
        <v>0.00726279</v>
      </c>
      <c r="E29" s="0" t="n">
        <v>0.00717665</v>
      </c>
      <c r="F29" s="0" t="n">
        <v>0.00706582</v>
      </c>
      <c r="J29" s="1" t="n">
        <f aca="false">LN(C29)-LN($B29)</f>
        <v>0.196661789598448</v>
      </c>
      <c r="K29" s="1" t="n">
        <f aca="false">C29-$B29</f>
        <v>0.00124341</v>
      </c>
      <c r="L29" s="1" t="n">
        <f aca="false">LN(D29)-LN($B29)</f>
        <v>0.238578487419583</v>
      </c>
      <c r="M29" s="1" t="n">
        <f aca="false">D29-$B29</f>
        <v>0.00154155</v>
      </c>
      <c r="N29" s="1" t="n">
        <f aca="false">LN(E29)-LN($B29)</f>
        <v>0.226647135250142</v>
      </c>
      <c r="O29" s="1" t="n">
        <f aca="false">E29-$B29</f>
        <v>0.00145541</v>
      </c>
      <c r="P29" s="1" t="n">
        <f aca="false">LN(F29)-LN($B29)</f>
        <v>0.211083509396749</v>
      </c>
      <c r="Q29" s="1" t="n">
        <f aca="false">F29-$B29</f>
        <v>0.00134458</v>
      </c>
    </row>
    <row r="30" customFormat="false" ht="15" hidden="false" customHeight="false" outlineLevel="0" collapsed="false">
      <c r="A30" s="0" t="n">
        <f aca="false">1+A29</f>
        <v>28</v>
      </c>
      <c r="B30" s="0" t="n">
        <v>0.00369809</v>
      </c>
      <c r="C30" s="0" t="n">
        <v>0.00474793</v>
      </c>
      <c r="D30" s="0" t="n">
        <v>0.00494872</v>
      </c>
      <c r="E30" s="0" t="n">
        <v>0.00486885</v>
      </c>
      <c r="F30" s="0" t="n">
        <v>0.00475739</v>
      </c>
      <c r="J30" s="1" t="n">
        <f aca="false">LN(C30)-LN($B30)</f>
        <v>0.249892263440537</v>
      </c>
      <c r="K30" s="1" t="n">
        <f aca="false">C30-$B30</f>
        <v>0.00104984</v>
      </c>
      <c r="L30" s="1" t="n">
        <f aca="false">LN(D30)-LN($B30)</f>
        <v>0.291312487134426</v>
      </c>
      <c r="M30" s="1" t="n">
        <f aca="false">D30-$B30</f>
        <v>0.00125063</v>
      </c>
      <c r="N30" s="1" t="n">
        <f aca="false">LN(E30)-LN($B30)</f>
        <v>0.275041299430256</v>
      </c>
      <c r="O30" s="1" t="n">
        <f aca="false">E30-$B30</f>
        <v>0.00117076</v>
      </c>
      <c r="P30" s="1" t="n">
        <f aca="false">LN(F30)-LN($B30)</f>
        <v>0.251882728385081</v>
      </c>
      <c r="Q30" s="1" t="n">
        <f aca="false">F30-$B30</f>
        <v>0.0010593</v>
      </c>
    </row>
    <row r="31" customFormat="false" ht="15" hidden="false" customHeight="false" outlineLevel="0" collapsed="false">
      <c r="A31" s="0" t="n">
        <f aca="false">1+A30</f>
        <v>29</v>
      </c>
      <c r="B31" s="0" t="n">
        <v>0.00233629</v>
      </c>
      <c r="C31" s="0" t="n">
        <v>0.00323517</v>
      </c>
      <c r="D31" s="0" t="n">
        <v>0.00334466</v>
      </c>
      <c r="E31" s="0" t="n">
        <v>0.00327058</v>
      </c>
      <c r="F31" s="0" t="n">
        <v>0.00320619</v>
      </c>
      <c r="J31" s="1" t="n">
        <f aca="false">LN(C31)-LN($B31)</f>
        <v>0.325517275707599</v>
      </c>
      <c r="K31" s="1" t="n">
        <f aca="false">C31-$B31</f>
        <v>0.00089888</v>
      </c>
      <c r="L31" s="1" t="n">
        <f aca="false">LN(D31)-LN($B31)</f>
        <v>0.358800843072534</v>
      </c>
      <c r="M31" s="1" t="n">
        <f aca="false">D31-$B31</f>
        <v>0.00100837</v>
      </c>
      <c r="N31" s="1" t="n">
        <f aca="false">LN(E31)-LN($B31)</f>
        <v>0.336403138115149</v>
      </c>
      <c r="O31" s="1" t="n">
        <f aca="false">E31-$B31</f>
        <v>0.00093429</v>
      </c>
      <c r="P31" s="1" t="n">
        <f aca="false">LN(F31)-LN($B31)</f>
        <v>0.316519115215162</v>
      </c>
      <c r="Q31" s="1" t="n">
        <f aca="false">F31-$B31</f>
        <v>0.0008699</v>
      </c>
    </row>
    <row r="32" customFormat="false" ht="15" hidden="false" customHeight="false" outlineLevel="0" collapsed="false">
      <c r="A32" s="0" t="n">
        <f aca="false">1+A31</f>
        <v>30</v>
      </c>
      <c r="B32" s="0" t="n">
        <v>0.00145136</v>
      </c>
      <c r="C32" s="0" t="n">
        <v>0.00218124</v>
      </c>
      <c r="D32" s="0" t="n">
        <v>0.00221232</v>
      </c>
      <c r="E32" s="0" t="n">
        <v>0.00214359</v>
      </c>
      <c r="F32" s="0" t="n">
        <v>0.00214018</v>
      </c>
      <c r="J32" s="1" t="n">
        <f aca="false">LN(C32)-LN($B32)</f>
        <v>0.407392474546374</v>
      </c>
      <c r="K32" s="1" t="n">
        <f aca="false">C32-$B32</f>
        <v>0.00072988</v>
      </c>
      <c r="L32" s="1" t="n">
        <f aca="false">LN(D32)-LN($B32)</f>
        <v>0.421540690773673</v>
      </c>
      <c r="M32" s="1" t="n">
        <f aca="false">D32-$B32</f>
        <v>0.00076096</v>
      </c>
      <c r="N32" s="1" t="n">
        <f aca="false">LN(E32)-LN($B32)</f>
        <v>0.38998094569373</v>
      </c>
      <c r="O32" s="1" t="n">
        <f aca="false">E32-$B32</f>
        <v>0.00069223</v>
      </c>
      <c r="P32" s="1" t="n">
        <f aca="false">LN(F32)-LN($B32)</f>
        <v>0.388388889761568</v>
      </c>
      <c r="Q32" s="1" t="n">
        <f aca="false">F32-$B32</f>
        <v>0.00068882</v>
      </c>
    </row>
    <row r="33" customFormat="false" ht="15" hidden="false" customHeight="false" outlineLevel="0" collapsed="false">
      <c r="A33" s="0" t="n">
        <f aca="false">1+A32</f>
        <v>31</v>
      </c>
      <c r="B33" s="0" t="n">
        <v>0.000887717</v>
      </c>
      <c r="C33" s="0" t="n">
        <v>0.00145555</v>
      </c>
      <c r="D33" s="0" t="n">
        <v>0.00142171</v>
      </c>
      <c r="E33" s="0" t="n">
        <v>0.00136928</v>
      </c>
      <c r="F33" s="0" t="n">
        <v>0.00142896</v>
      </c>
      <c r="J33" s="1" t="n">
        <f aca="false">LN(C33)-LN($B33)</f>
        <v>0.494486116546997</v>
      </c>
      <c r="K33" s="1" t="n">
        <f aca="false">C33-$B33</f>
        <v>0.000567833</v>
      </c>
      <c r="L33" s="1" t="n">
        <f aca="false">LN(D33)-LN($B33)</f>
        <v>0.470962652944801</v>
      </c>
      <c r="M33" s="1" t="n">
        <f aca="false">D33-$B33</f>
        <v>0.000533993</v>
      </c>
      <c r="N33" s="1" t="n">
        <f aca="false">LN(E33)-LN($B33)</f>
        <v>0.433387334723603</v>
      </c>
      <c r="O33" s="1" t="n">
        <f aca="false">E33-$B33</f>
        <v>0.000481563</v>
      </c>
      <c r="P33" s="1" t="n">
        <f aca="false">LN(F33)-LN($B33)</f>
        <v>0.476049187430727</v>
      </c>
      <c r="Q33" s="1" t="n">
        <f aca="false">F33-$B33</f>
        <v>0.000541243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"/>
  <sheetViews>
    <sheetView showFormulas="false" showGridLines="true" showRowColHeaders="true" showZeros="true" rightToLeft="false" tabSelected="true" showOutlineSymbols="true" defaultGridColor="true" view="normal" topLeftCell="AE7" colorId="64" zoomScale="100" zoomScaleNormal="100" zoomScalePageLayoutView="100" workbookViewId="0">
      <selection pane="topLeft" activeCell="N2" activeCellId="0" sqref="N2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7" min="1" style="0" width="12.15"/>
    <col collapsed="false" customWidth="true" hidden="false" outlineLevel="0" max="18" min="18" style="0" width="11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6</v>
      </c>
      <c r="E1" s="0" t="s">
        <v>7</v>
      </c>
      <c r="F1" s="0" t="s">
        <v>8</v>
      </c>
      <c r="G1" s="0" t="s">
        <v>3</v>
      </c>
      <c r="H1" s="0" t="s">
        <v>4</v>
      </c>
      <c r="I1" s="0" t="s">
        <v>5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Q1" s="0" t="str">
        <f aca="false">C1</f>
        <v>master_old</v>
      </c>
      <c r="R1" s="0" t="str">
        <f aca="false">C1</f>
        <v>master_old</v>
      </c>
      <c r="S1" s="0" t="str">
        <f aca="false">D1</f>
        <v>n%(w+8)</v>
      </c>
      <c r="T1" s="0" t="str">
        <f aca="false">D1</f>
        <v>n%(w+8)</v>
      </c>
      <c r="U1" s="0" t="str">
        <f aca="false">E1</f>
        <v>n%(w+16)</v>
      </c>
      <c r="V1" s="0" t="str">
        <f aca="false">E1</f>
        <v>n%(w+16)</v>
      </c>
      <c r="W1" s="0" t="str">
        <f aca="false">F1</f>
        <v>n%(w+10)</v>
      </c>
      <c r="X1" s="0" t="str">
        <f aca="false">F1</f>
        <v>n%(w+10)</v>
      </c>
      <c r="Y1" s="0" t="str">
        <f aca="false">G1</f>
        <v>n%(w+6)</v>
      </c>
      <c r="Z1" s="0" t="str">
        <f aca="false">G1</f>
        <v>n%(w+6)</v>
      </c>
      <c r="AA1" s="0" t="str">
        <f aca="false">H1</f>
        <v>n%(w+4)</v>
      </c>
      <c r="AB1" s="0" t="str">
        <f aca="false">H1</f>
        <v>n%(w+4)</v>
      </c>
      <c r="AC1" s="0" t="str">
        <f aca="false">I1</f>
        <v>n%(w+5)</v>
      </c>
      <c r="AD1" s="0" t="str">
        <f aca="false">I1</f>
        <v>n%(w+5)</v>
      </c>
      <c r="AE1" s="0" t="str">
        <f aca="false">J1</f>
        <v>n%(razor+64pc)</v>
      </c>
      <c r="AF1" s="0" t="str">
        <f aca="false">J1</f>
        <v>n%(razor+64pc)</v>
      </c>
      <c r="AG1" s="0" t="str">
        <f aca="false">K1</f>
        <v>n%(razor+128pc)</v>
      </c>
      <c r="AH1" s="0" t="str">
        <f aca="false">K1</f>
        <v>n%(razor+128pc)</v>
      </c>
      <c r="AI1" s="0" t="str">
        <f aca="false">L1</f>
        <v>n%(w-d)</v>
      </c>
      <c r="AJ1" s="0" t="str">
        <f aca="false">L1</f>
        <v>n%(w-d)</v>
      </c>
      <c r="AK1" s="0" t="str">
        <f aca="false">M1</f>
        <v>n%(w+28m)</v>
      </c>
      <c r="AL1" s="0" t="str">
        <f aca="false">M1</f>
        <v>n%(w+28m)</v>
      </c>
      <c r="AM1" s="0" t="str">
        <f aca="false">N1</f>
        <v>n%(w-2d)</v>
      </c>
      <c r="AN1" s="0" t="str">
        <f aca="false">N1</f>
        <v>n%(w-2d)</v>
      </c>
    </row>
    <row r="2" customFormat="false" ht="15" hidden="false" customHeight="false" outlineLevel="0" collapsed="false">
      <c r="A2" s="0" t="n">
        <v>0</v>
      </c>
      <c r="B2" s="0" t="n">
        <v>26.7785</v>
      </c>
      <c r="C2" s="0" t="n">
        <v>26.726</v>
      </c>
      <c r="D2" s="0" t="n">
        <v>26.7833</v>
      </c>
      <c r="E2" s="0" t="n">
        <v>26.8049</v>
      </c>
      <c r="F2" s="0" t="n">
        <v>26.7426</v>
      </c>
      <c r="G2" s="0" t="n">
        <v>26.829</v>
      </c>
      <c r="H2" s="0" t="n">
        <v>26.6202</v>
      </c>
      <c r="I2" s="0" t="n">
        <v>26.872</v>
      </c>
      <c r="J2" s="0" t="n">
        <v>26.6316</v>
      </c>
      <c r="K2" s="0" t="n">
        <v>26.6974</v>
      </c>
      <c r="L2" s="0" t="n">
        <v>26.8652</v>
      </c>
      <c r="M2" s="0" t="n">
        <v>26.8197</v>
      </c>
      <c r="N2" s="0" t="n">
        <v>26.7588</v>
      </c>
      <c r="P2" s="1" t="n">
        <f aca="false">LN(B2/(100-B2))-LN($B2/(100-$B2))</f>
        <v>0</v>
      </c>
      <c r="Q2" s="1" t="n">
        <f aca="false">LN(C2)-LN($B2)</f>
        <v>-0.00196245238621362</v>
      </c>
      <c r="R2" s="1" t="n">
        <f aca="false">C2-$B2</f>
        <v>-0.052500000000002</v>
      </c>
      <c r="S2" s="1" t="n">
        <f aca="false">LN(D2)-LN($B2)</f>
        <v>0.000179232214483349</v>
      </c>
      <c r="T2" s="1" t="n">
        <f aca="false">D2-$B2</f>
        <v>0.00479999999999947</v>
      </c>
      <c r="U2" s="1" t="n">
        <f aca="false">LN(E2)-LN($B2)</f>
        <v>0.000985379880192205</v>
      </c>
      <c r="V2" s="1" t="n">
        <f aca="false">E2-$B2</f>
        <v>0.0263999999999989</v>
      </c>
      <c r="W2" s="1" t="n">
        <f aca="false">LN(F2)-LN($B2)</f>
        <v>-0.00134152718774772</v>
      </c>
      <c r="X2" s="1" t="n">
        <f aca="false">F2-$B2</f>
        <v>-0.0359000000000016</v>
      </c>
      <c r="Y2" s="1" t="n">
        <f aca="false">LN(G2)-LN($B2)</f>
        <v>0.0018840652870713</v>
      </c>
      <c r="Z2" s="1" t="n">
        <f aca="false">G2-$B2</f>
        <v>0.0504999999999995</v>
      </c>
      <c r="AA2" s="1" t="n">
        <f aca="false">LN(H2)-LN($B2)</f>
        <v>-0.00592900065833168</v>
      </c>
      <c r="AB2" s="1" t="n">
        <f aca="false">H2-$B2</f>
        <v>-0.158300000000001</v>
      </c>
      <c r="AC2" s="1" t="n">
        <f aca="false">LN(I2)-LN($B2)</f>
        <v>0.00348552556490889</v>
      </c>
      <c r="AD2" s="1" t="n">
        <f aca="false">I2-$B2</f>
        <v>0.0934999999999988</v>
      </c>
      <c r="AE2" s="1" t="n">
        <f aca="false">LN(J2)-LN($B2)</f>
        <v>-0.00550084611053592</v>
      </c>
      <c r="AF2" s="1" t="n">
        <f aca="false">J2-$B2</f>
        <v>-0.146900000000002</v>
      </c>
      <c r="AG2" s="1" t="n">
        <f aca="false">LN(K2)-LN($B2)</f>
        <v>-0.00303314435760482</v>
      </c>
      <c r="AH2" s="1" t="n">
        <f aca="false">K2-$B2</f>
        <v>-0.0811000000000028</v>
      </c>
      <c r="AI2" s="1" t="n">
        <f aca="false">LN(L2)-LN($B2)</f>
        <v>0.00323244203855122</v>
      </c>
      <c r="AJ2" s="1" t="n">
        <f aca="false">L2-$B2</f>
        <v>0.0867000000000004</v>
      </c>
      <c r="AK2" s="1" t="n">
        <f aca="false">LN(M2)-LN($B2)</f>
        <v>0.00153736536356286</v>
      </c>
      <c r="AL2" s="1" t="n">
        <f aca="false">M2-$B2</f>
        <v>0.0411999999999999</v>
      </c>
      <c r="AM2" s="1" t="n">
        <f aca="false">LN(N2)-LN($B2)</f>
        <v>-0.000735935539861732</v>
      </c>
      <c r="AN2" s="1" t="n">
        <f aca="false">N2-$B2</f>
        <v>-0.0197000000000003</v>
      </c>
    </row>
    <row r="3" customFormat="false" ht="15" hidden="false" customHeight="false" outlineLevel="0" collapsed="false">
      <c r="A3" s="0" t="n">
        <f aca="false">1+A2</f>
        <v>1</v>
      </c>
      <c r="B3" s="0" t="n">
        <v>29.9316</v>
      </c>
      <c r="C3" s="0" t="n">
        <v>29.968</v>
      </c>
      <c r="D3" s="0" t="n">
        <v>29.9808</v>
      </c>
      <c r="E3" s="0" t="n">
        <v>30.1839</v>
      </c>
      <c r="F3" s="0" t="n">
        <v>30.1443</v>
      </c>
      <c r="G3" s="0" t="n">
        <v>30.0641</v>
      </c>
      <c r="H3" s="0" t="n">
        <v>29.9643</v>
      </c>
      <c r="I3" s="0" t="n">
        <v>30.1742</v>
      </c>
      <c r="J3" s="0" t="n">
        <v>29.9378</v>
      </c>
      <c r="K3" s="0" t="n">
        <v>29.9614</v>
      </c>
      <c r="L3" s="0" t="n">
        <v>30.0543</v>
      </c>
      <c r="M3" s="0" t="n">
        <v>31.0706</v>
      </c>
      <c r="N3" s="0" t="n">
        <v>30.1102</v>
      </c>
      <c r="P3" s="1" t="n">
        <f aca="false">B3-$B3</f>
        <v>0</v>
      </c>
      <c r="Q3" s="1" t="n">
        <f aca="false">LN(C3)-LN($B3)</f>
        <v>0.00121536719712978</v>
      </c>
      <c r="R3" s="1" t="n">
        <f aca="false">C3-$B3</f>
        <v>0.0364000000000004</v>
      </c>
      <c r="S3" s="1" t="n">
        <f aca="false">LN(D3)-LN($B3)</f>
        <v>0.00164239827012924</v>
      </c>
      <c r="T3" s="1" t="n">
        <f aca="false">D3-$B3</f>
        <v>0.049199999999999</v>
      </c>
      <c r="U3" s="1" t="n">
        <f aca="false">LN(E3)-LN($B3)</f>
        <v>0.00839389113840117</v>
      </c>
      <c r="V3" s="1" t="n">
        <f aca="false">E3-$B3</f>
        <v>0.252300000000002</v>
      </c>
      <c r="W3" s="1" t="n">
        <f aca="false">LN(F3)-LN($B3)</f>
        <v>0.00708107206912567</v>
      </c>
      <c r="X3" s="1" t="n">
        <f aca="false">F3-$B3</f>
        <v>0.212700000000002</v>
      </c>
      <c r="Y3" s="1" t="n">
        <f aca="false">LN(G3)-LN($B3)</f>
        <v>0.00441699039833488</v>
      </c>
      <c r="Z3" s="1" t="n">
        <f aca="false">G3-$B3</f>
        <v>0.1325</v>
      </c>
      <c r="AA3" s="1" t="n">
        <f aca="false">LN(H3)-LN($B3)</f>
        <v>0.00109189454533087</v>
      </c>
      <c r="AB3" s="1" t="n">
        <f aca="false">H3-$B3</f>
        <v>0.032700000000002</v>
      </c>
      <c r="AC3" s="1" t="n">
        <f aca="false">LN(I3)-LN($B3)</f>
        <v>0.00807247611428652</v>
      </c>
      <c r="AD3" s="1" t="n">
        <f aca="false">I3-$B3</f>
        <v>0.242599999999999</v>
      </c>
      <c r="AE3" s="1" t="n">
        <f aca="false">LN(J3)-LN($B3)</f>
        <v>0.000207117493149056</v>
      </c>
      <c r="AF3" s="1" t="n">
        <f aca="false">J3-$B3</f>
        <v>0.00619999999999976</v>
      </c>
      <c r="AG3" s="1" t="n">
        <f aca="false">LN(K3)-LN($B3)</f>
        <v>0.000995108024613778</v>
      </c>
      <c r="AH3" s="1" t="n">
        <f aca="false">K3-$B3</f>
        <v>0.0298000000000016</v>
      </c>
      <c r="AI3" s="1" t="n">
        <f aca="false">LN(L3)-LN($B3)</f>
        <v>0.00409096708145329</v>
      </c>
      <c r="AJ3" s="1" t="n">
        <f aca="false">L3-$B3</f>
        <v>0.122700000000002</v>
      </c>
      <c r="AK3" s="1" t="n">
        <f aca="false">LN(M3)-LN($B3)</f>
        <v>0.0373472559465937</v>
      </c>
      <c r="AL3" s="1" t="n">
        <f aca="false">M3-$B3</f>
        <v>1.139</v>
      </c>
      <c r="AM3" s="1" t="n">
        <f aca="false">LN(N3)-LN($B3)</f>
        <v>0.00594920627850382</v>
      </c>
      <c r="AN3" s="1" t="n">
        <f aca="false">N3-$B3</f>
        <v>0.178599999999999</v>
      </c>
    </row>
    <row r="4" customFormat="false" ht="15" hidden="false" customHeight="false" outlineLevel="0" collapsed="false">
      <c r="A4" s="0" t="n">
        <f aca="false">1+A3</f>
        <v>2</v>
      </c>
      <c r="B4" s="0" t="n">
        <v>8.5689</v>
      </c>
      <c r="C4" s="0" t="n">
        <v>8.57031</v>
      </c>
      <c r="D4" s="0" t="n">
        <v>8.51654</v>
      </c>
      <c r="E4" s="0" t="n">
        <v>8.52024</v>
      </c>
      <c r="F4" s="0" t="n">
        <v>8.52328</v>
      </c>
      <c r="G4" s="0" t="n">
        <v>8.50134</v>
      </c>
      <c r="H4" s="0" t="n">
        <v>8.57116</v>
      </c>
      <c r="I4" s="0" t="n">
        <v>8.52639</v>
      </c>
      <c r="J4" s="0" t="n">
        <v>8.55268</v>
      </c>
      <c r="K4" s="0" t="n">
        <v>8.56309</v>
      </c>
      <c r="L4" s="0" t="n">
        <v>8.50665</v>
      </c>
      <c r="M4" s="0" t="n">
        <v>8.22189</v>
      </c>
      <c r="N4" s="0" t="n">
        <v>8.55604</v>
      </c>
      <c r="P4" s="1" t="n">
        <f aca="false">LN(B4)-LN($B4)</f>
        <v>0</v>
      </c>
      <c r="Q4" s="1" t="n">
        <f aca="false">LN(C4)-LN($B4)</f>
        <v>0.000164535005193756</v>
      </c>
      <c r="R4" s="1" t="n">
        <f aca="false">C4-$B4</f>
        <v>0.00140999999999991</v>
      </c>
      <c r="S4" s="1" t="n">
        <f aca="false">LN(D4)-LN($B4)</f>
        <v>-0.00612921457315974</v>
      </c>
      <c r="T4" s="1" t="n">
        <f aca="false">D4-$B4</f>
        <v>-0.0523599999999984</v>
      </c>
      <c r="U4" s="1" t="n">
        <f aca="false">LN(E4)-LN($B4)</f>
        <v>-0.00569486018715804</v>
      </c>
      <c r="V4" s="1" t="n">
        <f aca="false">E4-$B4</f>
        <v>-0.0486599999999999</v>
      </c>
      <c r="W4" s="1" t="n">
        <f aca="false">LN(F4)-LN($B4)</f>
        <v>-0.00533812636313158</v>
      </c>
      <c r="X4" s="1" t="n">
        <f aca="false">F4-$B4</f>
        <v>-0.0456199999999996</v>
      </c>
      <c r="Y4" s="1" t="n">
        <f aca="false">LN(G4)-LN($B4)</f>
        <v>-0.00791557151562516</v>
      </c>
      <c r="Z4" s="1" t="n">
        <f aca="false">G4-$B4</f>
        <v>-0.0675599999999985</v>
      </c>
      <c r="AA4" s="1" t="n">
        <f aca="false">LN(H4)-LN($B4)</f>
        <v>0.000263709696826986</v>
      </c>
      <c r="AB4" s="1" t="n">
        <f aca="false">H4-$B4</f>
        <v>0.00226000000000148</v>
      </c>
      <c r="AC4" s="1" t="n">
        <f aca="false">LN(I4)-LN($B4)</f>
        <v>-0.00497330991395772</v>
      </c>
      <c r="AD4" s="1" t="n">
        <f aca="false">I4-$B4</f>
        <v>-0.0425100000000001</v>
      </c>
      <c r="AE4" s="1" t="n">
        <f aca="false">LN(J4)-LN($B4)</f>
        <v>-0.00189468551994088</v>
      </c>
      <c r="AF4" s="1" t="n">
        <f aca="false">J4-$B4</f>
        <v>-0.0162199999999988</v>
      </c>
      <c r="AG4" s="1" t="n">
        <f aca="false">LN(K4)-LN($B4)</f>
        <v>-0.000678263321742811</v>
      </c>
      <c r="AH4" s="1" t="n">
        <f aca="false">K4-$B4</f>
        <v>-0.00580999999999854</v>
      </c>
      <c r="AI4" s="1" t="n">
        <f aca="false">LN(L4)-LN($B4)</f>
        <v>-0.00729115908681655</v>
      </c>
      <c r="AJ4" s="1" t="n">
        <f aca="false">L4-$B4</f>
        <v>-0.0622499999999988</v>
      </c>
      <c r="AK4" s="1" t="n">
        <f aca="false">LN(M4)-LN($B4)</f>
        <v>-0.0413392599995031</v>
      </c>
      <c r="AL4" s="1" t="n">
        <f aca="false">M4-$B4</f>
        <v>-0.347009999999999</v>
      </c>
      <c r="AM4" s="1" t="n">
        <f aca="false">LN(N4)-LN($B4)</f>
        <v>-0.00150190335468281</v>
      </c>
      <c r="AN4" s="1" t="n">
        <f aca="false">N4-$B4</f>
        <v>-0.0128599999999999</v>
      </c>
    </row>
    <row r="5" customFormat="false" ht="15" hidden="false" customHeight="false" outlineLevel="0" collapsed="false">
      <c r="A5" s="0" t="n">
        <f aca="false">1+A4</f>
        <v>3</v>
      </c>
      <c r="B5" s="0" t="n">
        <v>7.61579</v>
      </c>
      <c r="C5" s="0" t="n">
        <v>7.62121</v>
      </c>
      <c r="D5" s="0" t="n">
        <v>7.59022</v>
      </c>
      <c r="E5" s="0" t="n">
        <v>7.5708</v>
      </c>
      <c r="F5" s="0" t="n">
        <v>7.58243</v>
      </c>
      <c r="G5" s="0" t="n">
        <v>7.56215</v>
      </c>
      <c r="H5" s="0" t="n">
        <v>7.62593</v>
      </c>
      <c r="I5" s="0" t="n">
        <v>7.57553</v>
      </c>
      <c r="J5" s="0" t="n">
        <v>7.61283</v>
      </c>
      <c r="K5" s="0" t="n">
        <v>7.61741</v>
      </c>
      <c r="L5" s="0" t="n">
        <v>7.56012</v>
      </c>
      <c r="M5" s="0" t="n">
        <v>7.38157</v>
      </c>
      <c r="N5" s="0" t="n">
        <v>7.58327</v>
      </c>
      <c r="Q5" s="1" t="n">
        <f aca="false">LN(C5)-LN($B5)</f>
        <v>0.000711426163759299</v>
      </c>
      <c r="R5" s="1" t="n">
        <f aca="false">C5-$B5</f>
        <v>0.00541999999999998</v>
      </c>
      <c r="S5" s="1" t="n">
        <f aca="false">LN(D5)-LN($B5)</f>
        <v>-0.00336314708478236</v>
      </c>
      <c r="T5" s="1" t="n">
        <f aca="false">D5-$B5</f>
        <v>-0.0255699999999992</v>
      </c>
      <c r="U5" s="1" t="n">
        <f aca="false">LN(E5)-LN($B5)</f>
        <v>-0.00592498139686848</v>
      </c>
      <c r="V5" s="1" t="n">
        <f aca="false">E5-$B5</f>
        <v>-0.0449899999999994</v>
      </c>
      <c r="W5" s="1" t="n">
        <f aca="false">LN(F5)-LN($B5)</f>
        <v>-0.0043899948252224</v>
      </c>
      <c r="X5" s="1" t="n">
        <f aca="false">F5-$B5</f>
        <v>-0.0333600000000001</v>
      </c>
      <c r="Y5" s="1" t="n">
        <f aca="false">LN(G5)-LN($B5)</f>
        <v>-0.0070681822852694</v>
      </c>
      <c r="Z5" s="1" t="n">
        <f aca="false">G5-$B5</f>
        <v>-0.0536399999999997</v>
      </c>
      <c r="AA5" s="1" t="n">
        <f aca="false">LN(H5)-LN($B5)</f>
        <v>0.00133055868969834</v>
      </c>
      <c r="AB5" s="1" t="n">
        <f aca="false">H5-$B5</f>
        <v>0.0101400000000007</v>
      </c>
      <c r="AC5" s="1" t="n">
        <f aca="false">LN(I5)-LN($B5)</f>
        <v>-0.00530040763493966</v>
      </c>
      <c r="AD5" s="1" t="n">
        <f aca="false">I5-$B5</f>
        <v>-0.04026</v>
      </c>
      <c r="AE5" s="1" t="n">
        <f aca="false">LN(J5)-LN($B5)</f>
        <v>-0.000388741729359321</v>
      </c>
      <c r="AF5" s="1" t="n">
        <f aca="false">J5-$B5</f>
        <v>-0.00295999999999985</v>
      </c>
      <c r="AG5" s="1" t="n">
        <f aca="false">LN(K5)-LN($B5)</f>
        <v>0.000212693328533131</v>
      </c>
      <c r="AH5" s="1" t="n">
        <f aca="false">K5-$B5</f>
        <v>0.00161999999999995</v>
      </c>
      <c r="AI5" s="1" t="n">
        <f aca="false">LN(L5)-LN($B5)</f>
        <v>-0.00733666049815618</v>
      </c>
      <c r="AJ5" s="1" t="n">
        <f aca="false">L5-$B5</f>
        <v>-0.0556699999999992</v>
      </c>
      <c r="AK5" s="1" t="n">
        <f aca="false">LN(M5)-LN($B5)</f>
        <v>-0.0312373704650772</v>
      </c>
      <c r="AL5" s="1" t="n">
        <f aca="false">M5-$B5</f>
        <v>-0.23422</v>
      </c>
      <c r="AM5" s="1" t="n">
        <f aca="false">LN(N5)-LN($B5)</f>
        <v>-0.00427921853387314</v>
      </c>
      <c r="AN5" s="1" t="n">
        <f aca="false">N5-$B5</f>
        <v>-0.0325199999999999</v>
      </c>
    </row>
    <row r="6" customFormat="false" ht="15" hidden="false" customHeight="false" outlineLevel="0" collapsed="false">
      <c r="A6" s="0" t="n">
        <f aca="false">1+A5</f>
        <v>4</v>
      </c>
      <c r="B6" s="0" t="n">
        <v>6.19332</v>
      </c>
      <c r="C6" s="0" t="n">
        <v>6.19738</v>
      </c>
      <c r="D6" s="0" t="n">
        <v>6.19166</v>
      </c>
      <c r="E6" s="0" t="n">
        <v>6.17095</v>
      </c>
      <c r="F6" s="0" t="n">
        <v>6.16197</v>
      </c>
      <c r="G6" s="0" t="n">
        <v>6.16176</v>
      </c>
      <c r="H6" s="0" t="n">
        <v>6.20448</v>
      </c>
      <c r="I6" s="0" t="n">
        <v>6.16284</v>
      </c>
      <c r="J6" s="0" t="n">
        <v>6.20542</v>
      </c>
      <c r="K6" s="0" t="n">
        <v>6.20142</v>
      </c>
      <c r="L6" s="0" t="n">
        <v>6.1591</v>
      </c>
      <c r="M6" s="0" t="n">
        <v>6.04005</v>
      </c>
      <c r="N6" s="0" t="n">
        <v>6.16039</v>
      </c>
      <c r="Q6" s="1" t="n">
        <f aca="false">LN(C6)-LN($B6)</f>
        <v>0.0006553302307859</v>
      </c>
      <c r="R6" s="1" t="n">
        <f aca="false">C6-$B6</f>
        <v>0.00405999999999995</v>
      </c>
      <c r="S6" s="1" t="n">
        <f aca="false">LN(D6)-LN($B6)</f>
        <v>-0.000268066643618559</v>
      </c>
      <c r="T6" s="1" t="n">
        <f aca="false">D6-$B6</f>
        <v>-0.00166000000000022</v>
      </c>
      <c r="U6" s="1" t="n">
        <f aca="false">LN(E6)-LN($B6)</f>
        <v>-0.00361849497115019</v>
      </c>
      <c r="V6" s="1" t="n">
        <f aca="false">E6-$B6</f>
        <v>-0.0223699999999996</v>
      </c>
      <c r="W6" s="1" t="n">
        <f aca="false">LN(F6)-LN($B6)</f>
        <v>-0.00507476024928333</v>
      </c>
      <c r="X6" s="1" t="n">
        <f aca="false">F6-$B6</f>
        <v>-0.0313499999999998</v>
      </c>
      <c r="Y6" s="1" t="n">
        <f aca="false">LN(G6)-LN($B6)</f>
        <v>-0.00510884084014673</v>
      </c>
      <c r="Z6" s="1" t="n">
        <f aca="false">G6-$B6</f>
        <v>-0.0315599999999998</v>
      </c>
      <c r="AA6" s="1" t="n">
        <f aca="false">LN(H6)-LN($B6)</f>
        <v>0.00180031989776741</v>
      </c>
      <c r="AB6" s="1" t="n">
        <f aca="false">H6-$B6</f>
        <v>0.0111600000000003</v>
      </c>
      <c r="AC6" s="1" t="n">
        <f aca="false">LN(I6)-LN($B6)</f>
        <v>-0.00493358160207591</v>
      </c>
      <c r="AD6" s="1" t="n">
        <f aca="false">I6-$B6</f>
        <v>-0.0304799999999998</v>
      </c>
      <c r="AE6" s="1" t="n">
        <f aca="false">LN(J6)-LN($B6)</f>
        <v>0.00195181185206161</v>
      </c>
      <c r="AF6" s="1" t="n">
        <f aca="false">J6-$B6</f>
        <v>0.0121000000000002</v>
      </c>
      <c r="AG6" s="1" t="n">
        <f aca="false">LN(K6)-LN($B6)</f>
        <v>0.00130700622249091</v>
      </c>
      <c r="AH6" s="1" t="n">
        <f aca="false">K6-$B6</f>
        <v>0.00809999999999977</v>
      </c>
      <c r="AI6" s="1" t="n">
        <f aca="false">LN(L6)-LN($B6)</f>
        <v>-0.00554062888762541</v>
      </c>
      <c r="AJ6" s="1" t="n">
        <f aca="false">L6-$B6</f>
        <v>-0.0342200000000004</v>
      </c>
      <c r="AK6" s="1" t="n">
        <f aca="false">LN(M6)-LN($B6)</f>
        <v>-0.0250590018045807</v>
      </c>
      <c r="AL6" s="1" t="n">
        <f aca="false">M6-$B6</f>
        <v>-0.15327</v>
      </c>
      <c r="AM6" s="1" t="n">
        <f aca="false">LN(N6)-LN($B6)</f>
        <v>-0.00533120463309622</v>
      </c>
      <c r="AN6" s="1" t="n">
        <f aca="false">N6-$B6</f>
        <v>-0.0329300000000004</v>
      </c>
    </row>
    <row r="7" customFormat="false" ht="15" hidden="false" customHeight="false" outlineLevel="0" collapsed="false">
      <c r="A7" s="0" t="n">
        <f aca="false">1+A6</f>
        <v>5</v>
      </c>
      <c r="B7" s="0" t="n">
        <v>4.6429</v>
      </c>
      <c r="C7" s="0" t="n">
        <v>4.64291</v>
      </c>
      <c r="D7" s="0" t="n">
        <v>4.64406</v>
      </c>
      <c r="E7" s="0" t="n">
        <v>4.6228</v>
      </c>
      <c r="F7" s="0" t="n">
        <v>4.61663</v>
      </c>
      <c r="G7" s="0" t="n">
        <v>4.62367</v>
      </c>
      <c r="H7" s="0" t="n">
        <v>4.65443</v>
      </c>
      <c r="I7" s="0" t="n">
        <v>4.60929</v>
      </c>
      <c r="J7" s="0" t="n">
        <v>4.6601</v>
      </c>
      <c r="K7" s="0" t="n">
        <v>4.64729</v>
      </c>
      <c r="L7" s="0" t="n">
        <v>4.61935</v>
      </c>
      <c r="M7" s="0" t="n">
        <v>4.53406</v>
      </c>
      <c r="N7" s="0" t="n">
        <v>4.61834</v>
      </c>
      <c r="Q7" s="1" t="n">
        <f aca="false">LN(C7)-LN($B7)</f>
        <v>2.15382395296615E-006</v>
      </c>
      <c r="R7" s="1" t="n">
        <f aca="false">C7-$B7</f>
        <v>9.99999999962142E-006</v>
      </c>
      <c r="S7" s="1" t="n">
        <f aca="false">LN(D7)-LN($B7)</f>
        <v>0.00024981264181867</v>
      </c>
      <c r="T7" s="1" t="n">
        <f aca="false">D7-$B7</f>
        <v>0.00115999999999961</v>
      </c>
      <c r="U7" s="1" t="n">
        <f aca="false">LN(E7)-LN($B7)</f>
        <v>-0.00433858888785665</v>
      </c>
      <c r="V7" s="1" t="n">
        <f aca="false">E7-$B7</f>
        <v>-0.0201000000000002</v>
      </c>
      <c r="W7" s="1" t="n">
        <f aca="false">LN(F7)-LN($B7)</f>
        <v>-0.00567416931157494</v>
      </c>
      <c r="X7" s="1" t="n">
        <f aca="false">F7-$B7</f>
        <v>-0.0262700000000002</v>
      </c>
      <c r="Y7" s="1" t="n">
        <f aca="false">LN(G7)-LN($B7)</f>
        <v>-0.00415040896566654</v>
      </c>
      <c r="Z7" s="1" t="n">
        <f aca="false">G7-$B7</f>
        <v>-0.0192300000000003</v>
      </c>
      <c r="AA7" s="1" t="n">
        <f aca="false">LN(H7)-LN($B7)</f>
        <v>0.0024802832449442</v>
      </c>
      <c r="AB7" s="1" t="n">
        <f aca="false">H7-$B7</f>
        <v>0.0115299999999996</v>
      </c>
      <c r="AC7" s="1" t="n">
        <f aca="false">LN(I7)-LN($B7)</f>
        <v>-0.00726533887485559</v>
      </c>
      <c r="AD7" s="1" t="n">
        <f aca="false">I7-$B7</f>
        <v>-0.0336100000000004</v>
      </c>
      <c r="AE7" s="1" t="n">
        <f aca="false">LN(J7)-LN($B7)</f>
        <v>0.00369773612777058</v>
      </c>
      <c r="AF7" s="1" t="n">
        <f aca="false">J7-$B7</f>
        <v>0.0171999999999999</v>
      </c>
      <c r="AG7" s="1" t="n">
        <f aca="false">LN(K7)-LN($B7)</f>
        <v>0.000945083001909763</v>
      </c>
      <c r="AH7" s="1" t="n">
        <f aca="false">K7-$B7</f>
        <v>0.00438999999999989</v>
      </c>
      <c r="AI7" s="1" t="n">
        <f aca="false">LN(L7)-LN($B7)</f>
        <v>-0.00508516845218909</v>
      </c>
      <c r="AJ7" s="1" t="n">
        <f aca="false">L7-$B7</f>
        <v>-0.0235500000000002</v>
      </c>
      <c r="AK7" s="1" t="n">
        <f aca="false">LN(M7)-LN($B7)</f>
        <v>-0.0237213856611915</v>
      </c>
      <c r="AL7" s="1" t="n">
        <f aca="false">M7-$B7</f>
        <v>-0.10884</v>
      </c>
      <c r="AM7" s="1" t="n">
        <f aca="false">LN(N7)-LN($B7)</f>
        <v>-0.00530383783902155</v>
      </c>
      <c r="AN7" s="1" t="n">
        <f aca="false">N7-$B7</f>
        <v>-0.0245600000000001</v>
      </c>
    </row>
    <row r="8" customFormat="false" ht="15" hidden="false" customHeight="false" outlineLevel="0" collapsed="false">
      <c r="A8" s="0" t="n">
        <f aca="false">1+A7</f>
        <v>6</v>
      </c>
      <c r="B8" s="0" t="n">
        <v>3.5486</v>
      </c>
      <c r="C8" s="0" t="n">
        <v>3.54379</v>
      </c>
      <c r="D8" s="0" t="n">
        <v>3.54869</v>
      </c>
      <c r="E8" s="0" t="n">
        <v>3.52772</v>
      </c>
      <c r="F8" s="0" t="n">
        <v>3.52678</v>
      </c>
      <c r="G8" s="0" t="n">
        <v>3.53431</v>
      </c>
      <c r="H8" s="0" t="n">
        <v>3.55837</v>
      </c>
      <c r="I8" s="0" t="n">
        <v>3.52109</v>
      </c>
      <c r="J8" s="0" t="n">
        <v>3.56591</v>
      </c>
      <c r="K8" s="0" t="n">
        <v>3.55526</v>
      </c>
      <c r="L8" s="0" t="n">
        <v>3.53974</v>
      </c>
      <c r="M8" s="0" t="n">
        <v>3.46161</v>
      </c>
      <c r="N8" s="0" t="n">
        <v>3.52904</v>
      </c>
      <c r="Q8" s="1" t="n">
        <f aca="false">LN(C8)-LN($B8)</f>
        <v>-0.0013563835991659</v>
      </c>
      <c r="R8" s="1" t="n">
        <f aca="false">C8-$B8</f>
        <v>-0.00480999999999998</v>
      </c>
      <c r="S8" s="1" t="n">
        <f aca="false">LN(D8)-LN($B8)</f>
        <v>2.53617930237038E-005</v>
      </c>
      <c r="T8" s="1" t="n">
        <f aca="false">D8-$B8</f>
        <v>9.00000000001455E-005</v>
      </c>
      <c r="U8" s="1" t="n">
        <f aca="false">LN(E8)-LN($B8)</f>
        <v>-0.00590138959173681</v>
      </c>
      <c r="V8" s="1" t="n">
        <f aca="false">E8-$B8</f>
        <v>-0.02088</v>
      </c>
      <c r="W8" s="1" t="n">
        <f aca="false">LN(F8)-LN($B8)</f>
        <v>-0.00616788615579189</v>
      </c>
      <c r="X8" s="1" t="n">
        <f aca="false">F8-$B8</f>
        <v>-0.02182</v>
      </c>
      <c r="Y8" s="1" t="n">
        <f aca="false">LN(G8)-LN($B8)</f>
        <v>-0.00403507015870441</v>
      </c>
      <c r="Z8" s="1" t="n">
        <f aca="false">G8-$B8</f>
        <v>-0.0142899999999999</v>
      </c>
      <c r="AA8" s="1" t="n">
        <f aca="false">LN(H8)-LN($B8)</f>
        <v>0.00274941533579476</v>
      </c>
      <c r="AB8" s="1" t="n">
        <f aca="false">H8-$B8</f>
        <v>0.00977000000000006</v>
      </c>
      <c r="AC8" s="1" t="n">
        <f aca="false">LN(I8)-LN($B8)</f>
        <v>-0.00778255874090816</v>
      </c>
      <c r="AD8" s="1" t="n">
        <f aca="false">I8-$B8</f>
        <v>-0.0275099999999999</v>
      </c>
      <c r="AE8" s="1" t="n">
        <f aca="false">LN(J8)-LN($B8)</f>
        <v>0.00486612125280317</v>
      </c>
      <c r="AF8" s="1" t="n">
        <f aca="false">J8-$B8</f>
        <v>0.0173100000000002</v>
      </c>
      <c r="AG8" s="1" t="n">
        <f aca="false">LN(K8)-LN($B8)</f>
        <v>0.00187503750109097</v>
      </c>
      <c r="AH8" s="1" t="n">
        <f aca="false">K8-$B8</f>
        <v>0.00666000000000011</v>
      </c>
      <c r="AI8" s="1" t="n">
        <f aca="false">LN(L8)-LN($B8)</f>
        <v>-0.00249988138665613</v>
      </c>
      <c r="AJ8" s="1" t="n">
        <f aca="false">L8-$B8</f>
        <v>-0.00885999999999987</v>
      </c>
      <c r="AK8" s="1" t="n">
        <f aca="false">LN(M8)-LN($B8)</f>
        <v>-0.024819360745445</v>
      </c>
      <c r="AL8" s="1" t="n">
        <f aca="false">M8-$B8</f>
        <v>-0.0869900000000001</v>
      </c>
      <c r="AM8" s="1" t="n">
        <f aca="false">LN(N8)-LN($B8)</f>
        <v>-0.00552728022273596</v>
      </c>
      <c r="AN8" s="1" t="n">
        <f aca="false">N8-$B8</f>
        <v>-0.0195599999999998</v>
      </c>
    </row>
    <row r="9" customFormat="false" ht="15" hidden="false" customHeight="false" outlineLevel="0" collapsed="false">
      <c r="A9" s="0" t="n">
        <f aca="false">1+A8</f>
        <v>7</v>
      </c>
      <c r="B9" s="0" t="n">
        <v>2.90453</v>
      </c>
      <c r="C9" s="0" t="n">
        <v>2.89255</v>
      </c>
      <c r="D9" s="0" t="n">
        <v>2.9043</v>
      </c>
      <c r="E9" s="0" t="n">
        <v>2.88108</v>
      </c>
      <c r="F9" s="0" t="n">
        <v>2.88726</v>
      </c>
      <c r="G9" s="0" t="n">
        <v>2.88927</v>
      </c>
      <c r="H9" s="0" t="n">
        <v>2.91071</v>
      </c>
      <c r="I9" s="0" t="n">
        <v>2.87295</v>
      </c>
      <c r="J9" s="0" t="n">
        <v>2.91969</v>
      </c>
      <c r="K9" s="0" t="n">
        <v>2.90797</v>
      </c>
      <c r="L9" s="0" t="n">
        <v>2.8945</v>
      </c>
      <c r="M9" s="0" t="n">
        <v>2.83243</v>
      </c>
      <c r="N9" s="0" t="n">
        <v>2.88291</v>
      </c>
      <c r="Q9" s="1" t="n">
        <f aca="false">LN(C9)-LN($B9)</f>
        <v>-0.00413312117625231</v>
      </c>
      <c r="R9" s="1" t="n">
        <f aca="false">C9-$B9</f>
        <v>-0.0119799999999999</v>
      </c>
      <c r="S9" s="1" t="n">
        <f aca="false">LN(D9)-LN($B9)</f>
        <v>-7.91897852476797E-005</v>
      </c>
      <c r="T9" s="1" t="n">
        <f aca="false">D9-$B9</f>
        <v>-0.00022999999999973</v>
      </c>
      <c r="U9" s="1" t="n">
        <f aca="false">LN(E9)-LN($B9)</f>
        <v>-0.00810636334431836</v>
      </c>
      <c r="V9" s="1" t="n">
        <f aca="false">E9-$B9</f>
        <v>-0.02345</v>
      </c>
      <c r="W9" s="1" t="n">
        <f aca="false">LN(F9)-LN($B9)</f>
        <v>-0.00596363168685055</v>
      </c>
      <c r="X9" s="1" t="n">
        <f aca="false">F9-$B9</f>
        <v>-0.0172699999999999</v>
      </c>
      <c r="Y9" s="1" t="n">
        <f aca="false">LN(G9)-LN($B9)</f>
        <v>-0.00526771213614441</v>
      </c>
      <c r="Z9" s="1" t="n">
        <f aca="false">G9-$B9</f>
        <v>-0.0152600000000001</v>
      </c>
      <c r="AA9" s="1" t="n">
        <f aca="false">LN(H9)-LN($B9)</f>
        <v>0.00212545048064494</v>
      </c>
      <c r="AB9" s="1" t="n">
        <f aca="false">H9-$B9</f>
        <v>0.00618000000000007</v>
      </c>
      <c r="AC9" s="1" t="n">
        <f aca="false">LN(I9)-LN($B9)</f>
        <v>-0.0109322107626033</v>
      </c>
      <c r="AD9" s="1" t="n">
        <f aca="false">I9-$B9</f>
        <v>-0.0315799999999999</v>
      </c>
      <c r="AE9" s="1" t="n">
        <f aca="false">LN(J9)-LN($B9)</f>
        <v>0.00520585906354554</v>
      </c>
      <c r="AF9" s="1" t="n">
        <f aca="false">J9-$B9</f>
        <v>0.0151600000000003</v>
      </c>
      <c r="AG9" s="1" t="n">
        <f aca="false">LN(K9)-LN($B9)</f>
        <v>0.00118365605217452</v>
      </c>
      <c r="AH9" s="1" t="n">
        <f aca="false">K9-$B9</f>
        <v>0.00344000000000033</v>
      </c>
      <c r="AI9" s="1" t="n">
        <f aca="false">LN(L9)-LN($B9)</f>
        <v>-0.00345920266032396</v>
      </c>
      <c r="AJ9" s="1" t="n">
        <f aca="false">L9-$B9</f>
        <v>-0.01003</v>
      </c>
      <c r="AK9" s="1" t="n">
        <f aca="false">LN(M9)-LN($B9)</f>
        <v>-0.0251365867335236</v>
      </c>
      <c r="AL9" s="1" t="n">
        <f aca="false">M9-$B9</f>
        <v>-0.0720999999999998</v>
      </c>
      <c r="AM9" s="1" t="n">
        <f aca="false">LN(N9)-LN($B9)</f>
        <v>-0.00747138651004664</v>
      </c>
      <c r="AN9" s="1" t="n">
        <f aca="false">N9-$B9</f>
        <v>-0.02162</v>
      </c>
    </row>
    <row r="10" customFormat="false" ht="15" hidden="false" customHeight="false" outlineLevel="0" collapsed="false">
      <c r="A10" s="0" t="n">
        <f aca="false">1+A9</f>
        <v>8</v>
      </c>
      <c r="B10" s="0" t="n">
        <v>2.4361</v>
      </c>
      <c r="C10" s="0" t="n">
        <v>2.42729</v>
      </c>
      <c r="D10" s="0" t="n">
        <v>2.43864</v>
      </c>
      <c r="E10" s="0" t="n">
        <v>2.42023</v>
      </c>
      <c r="F10" s="0" t="n">
        <v>2.42429</v>
      </c>
      <c r="G10" s="0" t="n">
        <v>2.42393</v>
      </c>
      <c r="H10" s="0" t="n">
        <v>2.4435</v>
      </c>
      <c r="I10" s="0" t="n">
        <v>2.41162</v>
      </c>
      <c r="J10" s="0" t="n">
        <v>2.44954</v>
      </c>
      <c r="K10" s="0" t="n">
        <v>2.43984</v>
      </c>
      <c r="L10" s="0" t="n">
        <v>2.42917</v>
      </c>
      <c r="M10" s="0" t="n">
        <v>2.37996</v>
      </c>
      <c r="N10" s="0" t="n">
        <v>2.42359</v>
      </c>
      <c r="Q10" s="1" t="n">
        <f aca="false">LN(C10)-LN($B10)</f>
        <v>-0.00362299122082232</v>
      </c>
      <c r="R10" s="1" t="n">
        <f aca="false">C10-$B10</f>
        <v>-0.00880999999999999</v>
      </c>
      <c r="S10" s="1" t="n">
        <f aca="false">LN(D10)-LN($B10)</f>
        <v>0.00104210695539331</v>
      </c>
      <c r="T10" s="1" t="n">
        <f aca="false">D10-$B10</f>
        <v>0.00253999999999976</v>
      </c>
      <c r="U10" s="1" t="n">
        <f aca="false">LN(E10)-LN($B10)</f>
        <v>-0.00653582293343646</v>
      </c>
      <c r="V10" s="1" t="n">
        <f aca="false">E10-$B10</f>
        <v>-0.0158700000000001</v>
      </c>
      <c r="W10" s="1" t="n">
        <f aca="false">LN(F10)-LN($B10)</f>
        <v>-0.00485970189337159</v>
      </c>
      <c r="X10" s="1" t="n">
        <f aca="false">F10-$B10</f>
        <v>-0.0118100000000001</v>
      </c>
      <c r="Y10" s="1" t="n">
        <f aca="false">LN(G10)-LN($B10)</f>
        <v>-0.00500821000590024</v>
      </c>
      <c r="Z10" s="1" t="n">
        <f aca="false">G10-$B10</f>
        <v>-0.0121700000000002</v>
      </c>
      <c r="AA10" s="1" t="n">
        <f aca="false">LN(H10)-LN($B10)</f>
        <v>0.00303303781986708</v>
      </c>
      <c r="AB10" s="1" t="n">
        <f aca="false">H10-$B10</f>
        <v>0.00739999999999963</v>
      </c>
      <c r="AC10" s="1" t="n">
        <f aca="false">LN(I10)-LN($B10)</f>
        <v>-0.0100996790601855</v>
      </c>
      <c r="AD10" s="1" t="n">
        <f aca="false">I10-$B10</f>
        <v>-0.0244800000000001</v>
      </c>
      <c r="AE10" s="1" t="n">
        <f aca="false">LN(J10)-LN($B10)</f>
        <v>0.00550185191819375</v>
      </c>
      <c r="AF10" s="1" t="n">
        <f aca="false">J10-$B10</f>
        <v>0.0134399999999997</v>
      </c>
      <c r="AG10" s="1" t="n">
        <f aca="false">LN(K10)-LN($B10)</f>
        <v>0.00153406347635965</v>
      </c>
      <c r="AH10" s="1" t="n">
        <f aca="false">K10-$B10</f>
        <v>0.00373999999999963</v>
      </c>
      <c r="AI10" s="1" t="n">
        <f aca="false">LN(L10)-LN($B10)</f>
        <v>-0.0028487646879527</v>
      </c>
      <c r="AJ10" s="1" t="n">
        <f aca="false">L10-$B10</f>
        <v>-0.0069300000000001</v>
      </c>
      <c r="AK10" s="1" t="n">
        <f aca="false">LN(M10)-LN($B10)</f>
        <v>-0.0233147190887455</v>
      </c>
      <c r="AL10" s="1" t="n">
        <f aca="false">M10-$B10</f>
        <v>-0.0561400000000001</v>
      </c>
      <c r="AM10" s="1" t="n">
        <f aca="false">LN(N10)-LN($B10)</f>
        <v>-0.00514848792143541</v>
      </c>
      <c r="AN10" s="1" t="n">
        <f aca="false">N10-$B10</f>
        <v>-0.0125100000000002</v>
      </c>
    </row>
    <row r="11" customFormat="false" ht="15" hidden="false" customHeight="false" outlineLevel="0" collapsed="false">
      <c r="A11" s="0" t="n">
        <f aca="false">1+A10</f>
        <v>9</v>
      </c>
      <c r="B11" s="0" t="n">
        <v>1.97577</v>
      </c>
      <c r="C11" s="0" t="n">
        <v>1.96944</v>
      </c>
      <c r="D11" s="0" t="n">
        <v>1.97677</v>
      </c>
      <c r="E11" s="0" t="n">
        <v>1.96163</v>
      </c>
      <c r="F11" s="0" t="n">
        <v>1.96739</v>
      </c>
      <c r="G11" s="0" t="n">
        <v>1.96864</v>
      </c>
      <c r="H11" s="0" t="n">
        <v>1.98455</v>
      </c>
      <c r="I11" s="0" t="n">
        <v>1.95545</v>
      </c>
      <c r="J11" s="0" t="n">
        <v>1.98202</v>
      </c>
      <c r="K11" s="0" t="n">
        <v>1.97956</v>
      </c>
      <c r="L11" s="0" t="n">
        <v>1.96754</v>
      </c>
      <c r="M11" s="0" t="n">
        <v>1.93171</v>
      </c>
      <c r="N11" s="0" t="n">
        <v>1.9633</v>
      </c>
      <c r="Q11" s="1" t="n">
        <f aca="false">LN(C11)-LN($B11)</f>
        <v>-0.00320895741006511</v>
      </c>
      <c r="R11" s="1" t="n">
        <f aca="false">C11-$B11</f>
        <v>-0.00632999999999995</v>
      </c>
      <c r="S11" s="1" t="n">
        <f aca="false">LN(D11)-LN($B11)</f>
        <v>0.0005060037451039</v>
      </c>
      <c r="T11" s="1" t="n">
        <f aca="false">D11-$B11</f>
        <v>0.00099999999999989</v>
      </c>
      <c r="U11" s="1" t="n">
        <f aca="false">LN(E11)-LN($B11)</f>
        <v>-0.00718243550925846</v>
      </c>
      <c r="V11" s="1" t="n">
        <f aca="false">E11-$B11</f>
        <v>-0.01414</v>
      </c>
      <c r="W11" s="1" t="n">
        <f aca="false">LN(F11)-LN($B11)</f>
        <v>-0.0042504045567735</v>
      </c>
      <c r="X11" s="1" t="n">
        <f aca="false">F11-$B11</f>
        <v>-0.00838000000000005</v>
      </c>
      <c r="Y11" s="1" t="n">
        <f aca="false">LN(G11)-LN($B11)</f>
        <v>-0.00361524677493574</v>
      </c>
      <c r="Z11" s="1" t="n">
        <f aca="false">G11-$B11</f>
        <v>-0.00713000000000008</v>
      </c>
      <c r="AA11" s="1" t="n">
        <f aca="false">LN(H11)-LN($B11)</f>
        <v>0.0044339923969644</v>
      </c>
      <c r="AB11" s="1" t="n">
        <f aca="false">H11-$B11</f>
        <v>0.00878000000000001</v>
      </c>
      <c r="AC11" s="1" t="n">
        <f aca="false">LN(I11)-LN($B11)</f>
        <v>-0.0103378498115798</v>
      </c>
      <c r="AD11" s="1" t="n">
        <f aca="false">I11-$B11</f>
        <v>-0.0203200000000001</v>
      </c>
      <c r="AE11" s="1" t="n">
        <f aca="false">LN(J11)-LN($B11)</f>
        <v>0.00315833088432671</v>
      </c>
      <c r="AF11" s="1" t="n">
        <f aca="false">J11-$B11</f>
        <v>0.00624999999999987</v>
      </c>
      <c r="AG11" s="1" t="n">
        <f aca="false">LN(K11)-LN($B11)</f>
        <v>0.00191640199929122</v>
      </c>
      <c r="AH11" s="1" t="n">
        <f aca="false">K11-$B11</f>
        <v>0.00378999999999996</v>
      </c>
      <c r="AI11" s="1" t="n">
        <f aca="false">LN(L11)-LN($B11)</f>
        <v>-0.00417416431866369</v>
      </c>
      <c r="AJ11" s="1" t="n">
        <f aca="false">L11-$B11</f>
        <v>-0.00822999999999996</v>
      </c>
      <c r="AK11" s="1" t="n">
        <f aca="false">LN(M11)-LN($B11)</f>
        <v>-0.022552574785917</v>
      </c>
      <c r="AL11" s="1" t="n">
        <f aca="false">M11-$B11</f>
        <v>-0.04406</v>
      </c>
      <c r="AM11" s="1" t="n">
        <f aca="false">LN(N11)-LN($B11)</f>
        <v>-0.00633146486734748</v>
      </c>
      <c r="AN11" s="1" t="n">
        <f aca="false">N11-$B11</f>
        <v>-0.01247</v>
      </c>
    </row>
    <row r="12" customFormat="false" ht="15" hidden="false" customHeight="false" outlineLevel="0" collapsed="false">
      <c r="A12" s="0" t="n">
        <f aca="false">1+A11</f>
        <v>10</v>
      </c>
      <c r="B12" s="0" t="n">
        <v>1.57221</v>
      </c>
      <c r="C12" s="0" t="n">
        <v>1.56771</v>
      </c>
      <c r="D12" s="0" t="n">
        <v>1.57612</v>
      </c>
      <c r="E12" s="0" t="n">
        <v>1.5646</v>
      </c>
      <c r="F12" s="0" t="n">
        <v>1.56488</v>
      </c>
      <c r="G12" s="0" t="n">
        <v>1.57043</v>
      </c>
      <c r="H12" s="0" t="n">
        <v>1.57914</v>
      </c>
      <c r="I12" s="0" t="n">
        <v>1.55525</v>
      </c>
      <c r="J12" s="0" t="n">
        <v>1.57929</v>
      </c>
      <c r="K12" s="0" t="n">
        <v>1.57462</v>
      </c>
      <c r="L12" s="0" t="n">
        <v>1.56766</v>
      </c>
      <c r="M12" s="0" t="n">
        <v>1.53981</v>
      </c>
      <c r="N12" s="0" t="n">
        <v>1.56153</v>
      </c>
      <c r="Q12" s="1" t="n">
        <f aca="false">LN(C12)-LN($B12)</f>
        <v>-0.00286631702776807</v>
      </c>
      <c r="R12" s="1" t="n">
        <f aca="false">C12-$B12</f>
        <v>-0.00450000000000017</v>
      </c>
      <c r="S12" s="1" t="n">
        <f aca="false">LN(D12)-LN($B12)</f>
        <v>0.00248385779778137</v>
      </c>
      <c r="T12" s="1" t="n">
        <f aca="false">D12-$B12</f>
        <v>0.00390999999999986</v>
      </c>
      <c r="U12" s="1" t="n">
        <f aca="false">LN(E12)-LN($B12)</f>
        <v>-0.00485207260237747</v>
      </c>
      <c r="V12" s="1" t="n">
        <f aca="false">E12-$B12</f>
        <v>-0.00761000000000012</v>
      </c>
      <c r="W12" s="1" t="n">
        <f aca="false">LN(F12)-LN($B12)</f>
        <v>-0.00467312913525375</v>
      </c>
      <c r="X12" s="1" t="n">
        <f aca="false">F12-$B12</f>
        <v>-0.00733000000000006</v>
      </c>
      <c r="Y12" s="1" t="n">
        <f aca="false">LN(G12)-LN($B12)</f>
        <v>-0.00113280566043117</v>
      </c>
      <c r="Z12" s="1" t="n">
        <f aca="false">G12-$B12</f>
        <v>-0.00178000000000011</v>
      </c>
      <c r="AA12" s="1" t="n">
        <f aca="false">LN(H12)-LN($B12)</f>
        <v>0.00439812218309948</v>
      </c>
      <c r="AB12" s="1" t="n">
        <f aca="false">H12-$B12</f>
        <v>0.00692999999999988</v>
      </c>
      <c r="AC12" s="1" t="n">
        <f aca="false">LN(I12)-LN($B12)</f>
        <v>-0.0108459684582286</v>
      </c>
      <c r="AD12" s="1" t="n">
        <f aca="false">I12-$B12</f>
        <v>-0.0169600000000001</v>
      </c>
      <c r="AE12" s="1" t="n">
        <f aca="false">LN(J12)-LN($B12)</f>
        <v>0.00449310608339987</v>
      </c>
      <c r="AF12" s="1" t="n">
        <f aca="false">J12-$B12</f>
        <v>0.00707999999999998</v>
      </c>
      <c r="AG12" s="1" t="n">
        <f aca="false">LN(K12)-LN($B12)</f>
        <v>0.00153170045485529</v>
      </c>
      <c r="AH12" s="1" t="n">
        <f aca="false">K12-$B12</f>
        <v>0.0024099999999998</v>
      </c>
      <c r="AI12" s="1" t="n">
        <f aca="false">LN(L12)-LN($B12)</f>
        <v>-0.00289821119018213</v>
      </c>
      <c r="AJ12" s="1" t="n">
        <f aca="false">L12-$B12</f>
        <v>-0.00455000000000005</v>
      </c>
      <c r="AK12" s="1" t="n">
        <f aca="false">LN(M12)-LN($B12)</f>
        <v>-0.0208232406805812</v>
      </c>
      <c r="AL12" s="1" t="n">
        <f aca="false">M12-$B12</f>
        <v>-0.0324000000000002</v>
      </c>
      <c r="AM12" s="1" t="n">
        <f aca="false">LN(N12)-LN($B12)</f>
        <v>-0.00681616301890886</v>
      </c>
      <c r="AN12" s="1" t="n">
        <f aca="false">N12-$B12</f>
        <v>-0.01068</v>
      </c>
    </row>
    <row r="13" customFormat="false" ht="15" hidden="false" customHeight="false" outlineLevel="0" collapsed="false">
      <c r="A13" s="0" t="n">
        <f aca="false">1+A12</f>
        <v>11</v>
      </c>
      <c r="B13" s="0" t="n">
        <v>1.19549</v>
      </c>
      <c r="C13" s="0" t="n">
        <v>1.19499</v>
      </c>
      <c r="D13" s="0" t="n">
        <v>1.20242</v>
      </c>
      <c r="E13" s="0" t="n">
        <v>1.18438</v>
      </c>
      <c r="F13" s="0" t="n">
        <v>1.19309</v>
      </c>
      <c r="G13" s="0" t="n">
        <v>1.19753</v>
      </c>
      <c r="H13" s="0" t="n">
        <v>1.20456</v>
      </c>
      <c r="I13" s="0" t="n">
        <v>1.18298</v>
      </c>
      <c r="J13" s="0" t="n">
        <v>1.20243</v>
      </c>
      <c r="K13" s="0" t="n">
        <v>1.19686</v>
      </c>
      <c r="L13" s="0" t="n">
        <v>1.19443</v>
      </c>
      <c r="M13" s="0" t="n">
        <v>1.17419</v>
      </c>
      <c r="N13" s="0" t="n">
        <v>1.19253</v>
      </c>
      <c r="Q13" s="1" t="n">
        <f aca="false">LN(C13)-LN($B13)</f>
        <v>-0.0004183260326725</v>
      </c>
      <c r="R13" s="1" t="n">
        <f aca="false">C13-$B13</f>
        <v>-0.000499999999999945</v>
      </c>
      <c r="S13" s="1" t="n">
        <f aca="false">LN(D13)-LN($B13)</f>
        <v>0.0057800495378651</v>
      </c>
      <c r="T13" s="1" t="n">
        <f aca="false">D13-$B13</f>
        <v>0.0069300000000001</v>
      </c>
      <c r="U13" s="1" t="n">
        <f aca="false">LN(E13)-LN($B13)</f>
        <v>-0.00933671226466915</v>
      </c>
      <c r="V13" s="1" t="n">
        <f aca="false">E13-$B13</f>
        <v>-0.01111</v>
      </c>
      <c r="W13" s="1" t="n">
        <f aca="false">LN(F13)-LN($B13)</f>
        <v>-0.00200956284291795</v>
      </c>
      <c r="X13" s="1" t="n">
        <f aca="false">F13-$B13</f>
        <v>-0.00239999999999996</v>
      </c>
      <c r="Y13" s="1" t="n">
        <f aca="false">LN(G13)-LN($B13)</f>
        <v>0.00170495900090303</v>
      </c>
      <c r="Z13" s="1" t="n">
        <f aca="false">G13-$B13</f>
        <v>0.00204000000000004</v>
      </c>
      <c r="AA13" s="1" t="n">
        <f aca="false">LN(H13)-LN($B13)</f>
        <v>0.00755821185235484</v>
      </c>
      <c r="AB13" s="1" t="n">
        <f aca="false">H13-$B13</f>
        <v>0.00907000000000013</v>
      </c>
      <c r="AC13" s="1" t="n">
        <f aca="false">LN(I13)-LN($B13)</f>
        <v>-0.0105194644977097</v>
      </c>
      <c r="AD13" s="1" t="n">
        <f aca="false">I13-$B13</f>
        <v>-0.01251</v>
      </c>
      <c r="AE13" s="1" t="n">
        <f aca="false">LN(J13)-LN($B13)</f>
        <v>0.00578836606488353</v>
      </c>
      <c r="AF13" s="1" t="n">
        <f aca="false">J13-$B13</f>
        <v>0.00694000000000017</v>
      </c>
      <c r="AG13" s="1" t="n">
        <f aca="false">LN(K13)-LN($B13)</f>
        <v>0.00114531749096783</v>
      </c>
      <c r="AH13" s="1" t="n">
        <f aca="false">K13-$B13</f>
        <v>0.00137000000000009</v>
      </c>
      <c r="AI13" s="1" t="n">
        <f aca="false">LN(L13)-LN($B13)</f>
        <v>-0.000887059039220595</v>
      </c>
      <c r="AJ13" s="1" t="n">
        <f aca="false">L13-$B13</f>
        <v>-0.00105999999999984</v>
      </c>
      <c r="AK13" s="1" t="n">
        <f aca="false">LN(M13)-LN($B13)</f>
        <v>-0.0179775950053355</v>
      </c>
      <c r="AL13" s="1" t="n">
        <f aca="false">M13-$B13</f>
        <v>-0.0212999999999999</v>
      </c>
      <c r="AM13" s="1" t="n">
        <f aca="false">LN(N13)-LN($B13)</f>
        <v>-0.00247904248367026</v>
      </c>
      <c r="AN13" s="1" t="n">
        <f aca="false">N13-$B13</f>
        <v>-0.00295999999999985</v>
      </c>
    </row>
    <row r="14" customFormat="false" ht="15" hidden="false" customHeight="false" outlineLevel="0" collapsed="false">
      <c r="A14" s="0" t="n">
        <f aca="false">1+A13</f>
        <v>12</v>
      </c>
      <c r="B14" s="0" t="n">
        <v>0.885878</v>
      </c>
      <c r="C14" s="0" t="n">
        <v>0.888299</v>
      </c>
      <c r="D14" s="0" t="n">
        <v>0.889386</v>
      </c>
      <c r="E14" s="0" t="n">
        <v>0.875717</v>
      </c>
      <c r="F14" s="0" t="n">
        <v>0.886933</v>
      </c>
      <c r="G14" s="0" t="n">
        <v>0.890593</v>
      </c>
      <c r="H14" s="0" t="n">
        <v>0.894826</v>
      </c>
      <c r="I14" s="0" t="n">
        <v>0.875815</v>
      </c>
      <c r="J14" s="0" t="n">
        <v>0.894839</v>
      </c>
      <c r="K14" s="0" t="n">
        <v>0.890067</v>
      </c>
      <c r="L14" s="0" t="n">
        <v>0.884805</v>
      </c>
      <c r="M14" s="0" t="n">
        <v>0.871168</v>
      </c>
      <c r="N14" s="0" t="n">
        <v>0.884218</v>
      </c>
      <c r="Q14" s="1" t="n">
        <f aca="false">LN(C14)-LN($B14)</f>
        <v>0.00272915442223744</v>
      </c>
      <c r="R14" s="1" t="n">
        <f aca="false">C14-$B14</f>
        <v>0.0024209999999999</v>
      </c>
      <c r="S14" s="1" t="n">
        <f aca="false">LN(D14)-LN($B14)</f>
        <v>0.00395209339677416</v>
      </c>
      <c r="T14" s="1" t="n">
        <f aca="false">D14-$B14</f>
        <v>0.00350799999999996</v>
      </c>
      <c r="U14" s="1" t="n">
        <f aca="false">LN(E14)-LN($B14)</f>
        <v>-0.0115362642262337</v>
      </c>
      <c r="V14" s="1" t="n">
        <f aca="false">E14-$B14</f>
        <v>-0.0101610000000001</v>
      </c>
      <c r="W14" s="1" t="n">
        <f aca="false">LN(F14)-LN($B14)</f>
        <v>0.00119020033668635</v>
      </c>
      <c r="X14" s="1" t="n">
        <f aca="false">F14-$B14</f>
        <v>0.00105499999999992</v>
      </c>
      <c r="Y14" s="1" t="n">
        <f aca="false">LN(G14)-LN($B14)</f>
        <v>0.00530828937998476</v>
      </c>
      <c r="Z14" s="1" t="n">
        <f aca="false">G14-$B14</f>
        <v>0.00471499999999991</v>
      </c>
      <c r="AA14" s="1" t="n">
        <f aca="false">LN(H14)-LN($B14)</f>
        <v>0.0100500423593203</v>
      </c>
      <c r="AB14" s="1" t="n">
        <f aca="false">H14-$B14</f>
        <v>0.00894799999999996</v>
      </c>
      <c r="AC14" s="1" t="n">
        <f aca="false">LN(I14)-LN($B14)</f>
        <v>-0.0114243621883579</v>
      </c>
      <c r="AD14" s="1" t="n">
        <f aca="false">I14-$B14</f>
        <v>-0.010063</v>
      </c>
      <c r="AE14" s="1" t="n">
        <f aca="false">LN(J14)-LN($B14)</f>
        <v>0.0100645702178863</v>
      </c>
      <c r="AF14" s="1" t="n">
        <f aca="false">J14-$B14</f>
        <v>0.008961</v>
      </c>
      <c r="AG14" s="1" t="n">
        <f aca="false">LN(K14)-LN($B14)</f>
        <v>0.00471749718461978</v>
      </c>
      <c r="AH14" s="1" t="n">
        <f aca="false">K14-$B14</f>
        <v>0.004189</v>
      </c>
      <c r="AI14" s="1" t="n">
        <f aca="false">LN(L14)-LN($B14)</f>
        <v>-0.001211961860299</v>
      </c>
      <c r="AJ14" s="1" t="n">
        <f aca="false">L14-$B14</f>
        <v>-0.0010730000000001</v>
      </c>
      <c r="AK14" s="1" t="n">
        <f aca="false">LN(M14)-LN($B14)</f>
        <v>-0.0167444036086463</v>
      </c>
      <c r="AL14" s="1" t="n">
        <f aca="false">M14-$B14</f>
        <v>-0.01471</v>
      </c>
      <c r="AM14" s="1" t="n">
        <f aca="false">LN(N14)-LN($B14)</f>
        <v>-0.00187560503683655</v>
      </c>
      <c r="AN14" s="1" t="n">
        <f aca="false">N14-$B14</f>
        <v>-0.00166000000000011</v>
      </c>
    </row>
    <row r="15" customFormat="false" ht="15" hidden="false" customHeight="false" outlineLevel="0" collapsed="false">
      <c r="A15" s="0" t="n">
        <f aca="false">1+A14</f>
        <v>13</v>
      </c>
      <c r="B15" s="0" t="n">
        <v>0.620956</v>
      </c>
      <c r="C15" s="0" t="n">
        <v>0.625555</v>
      </c>
      <c r="D15" s="0" t="n">
        <v>0.621984</v>
      </c>
      <c r="E15" s="0" t="n">
        <v>0.610831</v>
      </c>
      <c r="F15" s="0" t="n">
        <v>0.622658</v>
      </c>
      <c r="G15" s="0" t="n">
        <v>0.625594</v>
      </c>
      <c r="H15" s="0" t="n">
        <v>0.628372</v>
      </c>
      <c r="I15" s="0" t="n">
        <v>0.610382</v>
      </c>
      <c r="J15" s="0" t="n">
        <v>0.631537</v>
      </c>
      <c r="K15" s="0" t="n">
        <v>0.624253</v>
      </c>
      <c r="L15" s="0" t="n">
        <v>0.619989</v>
      </c>
      <c r="M15" s="0" t="n">
        <v>0.612309</v>
      </c>
      <c r="N15" s="0" t="n">
        <v>0.621298</v>
      </c>
      <c r="Q15" s="1" t="n">
        <f aca="false">LN(C15)-LN($B15)</f>
        <v>0.00737902973655935</v>
      </c>
      <c r="R15" s="1" t="n">
        <f aca="false">C15-$B15</f>
        <v>0.00459900000000002</v>
      </c>
      <c r="S15" s="1" t="n">
        <f aca="false">LN(D15)-LN($B15)</f>
        <v>0.00165414297456062</v>
      </c>
      <c r="T15" s="1" t="n">
        <f aca="false">D15-$B15</f>
        <v>0.00102800000000003</v>
      </c>
      <c r="U15" s="1" t="n">
        <f aca="false">LN(E15)-LN($B15)</f>
        <v>-0.0164399007938394</v>
      </c>
      <c r="V15" s="1" t="n">
        <f aca="false">E15-$B15</f>
        <v>-0.0101249999999999</v>
      </c>
      <c r="W15" s="1" t="n">
        <f aca="false">LN(F15)-LN($B15)</f>
        <v>0.0027371854331672</v>
      </c>
      <c r="X15" s="1" t="n">
        <f aca="false">F15-$B15</f>
        <v>0.00170200000000009</v>
      </c>
      <c r="Y15" s="1" t="n">
        <f aca="false">LN(G15)-LN($B15)</f>
        <v>0.00744137243117471</v>
      </c>
      <c r="Z15" s="1" t="n">
        <f aca="false">G15-$B15</f>
        <v>0.00463800000000003</v>
      </c>
      <c r="AA15" s="1" t="n">
        <f aca="false">LN(H15)-LN($B15)</f>
        <v>0.0118721218210308</v>
      </c>
      <c r="AB15" s="1" t="n">
        <f aca="false">H15-$B15</f>
        <v>0.00741600000000009</v>
      </c>
      <c r="AC15" s="1" t="n">
        <f aca="false">LN(I15)-LN($B15)</f>
        <v>-0.0171752352854176</v>
      </c>
      <c r="AD15" s="1" t="n">
        <f aca="false">I15-$B15</f>
        <v>-0.010574</v>
      </c>
      <c r="AE15" s="1" t="n">
        <f aca="false">LN(J15)-LN($B15)</f>
        <v>0.01689630477025</v>
      </c>
      <c r="AF15" s="1" t="n">
        <f aca="false">J15-$B15</f>
        <v>0.0105810000000001</v>
      </c>
      <c r="AG15" s="1" t="n">
        <f aca="false">LN(K15)-LN($B15)</f>
        <v>0.00529550895415937</v>
      </c>
      <c r="AH15" s="1" t="n">
        <f aca="false">K15-$B15</f>
        <v>0.00329699999999999</v>
      </c>
      <c r="AI15" s="1" t="n">
        <f aca="false">LN(L15)-LN($B15)</f>
        <v>-0.00155849001483238</v>
      </c>
      <c r="AJ15" s="1" t="n">
        <f aca="false">L15-$B15</f>
        <v>-0.00096699999999994</v>
      </c>
      <c r="AK15" s="1" t="n">
        <f aca="false">LN(M15)-LN($B15)</f>
        <v>-0.0140231689080924</v>
      </c>
      <c r="AL15" s="1" t="n">
        <f aca="false">M15-$B15</f>
        <v>-0.00864699999999996</v>
      </c>
      <c r="AM15" s="1" t="n">
        <f aca="false">LN(N15)-LN($B15)</f>
        <v>0.000550612046554877</v>
      </c>
      <c r="AN15" s="1" t="n">
        <f aca="false">N15-$B15</f>
        <v>0.000342000000000065</v>
      </c>
    </row>
    <row r="16" customFormat="false" ht="15" hidden="false" customHeight="false" outlineLevel="0" collapsed="false">
      <c r="A16" s="0" t="n">
        <f aca="false">1+A15</f>
        <v>14</v>
      </c>
      <c r="B16" s="0" t="n">
        <v>0.422272</v>
      </c>
      <c r="C16" s="0" t="n">
        <v>0.426741</v>
      </c>
      <c r="D16" s="0" t="n">
        <v>0.42302</v>
      </c>
      <c r="E16" s="0" t="n">
        <v>0.413288</v>
      </c>
      <c r="F16" s="0" t="n">
        <v>0.426263</v>
      </c>
      <c r="G16" s="0" t="n">
        <v>0.4274</v>
      </c>
      <c r="H16" s="0" t="n">
        <v>0.427739</v>
      </c>
      <c r="I16" s="0" t="n">
        <v>0.413937</v>
      </c>
      <c r="J16" s="0" t="n">
        <v>0.430566</v>
      </c>
      <c r="K16" s="0" t="n">
        <v>0.423368</v>
      </c>
      <c r="L16" s="0" t="n">
        <v>0.420541</v>
      </c>
      <c r="M16" s="0" t="n">
        <v>0.418143</v>
      </c>
      <c r="N16" s="0" t="n">
        <v>0.42346</v>
      </c>
      <c r="Q16" s="1" t="n">
        <f aca="false">LN(C16)-LN($B16)</f>
        <v>0.0105276156551677</v>
      </c>
      <c r="R16" s="1" t="n">
        <f aca="false">C16-$B16</f>
        <v>0.004469</v>
      </c>
      <c r="S16" s="1" t="n">
        <f aca="false">LN(D16)-LN($B16)</f>
        <v>0.00176980308636709</v>
      </c>
      <c r="T16" s="1" t="n">
        <f aca="false">D16-$B16</f>
        <v>0.000748000000000026</v>
      </c>
      <c r="U16" s="1" t="n">
        <f aca="false">LN(E16)-LN($B16)</f>
        <v>-0.0215049696694514</v>
      </c>
      <c r="V16" s="1" t="n">
        <f aca="false">E16-$B16</f>
        <v>-0.00898399999999999</v>
      </c>
      <c r="W16" s="1" t="n">
        <f aca="false">LN(F16)-LN($B16)</f>
        <v>0.00940687050031863</v>
      </c>
      <c r="X16" s="1" t="n">
        <f aca="false">F16-$B16</f>
        <v>0.00399100000000002</v>
      </c>
      <c r="Y16" s="1" t="n">
        <f aca="false">LN(G16)-LN($B16)</f>
        <v>0.0120706867189858</v>
      </c>
      <c r="Z16" s="1" t="n">
        <f aca="false">G16-$B16</f>
        <v>0.00512800000000002</v>
      </c>
      <c r="AA16" s="1" t="n">
        <f aca="false">LN(H16)-LN($B16)</f>
        <v>0.012863540319999</v>
      </c>
      <c r="AB16" s="1" t="n">
        <f aca="false">H16-$B16</f>
        <v>0.005467</v>
      </c>
      <c r="AC16" s="1" t="n">
        <f aca="false">LN(I16)-LN($B16)</f>
        <v>-0.0199358678334152</v>
      </c>
      <c r="AD16" s="1" t="n">
        <f aca="false">I16-$B16</f>
        <v>-0.00833499999999998</v>
      </c>
      <c r="AE16" s="1" t="n">
        <f aca="false">LN(J16)-LN($B16)</f>
        <v>0.0194509660554606</v>
      </c>
      <c r="AF16" s="1" t="n">
        <f aca="false">J16-$B16</f>
        <v>0.00829400000000002</v>
      </c>
      <c r="AG16" s="1" t="n">
        <f aca="false">LN(K16)-LN($B16)</f>
        <v>0.00259212102946171</v>
      </c>
      <c r="AH16" s="1" t="n">
        <f aca="false">K16-$B16</f>
        <v>0.00109600000000004</v>
      </c>
      <c r="AI16" s="1" t="n">
        <f aca="false">LN(L16)-LN($B16)</f>
        <v>-0.00410767853351302</v>
      </c>
      <c r="AJ16" s="1" t="n">
        <f aca="false">L16-$B16</f>
        <v>-0.00173099999999998</v>
      </c>
      <c r="AK16" s="1" t="n">
        <f aca="false">LN(M16)-LN($B16)</f>
        <v>-0.00982617688281007</v>
      </c>
      <c r="AL16" s="1" t="n">
        <f aca="false">M16-$B16</f>
        <v>-0.00412899999999999</v>
      </c>
      <c r="AM16" s="1" t="n">
        <f aca="false">LN(N16)-LN($B16)</f>
        <v>0.00280940246172878</v>
      </c>
      <c r="AN16" s="1" t="n">
        <f aca="false">N16-$B16</f>
        <v>0.00118800000000002</v>
      </c>
    </row>
    <row r="17" customFormat="false" ht="15" hidden="false" customHeight="false" outlineLevel="0" collapsed="false">
      <c r="A17" s="0" t="n">
        <f aca="false">1+A16</f>
        <v>15</v>
      </c>
      <c r="B17" s="0" t="n">
        <v>0.274942</v>
      </c>
      <c r="C17" s="0" t="n">
        <v>0.278558</v>
      </c>
      <c r="D17" s="0" t="n">
        <v>0.274997</v>
      </c>
      <c r="E17" s="0" t="n">
        <v>0.268876</v>
      </c>
      <c r="F17" s="0" t="n">
        <v>0.279365</v>
      </c>
      <c r="G17" s="0" t="n">
        <v>0.27881</v>
      </c>
      <c r="H17" s="0" t="n">
        <v>0.279284</v>
      </c>
      <c r="I17" s="0" t="n">
        <v>0.267482</v>
      </c>
      <c r="J17" s="0" t="n">
        <v>0.282408</v>
      </c>
      <c r="K17" s="0" t="n">
        <v>0.276431</v>
      </c>
      <c r="L17" s="0" t="n">
        <v>0.275185</v>
      </c>
      <c r="M17" s="0" t="n">
        <v>0.272498</v>
      </c>
      <c r="N17" s="0" t="n">
        <v>0.275989</v>
      </c>
      <c r="Q17" s="1" t="n">
        <f aca="false">LN(C17)-LN($B17)</f>
        <v>0.0130661298811572</v>
      </c>
      <c r="R17" s="1" t="n">
        <f aca="false">C17-$B17</f>
        <v>0.00361599999999995</v>
      </c>
      <c r="S17" s="1" t="n">
        <f aca="false">LN(D17)-LN($B17)</f>
        <v>0.000200022184945414</v>
      </c>
      <c r="T17" s="1" t="n">
        <f aca="false">D17-$B17</f>
        <v>5.49999999999717E-005</v>
      </c>
      <c r="U17" s="1" t="n">
        <f aca="false">LN(E17)-LN($B17)</f>
        <v>-0.0223098595498623</v>
      </c>
      <c r="V17" s="1" t="n">
        <f aca="false">E17-$B17</f>
        <v>-0.00606600000000002</v>
      </c>
      <c r="W17" s="1" t="n">
        <f aca="false">LN(F17)-LN($B17)</f>
        <v>0.0159590042125488</v>
      </c>
      <c r="X17" s="1" t="n">
        <f aca="false">F17-$B17</f>
        <v>0.00442299999999996</v>
      </c>
      <c r="Y17" s="1" t="n">
        <f aca="false">LN(G17)-LN($B17)</f>
        <v>0.013970379917654</v>
      </c>
      <c r="Z17" s="1" t="n">
        <f aca="false">G17-$B17</f>
        <v>0.00386799999999998</v>
      </c>
      <c r="AA17" s="1" t="n">
        <f aca="false">LN(H17)-LN($B17)</f>
        <v>0.0156690189066855</v>
      </c>
      <c r="AB17" s="1" t="n">
        <f aca="false">H17-$B17</f>
        <v>0.00434199999999996</v>
      </c>
      <c r="AC17" s="1" t="n">
        <f aca="false">LN(I17)-LN($B17)</f>
        <v>-0.0275078919788319</v>
      </c>
      <c r="AD17" s="1" t="n">
        <f aca="false">I17-$B17</f>
        <v>-0.00746000000000002</v>
      </c>
      <c r="AE17" s="1" t="n">
        <f aca="false">LN(J17)-LN($B17)</f>
        <v>0.0267926674985253</v>
      </c>
      <c r="AF17" s="1" t="n">
        <f aca="false">J17-$B17</f>
        <v>0.00746599999999997</v>
      </c>
      <c r="AG17" s="1" t="n">
        <f aca="false">LN(K17)-LN($B17)</f>
        <v>0.00540107556847991</v>
      </c>
      <c r="AH17" s="1" t="n">
        <f aca="false">K17-$B17</f>
        <v>0.00148899999999996</v>
      </c>
      <c r="AI17" s="1" t="n">
        <f aca="false">LN(L17)-LN($B17)</f>
        <v>0.000883432428527176</v>
      </c>
      <c r="AJ17" s="1" t="n">
        <f aca="false">L17-$B17</f>
        <v>0.000242999999999993</v>
      </c>
      <c r="AK17" s="1" t="n">
        <f aca="false">LN(M17)-LN($B17)</f>
        <v>-0.0089288917043886</v>
      </c>
      <c r="AL17" s="1" t="n">
        <f aca="false">M17-$B17</f>
        <v>-0.002444</v>
      </c>
      <c r="AM17" s="1" t="n">
        <f aca="false">LN(N17)-LN($B17)</f>
        <v>0.00380084351923959</v>
      </c>
      <c r="AN17" s="1" t="n">
        <f aca="false">N17-$B17</f>
        <v>0.00104699999999996</v>
      </c>
    </row>
    <row r="18" customFormat="false" ht="15" hidden="false" customHeight="false" outlineLevel="0" collapsed="false">
      <c r="A18" s="0" t="n">
        <f aca="false">1+A17</f>
        <v>16</v>
      </c>
      <c r="B18" s="0" t="n">
        <v>0.173589</v>
      </c>
      <c r="C18" s="0" t="n">
        <v>0.178152</v>
      </c>
      <c r="D18" s="0" t="n">
        <v>0.174675</v>
      </c>
      <c r="E18" s="0" t="n">
        <v>0.170181</v>
      </c>
      <c r="F18" s="0" t="n">
        <v>0.178165</v>
      </c>
      <c r="G18" s="0" t="n">
        <v>0.177444</v>
      </c>
      <c r="H18" s="0" t="n">
        <v>0.177317</v>
      </c>
      <c r="I18" s="0" t="n">
        <v>0.167549</v>
      </c>
      <c r="J18" s="0" t="n">
        <v>0.180353</v>
      </c>
      <c r="K18" s="0" t="n">
        <v>0.175988</v>
      </c>
      <c r="L18" s="0" t="n">
        <v>0.17449</v>
      </c>
      <c r="M18" s="0" t="n">
        <v>0.174369</v>
      </c>
      <c r="N18" s="0" t="n">
        <v>0.175688</v>
      </c>
      <c r="Q18" s="1" t="n">
        <f aca="false">LN(C18)-LN($B18)</f>
        <v>0.0259466823199919</v>
      </c>
      <c r="R18" s="1" t="n">
        <f aca="false">C18-$B18</f>
        <v>0.00456300000000001</v>
      </c>
      <c r="S18" s="1" t="n">
        <f aca="false">LN(D18)-LN($B18)</f>
        <v>0.00623666827515068</v>
      </c>
      <c r="T18" s="1" t="n">
        <f aca="false">D18-$B18</f>
        <v>0.001086</v>
      </c>
      <c r="U18" s="1" t="n">
        <f aca="false">LN(E18)-LN($B18)</f>
        <v>-0.0198278596280614</v>
      </c>
      <c r="V18" s="1" t="n">
        <f aca="false">E18-$B18</f>
        <v>-0.00340799999999999</v>
      </c>
      <c r="W18" s="1" t="n">
        <f aca="false">LN(F18)-LN($B18)</f>
        <v>0.026019651052922</v>
      </c>
      <c r="X18" s="1" t="n">
        <f aca="false">F18-$B18</f>
        <v>0.004576</v>
      </c>
      <c r="Y18" s="1" t="n">
        <f aca="false">LN(G18)-LN($B18)</f>
        <v>0.021964630015987</v>
      </c>
      <c r="Z18" s="1" t="n">
        <f aca="false">G18-$B18</f>
        <v>0.003855</v>
      </c>
      <c r="AA18" s="1" t="n">
        <f aca="false">LN(H18)-LN($B18)</f>
        <v>0.021248655005063</v>
      </c>
      <c r="AB18" s="1" t="n">
        <f aca="false">H18-$B18</f>
        <v>0.00372800000000001</v>
      </c>
      <c r="AC18" s="1" t="n">
        <f aca="false">LN(I18)-LN($B18)</f>
        <v>-0.0354145903655065</v>
      </c>
      <c r="AD18" s="1" t="n">
        <f aca="false">I18-$B18</f>
        <v>-0.00603999999999999</v>
      </c>
      <c r="AE18" s="1" t="n">
        <f aca="false">LN(J18)-LN($B18)</f>
        <v>0.038225605369987</v>
      </c>
      <c r="AF18" s="1" t="n">
        <f aca="false">J18-$B18</f>
        <v>0.00676400000000002</v>
      </c>
      <c r="AG18" s="1" t="n">
        <f aca="false">LN(K18)-LN($B18)</f>
        <v>0.0137253747321204</v>
      </c>
      <c r="AH18" s="1" t="n">
        <f aca="false">K18-$B18</f>
        <v>0.00239900000000001</v>
      </c>
      <c r="AI18" s="1" t="n">
        <f aca="false">LN(L18)-LN($B18)</f>
        <v>0.00517699724677501</v>
      </c>
      <c r="AJ18" s="1" t="n">
        <f aca="false">L18-$B18</f>
        <v>0.000901000000000013</v>
      </c>
      <c r="AK18" s="1" t="n">
        <f aca="false">LN(M18)-LN($B18)</f>
        <v>0.00448330721812629</v>
      </c>
      <c r="AL18" s="1" t="n">
        <f aca="false">M18-$B18</f>
        <v>0.000780000000000003</v>
      </c>
      <c r="AM18" s="1" t="n">
        <f aca="false">LN(N18)-LN($B18)</f>
        <v>0.0120192584616283</v>
      </c>
      <c r="AN18" s="1" t="n">
        <f aca="false">N18-$B18</f>
        <v>0.00209900000000002</v>
      </c>
    </row>
    <row r="19" customFormat="false" ht="15" hidden="false" customHeight="false" outlineLevel="0" collapsed="false">
      <c r="A19" s="0" t="n">
        <f aca="false">1+A18</f>
        <v>17</v>
      </c>
      <c r="B19" s="0" t="n">
        <v>0.106165</v>
      </c>
      <c r="C19" s="0" t="n">
        <v>0.109497</v>
      </c>
      <c r="D19" s="0" t="n">
        <v>0.106811</v>
      </c>
      <c r="E19" s="0" t="n">
        <v>0.103223</v>
      </c>
      <c r="F19" s="0" t="n">
        <v>0.109482</v>
      </c>
      <c r="G19" s="0" t="n">
        <v>0.109325</v>
      </c>
      <c r="H19" s="0" t="n">
        <v>0.109361</v>
      </c>
      <c r="I19" s="0" t="n">
        <v>0.100933</v>
      </c>
      <c r="J19" s="0" t="n">
        <v>0.11177</v>
      </c>
      <c r="K19" s="0" t="n">
        <v>0.108255</v>
      </c>
      <c r="L19" s="0" t="n">
        <v>0.106705</v>
      </c>
      <c r="M19" s="0" t="n">
        <v>0.106583</v>
      </c>
      <c r="N19" s="0" t="n">
        <v>0.107982</v>
      </c>
      <c r="Q19" s="1" t="n">
        <f aca="false">LN(C19)-LN($B19)</f>
        <v>0.0309026639872125</v>
      </c>
      <c r="R19" s="1" t="n">
        <f aca="false">C19-$B19</f>
        <v>0.003332</v>
      </c>
      <c r="S19" s="1" t="n">
        <f aca="false">LN(D19)-LN($B19)</f>
        <v>0.00606642984326866</v>
      </c>
      <c r="T19" s="1" t="n">
        <f aca="false">D19-$B19</f>
        <v>0.000646000000000008</v>
      </c>
      <c r="U19" s="1" t="n">
        <f aca="false">LN(E19)-LN($B19)</f>
        <v>-0.0281027912006726</v>
      </c>
      <c r="V19" s="1" t="n">
        <f aca="false">E19-$B19</f>
        <v>-0.002942</v>
      </c>
      <c r="W19" s="1" t="n">
        <f aca="false">LN(F19)-LN($B19)</f>
        <v>0.0307656645486958</v>
      </c>
      <c r="X19" s="1" t="n">
        <f aca="false">F19-$B19</f>
        <v>0.003317</v>
      </c>
      <c r="Y19" s="1" t="n">
        <f aca="false">LN(G19)-LN($B19)</f>
        <v>0.029330609665227</v>
      </c>
      <c r="Z19" s="1" t="n">
        <f aca="false">G19-$B19</f>
        <v>0.00316000000000001</v>
      </c>
      <c r="AA19" s="1" t="n">
        <f aca="false">LN(H19)-LN($B19)</f>
        <v>0.0296598488513222</v>
      </c>
      <c r="AB19" s="1" t="n">
        <f aca="false">H19-$B19</f>
        <v>0.003196</v>
      </c>
      <c r="AC19" s="1" t="n">
        <f aca="false">LN(I19)-LN($B19)</f>
        <v>-0.0505375572539339</v>
      </c>
      <c r="AD19" s="1" t="n">
        <f aca="false">I19-$B19</f>
        <v>-0.005232</v>
      </c>
      <c r="AE19" s="1" t="n">
        <f aca="false">LN(J19)-LN($B19)</f>
        <v>0.0514487007637627</v>
      </c>
      <c r="AF19" s="1" t="n">
        <f aca="false">J19-$B19</f>
        <v>0.005605</v>
      </c>
      <c r="AG19" s="1" t="n">
        <f aca="false">LN(K19)-LN($B19)</f>
        <v>0.019495067558589</v>
      </c>
      <c r="AH19" s="1" t="n">
        <f aca="false">K19-$B19</f>
        <v>0.00209000000000001</v>
      </c>
      <c r="AI19" s="1" t="n">
        <f aca="false">LN(L19)-LN($B19)</f>
        <v>0.00507352993217669</v>
      </c>
      <c r="AJ19" s="1" t="n">
        <f aca="false">L19-$B19</f>
        <v>0.000539999999999999</v>
      </c>
      <c r="AK19" s="1" t="n">
        <f aca="false">LN(M19)-LN($B19)</f>
        <v>0.00392953670887941</v>
      </c>
      <c r="AL19" s="1" t="n">
        <f aca="false">M19-$B19</f>
        <v>0.000418000000000002</v>
      </c>
      <c r="AM19" s="1" t="n">
        <f aca="false">LN(N19)-LN($B19)</f>
        <v>0.0169700589333632</v>
      </c>
      <c r="AN19" s="1" t="n">
        <f aca="false">N19-$B19</f>
        <v>0.001817</v>
      </c>
    </row>
    <row r="20" customFormat="false" ht="15" hidden="false" customHeight="false" outlineLevel="0" collapsed="false">
      <c r="A20" s="0" t="n">
        <f aca="false">1+A19</f>
        <v>18</v>
      </c>
      <c r="B20" s="0" t="n">
        <v>0.0641529</v>
      </c>
      <c r="C20" s="0" t="n">
        <v>0.0670972</v>
      </c>
      <c r="D20" s="0" t="n">
        <v>0.0642535</v>
      </c>
      <c r="E20" s="0" t="n">
        <v>0.0618894</v>
      </c>
      <c r="F20" s="0" t="n">
        <v>0.0667771</v>
      </c>
      <c r="G20" s="0" t="n">
        <v>0.0667056</v>
      </c>
      <c r="H20" s="0" t="n">
        <v>0.0666197</v>
      </c>
      <c r="I20" s="0" t="n">
        <v>0.0600861</v>
      </c>
      <c r="J20" s="0" t="n">
        <v>0.0687255</v>
      </c>
      <c r="K20" s="0" t="n">
        <v>0.0652923</v>
      </c>
      <c r="L20" s="0" t="n">
        <v>0.0652952</v>
      </c>
      <c r="M20" s="0" t="n">
        <v>0.0645564</v>
      </c>
      <c r="N20" s="0" t="n">
        <v>0.066497</v>
      </c>
      <c r="Q20" s="1" t="n">
        <f aca="false">LN(C20)-LN($B20)</f>
        <v>0.0448730177569114</v>
      </c>
      <c r="R20" s="1" t="n">
        <f aca="false">C20-$B20</f>
        <v>0.0029443</v>
      </c>
      <c r="S20" s="1" t="n">
        <f aca="false">LN(D20)-LN($B20)</f>
        <v>0.00156690041279184</v>
      </c>
      <c r="T20" s="1" t="n">
        <f aca="false">D20-$B20</f>
        <v>0.000100600000000006</v>
      </c>
      <c r="U20" s="1" t="n">
        <f aca="false">LN(E20)-LN($B20)</f>
        <v>-0.0359203755022248</v>
      </c>
      <c r="V20" s="1" t="n">
        <f aca="false">E20-$B20</f>
        <v>-0.0022635</v>
      </c>
      <c r="W20" s="1" t="n">
        <f aca="false">LN(F20)-LN($B20)</f>
        <v>0.0400909108100476</v>
      </c>
      <c r="X20" s="1" t="n">
        <f aca="false">F20-$B20</f>
        <v>0.00262420000000001</v>
      </c>
      <c r="Y20" s="1" t="n">
        <f aca="false">LN(G20)-LN($B20)</f>
        <v>0.0390196108312746</v>
      </c>
      <c r="Z20" s="1" t="n">
        <f aca="false">G20-$B20</f>
        <v>0.00255270000000001</v>
      </c>
      <c r="AA20" s="1" t="n">
        <f aca="false">LN(H20)-LN($B20)</f>
        <v>0.0377310330161724</v>
      </c>
      <c r="AB20" s="1" t="n">
        <f aca="false">H20-$B20</f>
        <v>0.00246680000000001</v>
      </c>
      <c r="AC20" s="1" t="n">
        <f aca="false">LN(I20)-LN($B20)</f>
        <v>-0.0654907629934778</v>
      </c>
      <c r="AD20" s="1" t="n">
        <f aca="false">I20-$B20</f>
        <v>-0.0040668</v>
      </c>
      <c r="AE20" s="1" t="n">
        <f aca="false">LN(J20)-LN($B20)</f>
        <v>0.0688510128106912</v>
      </c>
      <c r="AF20" s="1" t="n">
        <f aca="false">J20-$B20</f>
        <v>0.0045726</v>
      </c>
      <c r="AG20" s="1" t="n">
        <f aca="false">LN(K20)-LN($B20)</f>
        <v>0.0176048154378305</v>
      </c>
      <c r="AH20" s="1" t="n">
        <f aca="false">K20-$B20</f>
        <v>0.0011394</v>
      </c>
      <c r="AI20" s="1" t="n">
        <f aca="false">LN(L20)-LN($B20)</f>
        <v>0.017649230102335</v>
      </c>
      <c r="AJ20" s="1" t="n">
        <f aca="false">L20-$B20</f>
        <v>0.0011423</v>
      </c>
      <c r="AK20" s="1" t="n">
        <f aca="false">LN(M20)-LN($B20)</f>
        <v>0.00626996373813071</v>
      </c>
      <c r="AL20" s="1" t="n">
        <f aca="false">M20-$B20</f>
        <v>0.000403500000000001</v>
      </c>
      <c r="AM20" s="1" t="n">
        <f aca="false">LN(N20)-LN($B20)</f>
        <v>0.0358875372752259</v>
      </c>
      <c r="AN20" s="1" t="n">
        <f aca="false">N20-$B20</f>
        <v>0.0023441</v>
      </c>
    </row>
    <row r="21" customFormat="false" ht="15" hidden="false" customHeight="false" outlineLevel="0" collapsed="false">
      <c r="A21" s="0" t="n">
        <f aca="false">1+A20</f>
        <v>19</v>
      </c>
      <c r="B21" s="0" t="n">
        <v>0.0379371</v>
      </c>
      <c r="C21" s="0" t="n">
        <v>0.0409123</v>
      </c>
      <c r="D21" s="0" t="n">
        <v>0.0381751</v>
      </c>
      <c r="E21" s="0" t="n">
        <v>0.036388</v>
      </c>
      <c r="F21" s="0" t="n">
        <v>0.040298</v>
      </c>
      <c r="G21" s="0" t="n">
        <v>0.0400991</v>
      </c>
      <c r="H21" s="0" t="n">
        <v>0.0393153</v>
      </c>
      <c r="I21" s="0" t="n">
        <v>0.0353207</v>
      </c>
      <c r="J21" s="0" t="n">
        <v>0.0412632</v>
      </c>
      <c r="K21" s="0" t="n">
        <v>0.0391715</v>
      </c>
      <c r="L21" s="0" t="n">
        <v>0.0393961</v>
      </c>
      <c r="M21" s="0" t="n">
        <v>0.0387951</v>
      </c>
      <c r="N21" s="0" t="n">
        <v>0.0403658</v>
      </c>
      <c r="Q21" s="1" t="n">
        <f aca="false">LN(C21)-LN($B21)</f>
        <v>0.0755012262270336</v>
      </c>
      <c r="R21" s="1" t="n">
        <f aca="false">C21-$B21</f>
        <v>0.0029752</v>
      </c>
      <c r="S21" s="1" t="n">
        <f aca="false">LN(D21)-LN($B21)</f>
        <v>0.00625394550985359</v>
      </c>
      <c r="T21" s="1" t="n">
        <f aca="false">D21-$B21</f>
        <v>0.000237999999999995</v>
      </c>
      <c r="U21" s="1" t="n">
        <f aca="false">LN(E21)-LN($B21)</f>
        <v>-0.0416904751469862</v>
      </c>
      <c r="V21" s="1" t="n">
        <f aca="false">E21-$B21</f>
        <v>-0.0015491</v>
      </c>
      <c r="W21" s="1" t="n">
        <f aca="false">LN(F21)-LN($B21)</f>
        <v>0.0603723148227733</v>
      </c>
      <c r="X21" s="1" t="n">
        <f aca="false">F21-$B21</f>
        <v>0.0023609</v>
      </c>
      <c r="Y21" s="1" t="n">
        <f aca="false">LN(G21)-LN($B21)</f>
        <v>0.0554243650635797</v>
      </c>
      <c r="Z21" s="1" t="n">
        <f aca="false">G21-$B21</f>
        <v>0.002162</v>
      </c>
      <c r="AA21" s="1" t="n">
        <f aca="false">LN(H21)-LN($B21)</f>
        <v>0.0356842309828793</v>
      </c>
      <c r="AB21" s="1" t="n">
        <f aca="false">H21-$B21</f>
        <v>0.0013782</v>
      </c>
      <c r="AC21" s="1" t="n">
        <f aca="false">LN(I21)-LN($B21)</f>
        <v>-0.0714603307678852</v>
      </c>
      <c r="AD21" s="1" t="n">
        <f aca="false">I21-$B21</f>
        <v>-0.00261640000000001</v>
      </c>
      <c r="AE21" s="1" t="n">
        <f aca="false">LN(J21)-LN($B21)</f>
        <v>0.0840415364848086</v>
      </c>
      <c r="AF21" s="1" t="n">
        <f aca="false">J21-$B21</f>
        <v>0.0033261</v>
      </c>
      <c r="AG21" s="1" t="n">
        <f aca="false">LN(K21)-LN($B21)</f>
        <v>0.0320199164509432</v>
      </c>
      <c r="AH21" s="1" t="n">
        <f aca="false">K21-$B21</f>
        <v>0.0012344</v>
      </c>
      <c r="AI21" s="1" t="n">
        <f aca="false">LN(L21)-LN($B21)</f>
        <v>0.0377373015261973</v>
      </c>
      <c r="AJ21" s="1" t="n">
        <f aca="false">L21-$B21</f>
        <v>0.001459</v>
      </c>
      <c r="AK21" s="1" t="n">
        <f aca="false">LN(M21)-LN($B21)</f>
        <v>0.0223644248875483</v>
      </c>
      <c r="AL21" s="1" t="n">
        <f aca="false">M21-$B21</f>
        <v>0.000857999999999998</v>
      </c>
      <c r="AM21" s="1" t="n">
        <f aca="false">LN(N21)-LN($B21)</f>
        <v>0.0620533666940348</v>
      </c>
      <c r="AN21" s="1" t="n">
        <f aca="false">N21-$B21</f>
        <v>0.0024287</v>
      </c>
    </row>
    <row r="22" customFormat="false" ht="15" hidden="false" customHeight="false" outlineLevel="0" collapsed="false">
      <c r="A22" s="0" t="n">
        <f aca="false">1+A21</f>
        <v>20</v>
      </c>
      <c r="B22" s="0" t="n">
        <v>0.0220848</v>
      </c>
      <c r="C22" s="0" t="n">
        <v>0.0245705</v>
      </c>
      <c r="D22" s="0" t="n">
        <v>0.0224785</v>
      </c>
      <c r="E22" s="0" t="n">
        <v>0.0208057</v>
      </c>
      <c r="F22" s="0" t="n">
        <v>0.0237693</v>
      </c>
      <c r="G22" s="0" t="n">
        <v>0.0239373</v>
      </c>
      <c r="H22" s="0" t="n">
        <v>0.0233616</v>
      </c>
      <c r="I22" s="0" t="n">
        <v>0.0205183</v>
      </c>
      <c r="J22" s="0" t="n">
        <v>0.0246531</v>
      </c>
      <c r="K22" s="0" t="n">
        <v>0.0231086</v>
      </c>
      <c r="L22" s="0" t="n">
        <v>0.0232305</v>
      </c>
      <c r="M22" s="0" t="n">
        <v>0.0227435</v>
      </c>
      <c r="N22" s="0" t="n">
        <v>0.0246182</v>
      </c>
      <c r="Q22" s="1" t="n">
        <f aca="false">LN(C22)-LN($B22)</f>
        <v>0.106656947259202</v>
      </c>
      <c r="R22" s="1" t="n">
        <f aca="false">C22-$B22</f>
        <v>0.0024857</v>
      </c>
      <c r="S22" s="1" t="n">
        <f aca="false">LN(D22)-LN($B22)</f>
        <v>0.0176697077333885</v>
      </c>
      <c r="T22" s="1" t="n">
        <f aca="false">D22-$B22</f>
        <v>0.000393699999999997</v>
      </c>
      <c r="U22" s="1" t="n">
        <f aca="false">LN(E22)-LN($B22)</f>
        <v>-0.059662601460047</v>
      </c>
      <c r="V22" s="1" t="n">
        <f aca="false">E22-$B22</f>
        <v>-0.0012791</v>
      </c>
      <c r="W22" s="1" t="n">
        <f aca="false">LN(F22)-LN($B22)</f>
        <v>0.0735052429661494</v>
      </c>
      <c r="X22" s="1" t="n">
        <f aca="false">F22-$B22</f>
        <v>0.0016845</v>
      </c>
      <c r="Y22" s="1" t="n">
        <f aca="false">LN(G22)-LN($B22)</f>
        <v>0.0805483227274002</v>
      </c>
      <c r="Z22" s="1" t="n">
        <f aca="false">G22-$B22</f>
        <v>0.0018525</v>
      </c>
      <c r="AA22" s="1" t="n">
        <f aca="false">LN(H22)-LN($B22)</f>
        <v>0.0562040596779858</v>
      </c>
      <c r="AB22" s="1" t="n">
        <f aca="false">H22-$B22</f>
        <v>0.0012768</v>
      </c>
      <c r="AC22" s="1" t="n">
        <f aca="false">LN(I22)-LN($B22)</f>
        <v>-0.0735724182204263</v>
      </c>
      <c r="AD22" s="1" t="n">
        <f aca="false">I22-$B22</f>
        <v>-0.0015665</v>
      </c>
      <c r="AE22" s="1" t="n">
        <f aca="false">LN(J22)-LN($B22)</f>
        <v>0.110013064143402</v>
      </c>
      <c r="AF22" s="1" t="n">
        <f aca="false">J22-$B22</f>
        <v>0.0025683</v>
      </c>
      <c r="AG22" s="1" t="n">
        <f aca="false">LN(K22)-LN($B22)</f>
        <v>0.0453152535285111</v>
      </c>
      <c r="AH22" s="1" t="n">
        <f aca="false">K22-$B22</f>
        <v>0.0010238</v>
      </c>
      <c r="AI22" s="1" t="n">
        <f aca="false">LN(L22)-LN($B22)</f>
        <v>0.0505764813550251</v>
      </c>
      <c r="AJ22" s="1" t="n">
        <f aca="false">L22-$B22</f>
        <v>0.0011457</v>
      </c>
      <c r="AK22" s="1" t="n">
        <f aca="false">LN(M22)-LN($B22)</f>
        <v>0.0293898011999656</v>
      </c>
      <c r="AL22" s="1" t="n">
        <f aca="false">M22-$B22</f>
        <v>0.000658699999999998</v>
      </c>
      <c r="AM22" s="1" t="n">
        <f aca="false">LN(N22)-LN($B22)</f>
        <v>0.108596417704737</v>
      </c>
      <c r="AN22" s="1" t="n">
        <f aca="false">N22-$B22</f>
        <v>0.0025334</v>
      </c>
    </row>
    <row r="23" customFormat="false" ht="15" hidden="false" customHeight="false" outlineLevel="0" collapsed="false">
      <c r="A23" s="0" t="n">
        <f aca="false">1+A22</f>
        <v>21</v>
      </c>
      <c r="B23" s="0" t="n">
        <v>0.0127293</v>
      </c>
      <c r="C23" s="0" t="n">
        <v>0.0149056</v>
      </c>
      <c r="D23" s="0" t="n">
        <v>0.0130834</v>
      </c>
      <c r="E23" s="0" t="n">
        <v>0.0117838</v>
      </c>
      <c r="F23" s="0" t="n">
        <v>0.0139009</v>
      </c>
      <c r="G23" s="0" t="n">
        <v>0.0142732</v>
      </c>
      <c r="H23" s="0" t="n">
        <v>0.0137506</v>
      </c>
      <c r="I23" s="0" t="n">
        <v>0.0119336</v>
      </c>
      <c r="J23" s="0" t="n">
        <v>0.0144868</v>
      </c>
      <c r="K23" s="0" t="n">
        <v>0.0135769</v>
      </c>
      <c r="L23" s="0" t="n">
        <v>0.0137392</v>
      </c>
      <c r="M23" s="0" t="n">
        <v>0.0134177</v>
      </c>
      <c r="N23" s="0" t="n">
        <v>0.015078</v>
      </c>
      <c r="Q23" s="1" t="n">
        <f aca="false">LN(C23)-LN($B23)</f>
        <v>0.157830558427233</v>
      </c>
      <c r="R23" s="1" t="n">
        <f aca="false">C23-$B23</f>
        <v>0.0021763</v>
      </c>
      <c r="S23" s="1" t="n">
        <f aca="false">LN(D23)-LN($B23)</f>
        <v>0.0274378282481296</v>
      </c>
      <c r="T23" s="1" t="n">
        <f aca="false">D23-$B23</f>
        <v>0.0003541</v>
      </c>
      <c r="U23" s="1" t="n">
        <f aca="false">LN(E23)-LN($B23)</f>
        <v>-0.0771807159899449</v>
      </c>
      <c r="V23" s="1" t="n">
        <f aca="false">E23-$B23</f>
        <v>-0.0009455</v>
      </c>
      <c r="W23" s="1" t="n">
        <f aca="false">LN(F23)-LN($B23)</f>
        <v>0.0880471634014137</v>
      </c>
      <c r="X23" s="1" t="n">
        <f aca="false">F23-$B23</f>
        <v>0.0011716</v>
      </c>
      <c r="Y23" s="1" t="n">
        <f aca="false">LN(G23)-LN($B23)</f>
        <v>0.114477230179959</v>
      </c>
      <c r="Z23" s="1" t="n">
        <f aca="false">G23-$B23</f>
        <v>0.0015439</v>
      </c>
      <c r="AA23" s="1" t="n">
        <f aca="false">LN(H23)-LN($B23)</f>
        <v>0.0771760366835812</v>
      </c>
      <c r="AB23" s="1" t="n">
        <f aca="false">H23-$B23</f>
        <v>0.0010213</v>
      </c>
      <c r="AC23" s="1" t="n">
        <f aca="false">LN(I23)-LN($B23)</f>
        <v>-0.0645484719830138</v>
      </c>
      <c r="AD23" s="1" t="n">
        <f aca="false">I23-$B23</f>
        <v>-0.0007957</v>
      </c>
      <c r="AE23" s="1" t="n">
        <f aca="false">LN(J23)-LN($B23)</f>
        <v>0.129331467142845</v>
      </c>
      <c r="AF23" s="1" t="n">
        <f aca="false">J23-$B23</f>
        <v>0.0017575</v>
      </c>
      <c r="AG23" s="1" t="n">
        <f aca="false">LN(K23)-LN($B23)</f>
        <v>0.0644633963530588</v>
      </c>
      <c r="AH23" s="1" t="n">
        <f aca="false">K23-$B23</f>
        <v>0.000847599999999999</v>
      </c>
      <c r="AI23" s="1" t="n">
        <f aca="false">LN(L23)-LN($B23)</f>
        <v>0.0763466380954858</v>
      </c>
      <c r="AJ23" s="1" t="n">
        <f aca="false">L23-$B23</f>
        <v>0.0010099</v>
      </c>
      <c r="AK23" s="1" t="n">
        <f aca="false">LN(M23)-LN($B23)</f>
        <v>0.0526683080236232</v>
      </c>
      <c r="AL23" s="1" t="n">
        <f aca="false">M23-$B23</f>
        <v>0.000688399999999999</v>
      </c>
      <c r="AM23" s="1" t="n">
        <f aca="false">LN(N23)-LN($B23)</f>
        <v>0.169330304948913</v>
      </c>
      <c r="AN23" s="1" t="n">
        <f aca="false">N23-$B23</f>
        <v>0.0023487</v>
      </c>
    </row>
    <row r="24" customFormat="false" ht="15" hidden="false" customHeight="false" outlineLevel="0" collapsed="false">
      <c r="A24" s="0" t="n">
        <f aca="false">1+A23</f>
        <v>22</v>
      </c>
      <c r="B24" s="0" t="n">
        <v>0.00728863</v>
      </c>
      <c r="C24" s="0" t="n">
        <v>0.00890492</v>
      </c>
      <c r="D24" s="0" t="n">
        <v>0.00757869</v>
      </c>
      <c r="E24" s="0" t="n">
        <v>0.00654705</v>
      </c>
      <c r="F24" s="0" t="n">
        <v>0.00800921</v>
      </c>
      <c r="G24" s="0" t="n">
        <v>0.00838478</v>
      </c>
      <c r="H24" s="0" t="n">
        <v>0.0080027</v>
      </c>
      <c r="I24" s="0" t="n">
        <v>0.00682545</v>
      </c>
      <c r="J24" s="0" t="n">
        <v>0.00848633</v>
      </c>
      <c r="K24" s="0" t="n">
        <v>0.00792623</v>
      </c>
      <c r="L24" s="0" t="n">
        <v>0.00813941</v>
      </c>
      <c r="M24" s="0" t="n">
        <v>0.00773931</v>
      </c>
      <c r="N24" s="0" t="n">
        <v>0.0091512</v>
      </c>
      <c r="Q24" s="1" t="n">
        <f aca="false">LN(C24)-LN($B24)</f>
        <v>0.200288333293907</v>
      </c>
      <c r="R24" s="1" t="n">
        <f aca="false">C24-$B24</f>
        <v>0.00161629</v>
      </c>
      <c r="S24" s="1" t="n">
        <f aca="false">LN(D24)-LN($B24)</f>
        <v>0.0390247618092783</v>
      </c>
      <c r="T24" s="1" t="n">
        <f aca="false">D24-$B24</f>
        <v>0.00029006</v>
      </c>
      <c r="U24" s="1" t="n">
        <f aca="false">LN(E24)-LN($B24)</f>
        <v>-0.107301033174871</v>
      </c>
      <c r="V24" s="1" t="n">
        <f aca="false">E24-$B24</f>
        <v>-0.00074158</v>
      </c>
      <c r="W24" s="1" t="n">
        <f aca="false">LN(F24)-LN($B24)</f>
        <v>0.0942765298093775</v>
      </c>
      <c r="X24" s="1" t="n">
        <f aca="false">F24-$B24</f>
        <v>0.000720579999999999</v>
      </c>
      <c r="Y24" s="1" t="n">
        <f aca="false">LN(G24)-LN($B24)</f>
        <v>0.140102557912053</v>
      </c>
      <c r="Z24" s="1" t="n">
        <f aca="false">G24-$B24</f>
        <v>0.00109615</v>
      </c>
      <c r="AA24" s="1" t="n">
        <f aca="false">LN(H24)-LN($B24)</f>
        <v>0.0934633850491711</v>
      </c>
      <c r="AB24" s="1" t="n">
        <f aca="false">H24-$B24</f>
        <v>0.00071407</v>
      </c>
      <c r="AC24" s="1" t="n">
        <f aca="false">LN(I24)-LN($B24)</f>
        <v>-0.0656573267269485</v>
      </c>
      <c r="AD24" s="1" t="n">
        <f aca="false">I24-$B24</f>
        <v>-0.00046318</v>
      </c>
      <c r="AE24" s="1" t="n">
        <f aca="false">LN(J24)-LN($B24)</f>
        <v>0.152141033913223</v>
      </c>
      <c r="AF24" s="1" t="n">
        <f aca="false">J24-$B24</f>
        <v>0.0011977</v>
      </c>
      <c r="AG24" s="1" t="n">
        <f aca="false">LN(K24)-LN($B24)</f>
        <v>0.0838619130772544</v>
      </c>
      <c r="AH24" s="1" t="n">
        <f aca="false">K24-$B24</f>
        <v>0.0006376</v>
      </c>
      <c r="AI24" s="1" t="n">
        <f aca="false">LN(L24)-LN($B24)</f>
        <v>0.1104020961247</v>
      </c>
      <c r="AJ24" s="1" t="n">
        <f aca="false">L24-$B24</f>
        <v>0.00085078</v>
      </c>
      <c r="AK24" s="1" t="n">
        <f aca="false">LN(M24)-LN($B24)</f>
        <v>0.0599969366506077</v>
      </c>
      <c r="AL24" s="1" t="n">
        <f aca="false">M24-$B24</f>
        <v>0.00045068</v>
      </c>
      <c r="AM24" s="1" t="n">
        <f aca="false">LN(N24)-LN($B24)</f>
        <v>0.227569418538976</v>
      </c>
      <c r="AN24" s="1" t="n">
        <f aca="false">N24-$B24</f>
        <v>0.00186257</v>
      </c>
    </row>
    <row r="25" customFormat="false" ht="15" hidden="false" customHeight="false" outlineLevel="0" collapsed="false">
      <c r="A25" s="0" t="n">
        <f aca="false">1+A24</f>
        <v>23</v>
      </c>
      <c r="B25" s="0" t="n">
        <v>0.0040617</v>
      </c>
      <c r="C25" s="0" t="n">
        <v>0.00550402</v>
      </c>
      <c r="D25" s="0" t="n">
        <v>0.00431482</v>
      </c>
      <c r="E25" s="0" t="n">
        <v>0.00355787</v>
      </c>
      <c r="F25" s="0" t="n">
        <v>0.00452852</v>
      </c>
      <c r="G25" s="0" t="n">
        <v>0.00478296</v>
      </c>
      <c r="H25" s="0" t="n">
        <v>0.00471942</v>
      </c>
      <c r="I25" s="0" t="n">
        <v>0.00398606</v>
      </c>
      <c r="J25" s="0" t="n">
        <v>0.00496324</v>
      </c>
      <c r="K25" s="0" t="n">
        <v>0.00460784</v>
      </c>
      <c r="L25" s="0" t="n">
        <v>0.0047177</v>
      </c>
      <c r="M25" s="0" t="n">
        <v>0.00438364</v>
      </c>
      <c r="N25" s="0" t="n">
        <v>0.0057159</v>
      </c>
      <c r="Q25" s="1" t="n">
        <f aca="false">LN(C25)-LN($B25)</f>
        <v>0.303877129158333</v>
      </c>
      <c r="R25" s="1" t="n">
        <f aca="false">C25-$B25</f>
        <v>0.00144232</v>
      </c>
      <c r="S25" s="1" t="n">
        <f aca="false">LN(D25)-LN($B25)</f>
        <v>0.0604540035304044</v>
      </c>
      <c r="T25" s="1" t="n">
        <f aca="false">D25-$B25</f>
        <v>0.00025312</v>
      </c>
      <c r="U25" s="1" t="n">
        <f aca="false">LN(E25)-LN($B25)</f>
        <v>-0.132439553991452</v>
      </c>
      <c r="V25" s="1" t="n">
        <f aca="false">E25-$B25</f>
        <v>-0.00050383</v>
      </c>
      <c r="W25" s="1" t="n">
        <f aca="false">LN(F25)-LN($B25)</f>
        <v>0.108793570109522</v>
      </c>
      <c r="X25" s="1" t="n">
        <f aca="false">F25-$B25</f>
        <v>0.000466820000000001</v>
      </c>
      <c r="Y25" s="1" t="n">
        <f aca="false">LN(G25)-LN($B25)</f>
        <v>0.163457996524031</v>
      </c>
      <c r="Z25" s="1" t="n">
        <f aca="false">G25-$B25</f>
        <v>0.000721260000000001</v>
      </c>
      <c r="AA25" s="1" t="n">
        <f aca="false">LN(H25)-LN($B25)</f>
        <v>0.150084305503961</v>
      </c>
      <c r="AB25" s="1" t="n">
        <f aca="false">H25-$B25</f>
        <v>0.000657720000000001</v>
      </c>
      <c r="AC25" s="1" t="n">
        <f aca="false">LN(I25)-LN($B25)</f>
        <v>-0.0187983308253301</v>
      </c>
      <c r="AD25" s="1" t="n">
        <f aca="false">I25-$B25</f>
        <v>-7.56400000000001E-005</v>
      </c>
      <c r="AE25" s="1" t="n">
        <f aca="false">LN(J25)-LN($B25)</f>
        <v>0.200457148097138</v>
      </c>
      <c r="AF25" s="1" t="n">
        <f aca="false">J25-$B25</f>
        <v>0.00090154</v>
      </c>
      <c r="AG25" s="1" t="n">
        <f aca="false">LN(K25)-LN($B25)</f>
        <v>0.1261575953815</v>
      </c>
      <c r="AH25" s="1" t="n">
        <f aca="false">K25-$B25</f>
        <v>0.000546140000000001</v>
      </c>
      <c r="AI25" s="1" t="n">
        <f aca="false">LN(L25)-LN($B25)</f>
        <v>0.149719787511386</v>
      </c>
      <c r="AJ25" s="1" t="n">
        <f aca="false">L25-$B25</f>
        <v>0.000656</v>
      </c>
      <c r="AK25" s="1" t="n">
        <f aca="false">LN(M25)-LN($B25)</f>
        <v>0.0762778242985878</v>
      </c>
      <c r="AL25" s="1" t="n">
        <f aca="false">M25-$B25</f>
        <v>0.000321940000000001</v>
      </c>
      <c r="AM25" s="1" t="n">
        <f aca="false">LN(N25)-LN($B25)</f>
        <v>0.341650159975973</v>
      </c>
      <c r="AN25" s="1" t="n">
        <f aca="false">N25-$B25</f>
        <v>0.0016542</v>
      </c>
    </row>
    <row r="26" customFormat="false" ht="15" hidden="false" customHeight="false" outlineLevel="0" collapsed="false">
      <c r="A26" s="0" t="n">
        <f aca="false">1+A25</f>
        <v>24</v>
      </c>
      <c r="B26" s="0" t="n">
        <v>0.00219371</v>
      </c>
      <c r="C26" s="0" t="n">
        <v>0.00341914</v>
      </c>
      <c r="D26" s="0" t="n">
        <v>0.00245866</v>
      </c>
      <c r="E26" s="0" t="n">
        <v>0.00189677</v>
      </c>
      <c r="F26" s="0" t="n">
        <v>0.00247285</v>
      </c>
      <c r="G26" s="0" t="n">
        <v>0.00274735</v>
      </c>
      <c r="H26" s="0" t="n">
        <v>0.00267837</v>
      </c>
      <c r="I26" s="0" t="n">
        <v>0.00229863</v>
      </c>
      <c r="J26" s="0" t="n">
        <v>0.00287081</v>
      </c>
      <c r="K26" s="0" t="n">
        <v>0.00259307</v>
      </c>
      <c r="L26" s="0" t="n">
        <v>0.00269385</v>
      </c>
      <c r="M26" s="0" t="n">
        <v>0.00248284</v>
      </c>
      <c r="N26" s="0" t="n">
        <v>0.00360678</v>
      </c>
      <c r="Q26" s="1" t="n">
        <f aca="false">LN(C26)-LN($B26)</f>
        <v>0.443794883016772</v>
      </c>
      <c r="R26" s="1" t="n">
        <f aca="false">C26-$B26</f>
        <v>0.00122543</v>
      </c>
      <c r="S26" s="1" t="n">
        <f aca="false">LN(D26)-LN($B26)</f>
        <v>0.114022311638189</v>
      </c>
      <c r="T26" s="1" t="n">
        <f aca="false">D26-$B26</f>
        <v>0.00026495</v>
      </c>
      <c r="U26" s="1" t="n">
        <f aca="false">LN(E26)-LN($B26)</f>
        <v>-0.145441734914933</v>
      </c>
      <c r="V26" s="1" t="n">
        <f aca="false">E26-$B26</f>
        <v>-0.00029694</v>
      </c>
      <c r="W26" s="1" t="n">
        <f aca="false">LN(F26)-LN($B26)</f>
        <v>0.119777157177307</v>
      </c>
      <c r="X26" s="1" t="n">
        <f aca="false">F26-$B26</f>
        <v>0.00027914</v>
      </c>
      <c r="Y26" s="1" t="n">
        <f aca="false">LN(G26)-LN($B26)</f>
        <v>0.22504263627126</v>
      </c>
      <c r="Z26" s="1" t="n">
        <f aca="false">G26-$B26</f>
        <v>0.00055364</v>
      </c>
      <c r="AA26" s="1" t="n">
        <f aca="false">LN(H26)-LN($B26)</f>
        <v>0.199614226085874</v>
      </c>
      <c r="AB26" s="1" t="n">
        <f aca="false">H26-$B26</f>
        <v>0.00048466</v>
      </c>
      <c r="AC26" s="1" t="n">
        <f aca="false">LN(I26)-LN($B26)</f>
        <v>0.0467191188423861</v>
      </c>
      <c r="AD26" s="1" t="n">
        <f aca="false">I26-$B26</f>
        <v>0.00010492</v>
      </c>
      <c r="AE26" s="1" t="n">
        <f aca="false">LN(J26)-LN($B26)</f>
        <v>0.269000045469731</v>
      </c>
      <c r="AF26" s="1" t="n">
        <f aca="false">J26-$B26</f>
        <v>0.0006771</v>
      </c>
      <c r="AG26" s="1" t="n">
        <f aca="false">LN(K26)-LN($B26)</f>
        <v>0.167248327502387</v>
      </c>
      <c r="AH26" s="1" t="n">
        <f aca="false">K26-$B26</f>
        <v>0.00039936</v>
      </c>
      <c r="AI26" s="1" t="n">
        <f aca="false">LN(L26)-LN($B26)</f>
        <v>0.205377222703147</v>
      </c>
      <c r="AJ26" s="1" t="n">
        <f aca="false">L26-$B26</f>
        <v>0.00050014</v>
      </c>
      <c r="AK26" s="1" t="n">
        <f aca="false">LN(M26)-LN($B26)</f>
        <v>0.123808891822608</v>
      </c>
      <c r="AL26" s="1" t="n">
        <f aca="false">M26-$B26</f>
        <v>0.00028913</v>
      </c>
      <c r="AM26" s="1" t="n">
        <f aca="false">LN(N26)-LN($B26)</f>
        <v>0.497221233099157</v>
      </c>
      <c r="AN26" s="1" t="n">
        <f aca="false">N26-$B26</f>
        <v>0.00141307</v>
      </c>
    </row>
    <row r="27" customFormat="false" ht="15" hidden="false" customHeight="false" outlineLevel="0" collapsed="false">
      <c r="A27" s="0" t="n">
        <f aca="false">1+A26</f>
        <v>25</v>
      </c>
      <c r="B27" s="0" t="n">
        <v>0.00112587</v>
      </c>
      <c r="C27" s="0" t="n">
        <v>0.00214146</v>
      </c>
      <c r="D27" s="0" t="n">
        <v>0.00139732</v>
      </c>
      <c r="E27" s="0" t="n">
        <v>0.000941222</v>
      </c>
      <c r="F27" s="0" t="n">
        <v>0.00131635</v>
      </c>
      <c r="G27" s="0" t="n">
        <v>0.00157436</v>
      </c>
      <c r="H27" s="0" t="n">
        <v>0.00152994</v>
      </c>
      <c r="I27" s="0" t="n">
        <v>0.00136326</v>
      </c>
      <c r="J27" s="0" t="n">
        <v>0.00165963</v>
      </c>
      <c r="K27" s="0" t="n">
        <v>0.00147213</v>
      </c>
      <c r="L27" s="0" t="n">
        <v>0.00148983</v>
      </c>
      <c r="M27" s="0" t="n">
        <v>0.00140282</v>
      </c>
      <c r="N27" s="0" t="n">
        <v>0.00223785</v>
      </c>
      <c r="Q27" s="1" t="n">
        <f aca="false">LN(C27)-LN($B27)</f>
        <v>0.642931769280895</v>
      </c>
      <c r="R27" s="1" t="n">
        <f aca="false">C27-$B27</f>
        <v>0.00101559</v>
      </c>
      <c r="S27" s="1" t="n">
        <f aca="false">LN(D27)-LN($B27)</f>
        <v>0.216000046198806</v>
      </c>
      <c r="T27" s="1" t="n">
        <f aca="false">D27-$B27</f>
        <v>0.00027145</v>
      </c>
      <c r="U27" s="1" t="n">
        <f aca="false">LN(E27)-LN($B27)</f>
        <v>-0.179132318108035</v>
      </c>
      <c r="V27" s="1" t="n">
        <f aca="false">E27-$B27</f>
        <v>-0.000184648</v>
      </c>
      <c r="W27" s="1" t="n">
        <f aca="false">LN(F27)-LN($B27)</f>
        <v>0.156306684867954</v>
      </c>
      <c r="X27" s="1" t="n">
        <f aca="false">F27-$B27</f>
        <v>0.00019048</v>
      </c>
      <c r="Y27" s="1" t="n">
        <f aca="false">LN(G27)-LN($B27)</f>
        <v>0.335292770367468</v>
      </c>
      <c r="Z27" s="1" t="n">
        <f aca="false">G27-$B27</f>
        <v>0.00044849</v>
      </c>
      <c r="AA27" s="1" t="n">
        <f aca="false">LN(H27)-LN($B27)</f>
        <v>0.306672448827547</v>
      </c>
      <c r="AB27" s="1" t="n">
        <f aca="false">H27-$B27</f>
        <v>0.00040407</v>
      </c>
      <c r="AC27" s="1" t="n">
        <f aca="false">LN(I27)-LN($B27)</f>
        <v>0.191322820087263</v>
      </c>
      <c r="AD27" s="1" t="n">
        <f aca="false">I27-$B27</f>
        <v>0.00023739</v>
      </c>
      <c r="AE27" s="1" t="n">
        <f aca="false">LN(J27)-LN($B27)</f>
        <v>0.388038615836603</v>
      </c>
      <c r="AF27" s="1" t="n">
        <f aca="false">J27-$B27</f>
        <v>0.00053376</v>
      </c>
      <c r="AG27" s="1" t="n">
        <f aca="false">LN(K27)-LN($B27)</f>
        <v>0.268154261502949</v>
      </c>
      <c r="AH27" s="1" t="n">
        <f aca="false">K27-$B27</f>
        <v>0.00034626</v>
      </c>
      <c r="AI27" s="1" t="n">
        <f aca="false">LN(L27)-LN($B27)</f>
        <v>0.280105949366858</v>
      </c>
      <c r="AJ27" s="1" t="n">
        <f aca="false">L27-$B27</f>
        <v>0.00036396</v>
      </c>
      <c r="AK27" s="1" t="n">
        <f aca="false">LN(M27)-LN($B27)</f>
        <v>0.219928426260572</v>
      </c>
      <c r="AL27" s="1" t="n">
        <f aca="false">M27-$B27</f>
        <v>0.00027695</v>
      </c>
      <c r="AM27" s="1" t="n">
        <f aca="false">LN(N27)-LN($B27)</f>
        <v>0.686959513393263</v>
      </c>
      <c r="AN27" s="1" t="n">
        <f aca="false">N27-$B27</f>
        <v>0.00111198</v>
      </c>
    </row>
    <row r="28" customFormat="false" ht="15" hidden="false" customHeight="false" outlineLevel="0" collapsed="false">
      <c r="A28" s="0" t="n">
        <f aca="false">1+A27</f>
        <v>26</v>
      </c>
      <c r="B28" s="0" t="n">
        <v>0.000545135</v>
      </c>
      <c r="C28" s="0" t="n">
        <v>0.00142172</v>
      </c>
      <c r="D28" s="0" t="n">
        <v>0.00079057</v>
      </c>
      <c r="E28" s="0" t="n">
        <v>0.000458012</v>
      </c>
      <c r="F28" s="0" t="n">
        <v>0.000661343</v>
      </c>
      <c r="G28" s="0" t="n">
        <v>0.000909078</v>
      </c>
      <c r="H28" s="0" t="n">
        <v>0.000835085</v>
      </c>
      <c r="I28" s="0" t="n">
        <v>0.000795957</v>
      </c>
      <c r="J28" s="0" t="n">
        <v>0.00094951</v>
      </c>
      <c r="K28" s="0" t="n">
        <v>0.000795163</v>
      </c>
      <c r="L28" s="0" t="n">
        <v>0.00079609</v>
      </c>
      <c r="M28" s="0" t="n">
        <v>0.000785742</v>
      </c>
      <c r="N28" s="0" t="n">
        <v>0.00150775</v>
      </c>
      <c r="Q28" s="1" t="n">
        <f aca="false">LN(C28)-LN($B28)</f>
        <v>0.958589214797082</v>
      </c>
      <c r="R28" s="1" t="n">
        <f aca="false">C28-$B28</f>
        <v>0.000876585</v>
      </c>
      <c r="S28" s="1" t="n">
        <f aca="false">LN(D28)-LN($B28)</f>
        <v>0.37172073386763</v>
      </c>
      <c r="T28" s="1" t="n">
        <f aca="false">D28-$B28</f>
        <v>0.000245435</v>
      </c>
      <c r="U28" s="1" t="n">
        <f aca="false">LN(E28)-LN($B28)</f>
        <v>-0.174138085766781</v>
      </c>
      <c r="V28" s="1" t="n">
        <f aca="false">E28-$B28</f>
        <v>-8.7123E-005</v>
      </c>
      <c r="W28" s="1" t="n">
        <f aca="false">LN(F28)-LN($B28)</f>
        <v>0.193239145594274</v>
      </c>
      <c r="X28" s="1" t="n">
        <f aca="false">F28-$B28</f>
        <v>0.000116208</v>
      </c>
      <c r="Y28" s="1" t="n">
        <f aca="false">LN(G28)-LN($B28)</f>
        <v>0.511397428665899</v>
      </c>
      <c r="Z28" s="1" t="n">
        <f aca="false">G28-$B28</f>
        <v>0.000363943</v>
      </c>
      <c r="AA28" s="1" t="n">
        <f aca="false">LN(H28)-LN($B28)</f>
        <v>0.426500045666046</v>
      </c>
      <c r="AB28" s="1" t="n">
        <f aca="false">H28-$B28</f>
        <v>0.00028995</v>
      </c>
      <c r="AC28" s="1" t="n">
        <f aca="false">LN(I28)-LN($B28)</f>
        <v>0.378511693873651</v>
      </c>
      <c r="AD28" s="1" t="n">
        <f aca="false">I28-$B28</f>
        <v>0.000250822</v>
      </c>
      <c r="AE28" s="1" t="n">
        <f aca="false">LN(J28)-LN($B28)</f>
        <v>0.554912591644662</v>
      </c>
      <c r="AF28" s="1" t="n">
        <f aca="false">J28-$B28</f>
        <v>0.000404375</v>
      </c>
      <c r="AG28" s="1" t="n">
        <f aca="false">LN(K28)-LN($B28)</f>
        <v>0.377513654673706</v>
      </c>
      <c r="AH28" s="1" t="n">
        <f aca="false">K28-$B28</f>
        <v>0.000250028</v>
      </c>
      <c r="AI28" s="1" t="n">
        <f aca="false">LN(L28)-LN($B28)</f>
        <v>0.378678774368522</v>
      </c>
      <c r="AJ28" s="1" t="n">
        <f aca="false">L28-$B28</f>
        <v>0.000250955</v>
      </c>
      <c r="AK28" s="1" t="n">
        <f aca="false">LN(M28)-LN($B28)</f>
        <v>0.365595023859362</v>
      </c>
      <c r="AL28" s="1" t="n">
        <f aca="false">M28-$B28</f>
        <v>0.000240607</v>
      </c>
      <c r="AM28" s="1" t="n">
        <f aca="false">LN(N28)-LN($B28)</f>
        <v>1.01734028192</v>
      </c>
      <c r="AN28" s="1" t="n">
        <f aca="false">N28-$B28</f>
        <v>0.000962615</v>
      </c>
    </row>
    <row r="29" customFormat="false" ht="15" hidden="false" customHeight="false" outlineLevel="0" collapsed="false">
      <c r="A29" s="0" t="n">
        <f aca="false">1+A28</f>
        <v>27</v>
      </c>
      <c r="B29" s="0" t="n">
        <v>0.000252089</v>
      </c>
      <c r="C29" s="0" t="n">
        <v>0.000938148</v>
      </c>
      <c r="D29" s="0" t="n">
        <v>0.000436633</v>
      </c>
      <c r="E29" s="0" t="n">
        <v>0.000206525</v>
      </c>
      <c r="F29" s="0" t="n">
        <v>0.000312883</v>
      </c>
      <c r="G29" s="0" t="n">
        <v>0.000540274</v>
      </c>
      <c r="H29" s="0" t="n">
        <v>0.000472909</v>
      </c>
      <c r="I29" s="0" t="n">
        <v>0.000489152</v>
      </c>
      <c r="J29" s="0" t="n">
        <v>0.000531877</v>
      </c>
      <c r="K29" s="0" t="n">
        <v>0.000420538</v>
      </c>
      <c r="L29" s="0" t="n">
        <v>0.000467765</v>
      </c>
      <c r="M29" s="0" t="n">
        <v>0.000436912</v>
      </c>
      <c r="N29" s="0" t="n">
        <v>0.000958734</v>
      </c>
      <c r="Q29" s="1" t="n">
        <f aca="false">LN(C29)-LN($B29)</f>
        <v>1.31412551931274</v>
      </c>
      <c r="R29" s="1" t="n">
        <f aca="false">C29-$B29</f>
        <v>0.000686059</v>
      </c>
      <c r="S29" s="1" t="n">
        <f aca="false">LN(D29)-LN($B29)</f>
        <v>0.549310825555019</v>
      </c>
      <c r="T29" s="1" t="n">
        <f aca="false">D29-$B29</f>
        <v>0.000184544</v>
      </c>
      <c r="U29" s="1" t="n">
        <f aca="false">LN(E29)-LN($B29)</f>
        <v>-0.199360729314559</v>
      </c>
      <c r="V29" s="1" t="n">
        <f aca="false">E29-$B29</f>
        <v>-4.5564E-005</v>
      </c>
      <c r="W29" s="1" t="n">
        <f aca="false">LN(F29)-LN($B29)</f>
        <v>0.216047118978741</v>
      </c>
      <c r="X29" s="1" t="n">
        <f aca="false">F29-$B29</f>
        <v>6.0794E-005</v>
      </c>
      <c r="Y29" s="1" t="n">
        <f aca="false">LN(G29)-LN($B29)</f>
        <v>0.76229421851499</v>
      </c>
      <c r="Z29" s="1" t="n">
        <f aca="false">G29-$B29</f>
        <v>0.000288185</v>
      </c>
      <c r="AA29" s="1" t="n">
        <f aca="false">LN(H29)-LN($B29)</f>
        <v>0.629120781213324</v>
      </c>
      <c r="AB29" s="1" t="n">
        <f aca="false">H29-$B29</f>
        <v>0.00022082</v>
      </c>
      <c r="AC29" s="1" t="n">
        <f aca="false">LN(I29)-LN($B29)</f>
        <v>0.662891079857291</v>
      </c>
      <c r="AD29" s="1" t="n">
        <f aca="false">I29-$B29</f>
        <v>0.000237063</v>
      </c>
      <c r="AE29" s="1" t="n">
        <f aca="false">LN(J29)-LN($B29)</f>
        <v>0.746630059839462</v>
      </c>
      <c r="AF29" s="1" t="n">
        <f aca="false">J29-$B29</f>
        <v>0.000279788</v>
      </c>
      <c r="AG29" s="1" t="n">
        <f aca="false">LN(K29)-LN($B29)</f>
        <v>0.511752644175677</v>
      </c>
      <c r="AH29" s="1" t="n">
        <f aca="false">K29-$B29</f>
        <v>0.000168449</v>
      </c>
      <c r="AI29" s="1" t="n">
        <f aca="false">LN(L29)-LN($B29)</f>
        <v>0.618183833289503</v>
      </c>
      <c r="AJ29" s="1" t="n">
        <f aca="false">L29-$B29</f>
        <v>0.000215676</v>
      </c>
      <c r="AK29" s="1" t="n">
        <f aca="false">LN(M29)-LN($B29)</f>
        <v>0.549949602056485</v>
      </c>
      <c r="AL29" s="1" t="n">
        <f aca="false">M29-$B29</f>
        <v>0.000184823</v>
      </c>
      <c r="AM29" s="1" t="n">
        <f aca="false">LN(N29)-LN($B29)</f>
        <v>1.33583146438274</v>
      </c>
      <c r="AN29" s="1" t="n">
        <f aca="false">N29-$B29</f>
        <v>0.000706645</v>
      </c>
    </row>
    <row r="30" customFormat="false" ht="15" hidden="false" customHeight="false" outlineLevel="0" collapsed="false">
      <c r="A30" s="0" t="n">
        <f aca="false">1+A29</f>
        <v>28</v>
      </c>
      <c r="B30" s="0" t="n">
        <v>0.000113611</v>
      </c>
      <c r="C30" s="0" t="n">
        <v>0.000625276</v>
      </c>
      <c r="D30" s="0" t="n">
        <v>0.00025234</v>
      </c>
      <c r="E30" s="2" t="n">
        <v>9.53574E-005</v>
      </c>
      <c r="F30" s="0" t="n">
        <v>0.000124763</v>
      </c>
      <c r="G30" s="0" t="n">
        <v>0.000316118</v>
      </c>
      <c r="H30" s="0" t="n">
        <v>0.000261115</v>
      </c>
      <c r="I30" s="0" t="n">
        <v>0.000287992</v>
      </c>
      <c r="J30" s="0" t="n">
        <v>0.000292959</v>
      </c>
      <c r="K30" s="0" t="n">
        <v>0.000242749</v>
      </c>
      <c r="L30" s="0" t="n">
        <v>0.000258606</v>
      </c>
      <c r="M30" s="0" t="n">
        <v>0.000269755</v>
      </c>
      <c r="N30" s="0" t="n">
        <v>0.000632591</v>
      </c>
      <c r="Q30" s="1" t="n">
        <f aca="false">LN(C30)-LN($B30)</f>
        <v>1.70541281967467</v>
      </c>
      <c r="R30" s="1" t="n">
        <f aca="false">C30-$B30</f>
        <v>0.000511665</v>
      </c>
      <c r="S30" s="1" t="n">
        <f aca="false">LN(D30)-LN($B30)</f>
        <v>0.797997051914447</v>
      </c>
      <c r="T30" s="1" t="n">
        <f aca="false">D30-$B30</f>
        <v>0.000138729</v>
      </c>
      <c r="U30" s="1" t="n">
        <f aca="false">LN(E30)-LN($B30)</f>
        <v>-0.17514839474048</v>
      </c>
      <c r="V30" s="1" t="n">
        <f aca="false">E30-$B30</f>
        <v>-1.82536E-005</v>
      </c>
      <c r="W30" s="1" t="n">
        <f aca="false">LN(F30)-LN($B30)</f>
        <v>0.0936356050339935</v>
      </c>
      <c r="X30" s="1" t="n">
        <f aca="false">F30-$B30</f>
        <v>1.1152E-005</v>
      </c>
      <c r="Y30" s="1" t="n">
        <f aca="false">LN(G30)-LN($B30)</f>
        <v>1.02333522902024</v>
      </c>
      <c r="Z30" s="1" t="n">
        <f aca="false">G30-$B30</f>
        <v>0.000202507</v>
      </c>
      <c r="AA30" s="1" t="n">
        <f aca="false">LN(H30)-LN($B30)</f>
        <v>0.832180590722949</v>
      </c>
      <c r="AB30" s="1" t="n">
        <f aca="false">H30-$B30</f>
        <v>0.000147504</v>
      </c>
      <c r="AC30" s="1" t="n">
        <f aca="false">LN(I30)-LN($B30)</f>
        <v>0.930152369387209</v>
      </c>
      <c r="AD30" s="1" t="n">
        <f aca="false">I30-$B30</f>
        <v>0.000174381</v>
      </c>
      <c r="AE30" s="1" t="n">
        <f aca="false">LN(J30)-LN($B30)</f>
        <v>0.947252334899945</v>
      </c>
      <c r="AF30" s="1" t="n">
        <f aca="false">J30-$B30</f>
        <v>0.000179348</v>
      </c>
      <c r="AG30" s="1" t="n">
        <f aca="false">LN(K30)-LN($B30)</f>
        <v>0.759247655113331</v>
      </c>
      <c r="AH30" s="1" t="n">
        <f aca="false">K30-$B30</f>
        <v>0.000129138</v>
      </c>
      <c r="AI30" s="1" t="n">
        <f aca="false">LN(L30)-LN($B30)</f>
        <v>0.822525335339597</v>
      </c>
      <c r="AJ30" s="1" t="n">
        <f aca="false">L30-$B30</f>
        <v>0.000144995</v>
      </c>
      <c r="AK30" s="1" t="n">
        <f aca="false">LN(M30)-LN($B30)</f>
        <v>0.864733807062498</v>
      </c>
      <c r="AL30" s="1" t="n">
        <f aca="false">M30-$B30</f>
        <v>0.000156144</v>
      </c>
      <c r="AM30" s="1" t="n">
        <f aca="false">LN(N30)-LN($B30)</f>
        <v>1.71704375118551</v>
      </c>
      <c r="AN30" s="1" t="n">
        <f aca="false">N30-$B30</f>
        <v>0.00051898</v>
      </c>
    </row>
    <row r="31" customFormat="false" ht="15" hidden="false" customHeight="false" outlineLevel="0" collapsed="false">
      <c r="A31" s="0" t="n">
        <f aca="false">1+A30</f>
        <v>29</v>
      </c>
      <c r="B31" s="2" t="n">
        <v>4.92475E-005</v>
      </c>
      <c r="C31" s="0" t="n">
        <v>0.000403132</v>
      </c>
      <c r="D31" s="0" t="n">
        <v>0.000162556</v>
      </c>
      <c r="E31" s="2" t="n">
        <v>3.95264E-005</v>
      </c>
      <c r="F31" s="2" t="n">
        <v>4.43494E-005</v>
      </c>
      <c r="G31" s="0" t="n">
        <v>0.00020835</v>
      </c>
      <c r="H31" s="0" t="n">
        <v>0.000148932</v>
      </c>
      <c r="I31" s="0" t="n">
        <v>0.000175111</v>
      </c>
      <c r="J31" s="0" t="n">
        <v>0.000163071</v>
      </c>
      <c r="K31" s="0" t="n">
        <v>0.000129434</v>
      </c>
      <c r="L31" s="0" t="n">
        <v>0.000144879</v>
      </c>
      <c r="M31" s="0" t="n">
        <v>0.000144136</v>
      </c>
      <c r="N31" s="0" t="n">
        <v>0.000406837</v>
      </c>
      <c r="Q31" s="1" t="n">
        <f aca="false">LN(C31)-LN($B31)</f>
        <v>2.10240544683199</v>
      </c>
      <c r="R31" s="1" t="n">
        <f aca="false">C31-$B31</f>
        <v>0.0003538845</v>
      </c>
      <c r="S31" s="1" t="n">
        <f aca="false">LN(D31)-LN($B31)</f>
        <v>1.19416395287979</v>
      </c>
      <c r="T31" s="1" t="n">
        <f aca="false">D31-$B31</f>
        <v>0.0001133085</v>
      </c>
      <c r="U31" s="1" t="n">
        <f aca="false">LN(E31)-LN($B31)</f>
        <v>-0.219889801820271</v>
      </c>
      <c r="V31" s="1" t="n">
        <f aca="false">E31-$B31</f>
        <v>-9.7211E-006</v>
      </c>
      <c r="W31" s="1" t="n">
        <f aca="false">LN(F31)-LN($B31)</f>
        <v>-0.104759424992888</v>
      </c>
      <c r="X31" s="1" t="n">
        <f aca="false">F31-$B31</f>
        <v>-4.8981E-006</v>
      </c>
      <c r="Y31" s="1" t="n">
        <f aca="false">LN(G31)-LN($B31)</f>
        <v>1.44236075296009</v>
      </c>
      <c r="Z31" s="1" t="n">
        <f aca="false">G31-$B31</f>
        <v>0.0001591025</v>
      </c>
      <c r="AA31" s="1" t="n">
        <f aca="false">LN(H31)-LN($B31)</f>
        <v>1.10663122102701</v>
      </c>
      <c r="AB31" s="1" t="n">
        <f aca="false">H31-$B31</f>
        <v>9.96845E-005</v>
      </c>
      <c r="AC31" s="1" t="n">
        <f aca="false">LN(I31)-LN($B31)</f>
        <v>1.26856145365526</v>
      </c>
      <c r="AD31" s="1" t="n">
        <f aca="false">I31-$B31</f>
        <v>0.0001258635</v>
      </c>
      <c r="AE31" s="1" t="n">
        <f aca="false">LN(J31)-LN($B31)</f>
        <v>1.19732708388182</v>
      </c>
      <c r="AF31" s="1" t="n">
        <f aca="false">J31-$B31</f>
        <v>0.0001138235</v>
      </c>
      <c r="AG31" s="1" t="n">
        <f aca="false">LN(K31)-LN($B31)</f>
        <v>0.966312493804583</v>
      </c>
      <c r="AH31" s="1" t="n">
        <f aca="false">K31-$B31</f>
        <v>8.01865E-005</v>
      </c>
      <c r="AI31" s="1" t="n">
        <f aca="false">LN(L31)-LN($B31)</f>
        <v>1.07904030637902</v>
      </c>
      <c r="AJ31" s="1" t="n">
        <f aca="false">L31-$B31</f>
        <v>9.56315E-005</v>
      </c>
      <c r="AK31" s="1" t="n">
        <f aca="false">LN(M31)-LN($B31)</f>
        <v>1.07389869340503</v>
      </c>
      <c r="AL31" s="1" t="n">
        <f aca="false">M31-$B31</f>
        <v>9.48885E-005</v>
      </c>
      <c r="AM31" s="1" t="n">
        <f aca="false">LN(N31)-LN($B31)</f>
        <v>2.11155400891563</v>
      </c>
      <c r="AN31" s="1" t="n">
        <f aca="false">N31-$B31</f>
        <v>0.0003575895</v>
      </c>
    </row>
    <row r="32" customFormat="false" ht="15" hidden="false" customHeight="false" outlineLevel="0" collapsed="false">
      <c r="A32" s="0" t="n">
        <f aca="false">1+A31</f>
        <v>30</v>
      </c>
      <c r="B32" s="2" t="n">
        <v>1.9504E-005</v>
      </c>
      <c r="C32" s="0" t="n">
        <v>0.000267508</v>
      </c>
      <c r="D32" s="2" t="n">
        <v>9.30916E-005</v>
      </c>
      <c r="E32" s="2" t="n">
        <v>1.53165E-005</v>
      </c>
      <c r="F32" s="2" t="n">
        <v>1.26713E-005</v>
      </c>
      <c r="G32" s="0" t="n">
        <v>0.000122136</v>
      </c>
      <c r="H32" s="2" t="n">
        <v>7.49498E-005</v>
      </c>
      <c r="I32" s="2" t="n">
        <v>0.00010468</v>
      </c>
      <c r="J32" s="2" t="n">
        <v>8.72241E-005</v>
      </c>
      <c r="K32" s="2" t="n">
        <v>7.76603E-005</v>
      </c>
      <c r="L32" s="2" t="n">
        <v>7.41699E-005</v>
      </c>
      <c r="M32" s="2" t="n">
        <v>8.00756E-005</v>
      </c>
      <c r="N32" s="2" t="n">
        <v>0.000256975</v>
      </c>
      <c r="Q32" s="1" t="n">
        <f aca="false">LN(C32)-LN($B32)</f>
        <v>2.61852989969201</v>
      </c>
      <c r="R32" s="1" t="n">
        <f aca="false">C32-$B32</f>
        <v>0.000248004</v>
      </c>
      <c r="S32" s="1" t="n">
        <f aca="false">LN(D32)-LN($B32)</f>
        <v>1.56296438190962</v>
      </c>
      <c r="T32" s="1" t="n">
        <f aca="false">D32-$B32</f>
        <v>7.35876E-005</v>
      </c>
      <c r="U32" s="1" t="n">
        <f aca="false">LN(E32)-LN($B32)</f>
        <v>-0.241688894057351</v>
      </c>
      <c r="V32" s="1" t="n">
        <f aca="false">E32-$B32</f>
        <v>-4.1875E-006</v>
      </c>
      <c r="W32" s="1" t="n">
        <f aca="false">LN(F32)-LN($B32)</f>
        <v>-0.431279979091615</v>
      </c>
      <c r="X32" s="1" t="n">
        <f aca="false">F32-$B32</f>
        <v>-6.8327E-006</v>
      </c>
      <c r="Y32" s="1" t="n">
        <f aca="false">LN(G32)-LN($B32)</f>
        <v>1.83451560521573</v>
      </c>
      <c r="Z32" s="1" t="n">
        <f aca="false">G32-$B32</f>
        <v>0.000102632</v>
      </c>
      <c r="AA32" s="1" t="n">
        <f aca="false">LN(H32)-LN($B32)</f>
        <v>1.3461989833605</v>
      </c>
      <c r="AB32" s="1" t="n">
        <f aca="false">H32-$B32</f>
        <v>5.54458E-005</v>
      </c>
      <c r="AC32" s="1" t="n">
        <f aca="false">LN(I32)-LN($B32)</f>
        <v>1.68028850492303</v>
      </c>
      <c r="AD32" s="1" t="n">
        <f aca="false">I32-$B32</f>
        <v>8.5176E-005</v>
      </c>
      <c r="AE32" s="1" t="n">
        <f aca="false">LN(J32)-LN($B32)</f>
        <v>1.49786109613795</v>
      </c>
      <c r="AF32" s="1" t="n">
        <f aca="false">J32-$B32</f>
        <v>6.77201E-005</v>
      </c>
      <c r="AG32" s="1" t="n">
        <f aca="false">LN(K32)-LN($B32)</f>
        <v>1.38172461454968</v>
      </c>
      <c r="AH32" s="1" t="n">
        <f aca="false">K32-$B32</f>
        <v>5.81563E-005</v>
      </c>
      <c r="AI32" s="1" t="n">
        <f aca="false">LN(L32)-LN($B32)</f>
        <v>1.33573883475463</v>
      </c>
      <c r="AJ32" s="1" t="n">
        <f aca="false">L32-$B32</f>
        <v>5.46659E-005</v>
      </c>
      <c r="AK32" s="1" t="n">
        <f aca="false">LN(M32)-LN($B32)</f>
        <v>1.41235161570357</v>
      </c>
      <c r="AL32" s="1" t="n">
        <f aca="false">M32-$B32</f>
        <v>6.05716E-005</v>
      </c>
      <c r="AM32" s="1" t="n">
        <f aca="false">LN(N32)-LN($B32)</f>
        <v>2.57835923116007</v>
      </c>
      <c r="AN32" s="1" t="n">
        <f aca="false">N32-$B32</f>
        <v>0.000237471</v>
      </c>
    </row>
    <row r="33" customFormat="false" ht="15" hidden="false" customHeight="false" outlineLevel="0" collapsed="false">
      <c r="A33" s="0" t="n">
        <f aca="false">1+A32</f>
        <v>31</v>
      </c>
      <c r="B33" s="2" t="n">
        <v>3.90079E-006</v>
      </c>
      <c r="C33" s="0" t="n">
        <v>0.00019876</v>
      </c>
      <c r="D33" s="2" t="n">
        <v>4.91448E-005</v>
      </c>
      <c r="E33" s="2" t="n">
        <v>6.42304E-006</v>
      </c>
      <c r="F33" s="2" t="n">
        <v>2.92414E-006</v>
      </c>
      <c r="G33" s="2" t="n">
        <v>7.80715E-005</v>
      </c>
      <c r="H33" s="2" t="n">
        <v>3.72331E-005</v>
      </c>
      <c r="I33" s="2" t="n">
        <v>5.49934E-005</v>
      </c>
      <c r="J33" s="2" t="n">
        <v>4.88265E-005</v>
      </c>
      <c r="K33" s="2" t="n">
        <v>4.68892E-005</v>
      </c>
      <c r="L33" s="2" t="n">
        <v>4.3513E-005</v>
      </c>
      <c r="M33" s="2" t="n">
        <v>3.6034E-005</v>
      </c>
      <c r="N33" s="2" t="n">
        <v>0.000163792</v>
      </c>
      <c r="Q33" s="1" t="n">
        <f aca="false">LN(C33)-LN($B33)</f>
        <v>3.93091897000929</v>
      </c>
      <c r="R33" s="1" t="n">
        <f aca="false">C33-$B33</f>
        <v>0.00019485921</v>
      </c>
      <c r="S33" s="1" t="n">
        <f aca="false">LN(D33)-LN($B33)</f>
        <v>2.53359194569549</v>
      </c>
      <c r="T33" s="1" t="n">
        <f aca="false">D33-$B33</f>
        <v>4.524401E-005</v>
      </c>
      <c r="U33" s="1" t="n">
        <f aca="false">LN(E33)-LN($B33)</f>
        <v>0.498712429150929</v>
      </c>
      <c r="V33" s="1" t="n">
        <f aca="false">E33-$B33</f>
        <v>2.52225E-006</v>
      </c>
      <c r="W33" s="1" t="n">
        <f aca="false">LN(F33)-LN($B33)</f>
        <v>-0.288178676366524</v>
      </c>
      <c r="X33" s="1" t="n">
        <f aca="false">F33-$B33</f>
        <v>-9.7665E-007</v>
      </c>
      <c r="Y33" s="1" t="n">
        <f aca="false">LN(G33)-LN($B33)</f>
        <v>2.99644597674912</v>
      </c>
      <c r="Z33" s="1" t="n">
        <f aca="false">G33-$B33</f>
        <v>7.417071E-005</v>
      </c>
      <c r="AA33" s="1" t="n">
        <f aca="false">LN(H33)-LN($B33)</f>
        <v>2.25601905387655</v>
      </c>
      <c r="AB33" s="1" t="n">
        <f aca="false">H33-$B33</f>
        <v>3.333231E-005</v>
      </c>
      <c r="AC33" s="1" t="n">
        <f aca="false">LN(I33)-LN($B33)</f>
        <v>2.64603408130707</v>
      </c>
      <c r="AD33" s="1" t="n">
        <f aca="false">I33-$B33</f>
        <v>5.109261E-005</v>
      </c>
      <c r="AE33" s="1" t="n">
        <f aca="false">LN(J33)-LN($B33)</f>
        <v>2.52709410153221</v>
      </c>
      <c r="AF33" s="1" t="n">
        <f aca="false">J33-$B33</f>
        <v>4.492571E-005</v>
      </c>
      <c r="AG33" s="1" t="n">
        <f aca="false">LN(K33)-LN($B33)</f>
        <v>2.48660827502404</v>
      </c>
      <c r="AH33" s="1" t="n">
        <f aca="false">K33-$B33</f>
        <v>4.298841E-005</v>
      </c>
      <c r="AI33" s="1" t="n">
        <f aca="false">LN(L33)-LN($B33)</f>
        <v>2.41188064729759</v>
      </c>
      <c r="AJ33" s="1" t="n">
        <f aca="false">L33-$B33</f>
        <v>3.961221E-005</v>
      </c>
      <c r="AK33" s="1" t="n">
        <f aca="false">LN(M33)-LN($B33)</f>
        <v>2.22328384046868</v>
      </c>
      <c r="AL33" s="1" t="n">
        <f aca="false">M33-$B33</f>
        <v>3.213321E-005</v>
      </c>
      <c r="AM33" s="1" t="n">
        <f aca="false">LN(N33)-LN($B33)</f>
        <v>3.73741823345259</v>
      </c>
      <c r="AN33" s="1" t="n">
        <f aca="false">N33-$B33</f>
        <v>0.00015989121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54296875" defaultRowHeight="12.75" customHeight="false" zeroHeight="false" outlineLevelRow="0" outlineLevelCol="0"/>
  <cols>
    <col collapsed="false" customWidth="true" hidden="false" outlineLevel="0" max="8" min="1" style="0" width="12.15"/>
    <col collapsed="false" customWidth="true" hidden="false" outlineLevel="0" max="9" min="9" style="0" width="11.43"/>
  </cols>
  <sheetData>
    <row r="1" customFormat="false" ht="13.8" hidden="false" customHeight="false" outlineLevel="0" collapsed="false">
      <c r="A1" s="0" t="s">
        <v>0</v>
      </c>
      <c r="B1" s="0" t="s">
        <v>14</v>
      </c>
      <c r="C1" s="0" t="s">
        <v>15</v>
      </c>
      <c r="D1" s="0" t="s">
        <v>16</v>
      </c>
      <c r="E1" s="0" t="s">
        <v>11</v>
      </c>
      <c r="H1" s="0" t="str">
        <f aca="false">C1</f>
        <v>n%(r+653)</v>
      </c>
      <c r="I1" s="0" t="str">
        <f aca="false">C1</f>
        <v>n%(r+653)</v>
      </c>
      <c r="J1" s="0" t="str">
        <f aca="false">D1</f>
        <v>n%(+128)</v>
      </c>
      <c r="K1" s="0" t="str">
        <f aca="false">D1</f>
        <v>n%(+128)</v>
      </c>
      <c r="L1" s="0" t="str">
        <f aca="false">E1</f>
        <v>n%(w-d)</v>
      </c>
      <c r="M1" s="0" t="str">
        <f aca="false">E1</f>
        <v>n%(w-d)</v>
      </c>
    </row>
    <row r="2" customFormat="false" ht="13.8" hidden="false" customHeight="false" outlineLevel="0" collapsed="false">
      <c r="A2" s="0" t="n">
        <v>0</v>
      </c>
      <c r="B2" s="0" t="n">
        <v>26.2663</v>
      </c>
      <c r="C2" s="0" t="n">
        <v>25.1756</v>
      </c>
      <c r="G2" s="1" t="n">
        <f aca="false">LN(B2/(100-B2))-LN($B2/(100-$B2))</f>
        <v>0</v>
      </c>
      <c r="H2" s="1" t="n">
        <f aca="false">LN(C2/(100-C2))-LN($B2/(100-$B2))</f>
        <v>-0.0570955583723389</v>
      </c>
      <c r="I2" s="1" t="n">
        <f aca="false">C2-$B2</f>
        <v>-1.0907</v>
      </c>
      <c r="J2" s="1"/>
      <c r="K2" s="1"/>
    </row>
    <row r="3" customFormat="false" ht="13.8" hidden="false" customHeight="false" outlineLevel="0" collapsed="false">
      <c r="A3" s="0" t="n">
        <f aca="false">1+A2</f>
        <v>1</v>
      </c>
      <c r="B3" s="0" t="n">
        <v>27.9971</v>
      </c>
      <c r="C3" s="0" t="n">
        <v>26.23</v>
      </c>
      <c r="G3" s="1" t="n">
        <f aca="false">B3-$B3</f>
        <v>0</v>
      </c>
      <c r="H3" s="1" t="n">
        <f aca="false">LN(C3/(100-C3))-LN($B3/(100-$B3))</f>
        <v>-0.0894428884174651</v>
      </c>
      <c r="I3" s="1" t="n">
        <f aca="false">C3-$B3</f>
        <v>-1.7671</v>
      </c>
      <c r="J3" s="1"/>
      <c r="K3" s="1"/>
    </row>
    <row r="4" customFormat="false" ht="13.8" hidden="false" customHeight="false" outlineLevel="0" collapsed="false">
      <c r="A4" s="0" t="n">
        <f aca="false">1+A3</f>
        <v>2</v>
      </c>
      <c r="B4" s="0" t="n">
        <v>8.45358</v>
      </c>
      <c r="C4" s="0" t="n">
        <v>8.40052</v>
      </c>
      <c r="H4" s="1" t="n">
        <f aca="false">LN(C4/(100-C4))-LN($B4/(100-$B4))</f>
        <v>-0.00687584035749911</v>
      </c>
      <c r="I4" s="1" t="n">
        <f aca="false">C4-$B4</f>
        <v>-0.0530600000000003</v>
      </c>
      <c r="J4" s="1"/>
      <c r="K4" s="1"/>
    </row>
    <row r="5" customFormat="false" ht="13.8" hidden="false" customHeight="false" outlineLevel="0" collapsed="false">
      <c r="A5" s="0" t="n">
        <f aca="false">1+A4</f>
        <v>3</v>
      </c>
      <c r="B5" s="0" t="n">
        <v>7.78302</v>
      </c>
      <c r="C5" s="0" t="n">
        <v>8.01443</v>
      </c>
      <c r="H5" s="1" t="n">
        <f aca="false">LN(C5/(100-C5))-LN($B5/(100-$B5))</f>
        <v>0.0318117907434266</v>
      </c>
      <c r="I5" s="1" t="n">
        <f aca="false">C5-$B5</f>
        <v>0.231410000000001</v>
      </c>
      <c r="J5" s="1"/>
      <c r="K5" s="1"/>
    </row>
    <row r="6" customFormat="false" ht="13.8" hidden="false" customHeight="false" outlineLevel="0" collapsed="false">
      <c r="A6" s="0" t="n">
        <f aca="false">1+A5</f>
        <v>4</v>
      </c>
      <c r="B6" s="0" t="n">
        <v>6.28993</v>
      </c>
      <c r="C6" s="0" t="n">
        <v>6.58205</v>
      </c>
      <c r="H6" s="1" t="n">
        <f aca="false">LN(C6/(100-C6))-LN($B6/(100-$B6))</f>
        <v>0.0485184482898111</v>
      </c>
      <c r="I6" s="1" t="n">
        <f aca="false">C6-$B6</f>
        <v>0.29212</v>
      </c>
      <c r="J6" s="1"/>
      <c r="K6" s="1"/>
    </row>
    <row r="7" customFormat="false" ht="13.8" hidden="false" customHeight="false" outlineLevel="0" collapsed="false">
      <c r="A7" s="0" t="n">
        <f aca="false">1+A6</f>
        <v>5</v>
      </c>
      <c r="B7" s="0" t="n">
        <v>4.71501</v>
      </c>
      <c r="C7" s="0" t="n">
        <v>4.93993</v>
      </c>
      <c r="H7" s="1" t="n">
        <f aca="false">LN(C7/(100-C7))-LN($B7/(100-$B7))</f>
        <v>0.0489634121544067</v>
      </c>
      <c r="I7" s="1" t="n">
        <f aca="false">C7-$B7</f>
        <v>0.22492</v>
      </c>
      <c r="J7" s="1"/>
      <c r="K7" s="1"/>
    </row>
    <row r="8" customFormat="false" ht="13.8" hidden="false" customHeight="false" outlineLevel="0" collapsed="false">
      <c r="A8" s="0" t="n">
        <f aca="false">1+A7</f>
        <v>6</v>
      </c>
      <c r="B8" s="0" t="n">
        <v>3.60666</v>
      </c>
      <c r="C8" s="0" t="n">
        <v>3.78925</v>
      </c>
      <c r="H8" s="1" t="n">
        <f aca="false">LN(C8/(100-C8))-LN($B8/(100-$B8))</f>
        <v>0.0512819883126441</v>
      </c>
      <c r="I8" s="1" t="n">
        <f aca="false">C8-$B8</f>
        <v>0.18259</v>
      </c>
      <c r="J8" s="1"/>
      <c r="K8" s="1"/>
    </row>
    <row r="9" customFormat="false" ht="13.8" hidden="false" customHeight="false" outlineLevel="0" collapsed="false">
      <c r="A9" s="0" t="n">
        <f aca="false">1+A8</f>
        <v>7</v>
      </c>
      <c r="B9" s="0" t="n">
        <v>2.99493</v>
      </c>
      <c r="C9" s="0" t="n">
        <v>3.19432</v>
      </c>
      <c r="H9" s="1" t="n">
        <f aca="false">LN(C9/(100-C9))-LN($B9/(100-$B9))</f>
        <v>0.0665109485511244</v>
      </c>
      <c r="I9" s="1" t="n">
        <f aca="false">C9-$B9</f>
        <v>0.19939</v>
      </c>
      <c r="J9" s="1"/>
      <c r="K9" s="1"/>
    </row>
    <row r="10" customFormat="false" ht="13.8" hidden="false" customHeight="false" outlineLevel="0" collapsed="false">
      <c r="A10" s="0" t="n">
        <f aca="false">1+A9</f>
        <v>8</v>
      </c>
      <c r="B10" s="0" t="n">
        <v>2.53763</v>
      </c>
      <c r="C10" s="0" t="n">
        <v>2.80235</v>
      </c>
      <c r="H10" s="1" t="n">
        <f aca="false">LN(C10/(100-C10))-LN($B10/(100-$B10))</f>
        <v>0.101947596878504</v>
      </c>
      <c r="I10" s="1" t="n">
        <f aca="false">C10-$B10</f>
        <v>0.26472</v>
      </c>
      <c r="J10" s="1"/>
      <c r="K10" s="1"/>
    </row>
    <row r="11" customFormat="false" ht="13.8" hidden="false" customHeight="false" outlineLevel="0" collapsed="false">
      <c r="A11" s="0" t="n">
        <f aca="false">1+A10</f>
        <v>9</v>
      </c>
      <c r="B11" s="0" t="n">
        <v>2.12875</v>
      </c>
      <c r="C11" s="0" t="n">
        <v>2.44857</v>
      </c>
      <c r="H11" s="1" t="n">
        <f aca="false">LN(C11/(100-C11))-LN($B11/(100-$B11))</f>
        <v>0.143242340978702</v>
      </c>
      <c r="I11" s="1" t="n">
        <f aca="false">C11-$B11</f>
        <v>0.31982</v>
      </c>
      <c r="J11" s="1"/>
      <c r="K11" s="1"/>
    </row>
    <row r="12" customFormat="false" ht="13.8" hidden="false" customHeight="false" outlineLevel="0" collapsed="false">
      <c r="A12" s="0" t="n">
        <f aca="false">1+A11</f>
        <v>10</v>
      </c>
      <c r="B12" s="0" t="n">
        <v>1.73073</v>
      </c>
      <c r="C12" s="0" t="n">
        <v>2.03036</v>
      </c>
      <c r="H12" s="1" t="n">
        <f aca="false">LN(C12/(100-C12))-LN($B12/(100-$B12))</f>
        <v>0.162723561484962</v>
      </c>
      <c r="I12" s="1" t="n">
        <f aca="false">C12-$B12</f>
        <v>0.29963</v>
      </c>
      <c r="J12" s="1"/>
      <c r="K12" s="1"/>
    </row>
    <row r="13" customFormat="false" ht="13.8" hidden="false" customHeight="false" outlineLevel="0" collapsed="false">
      <c r="A13" s="0" t="n">
        <f aca="false">1+A12</f>
        <v>11</v>
      </c>
      <c r="B13" s="0" t="n">
        <v>1.39171</v>
      </c>
      <c r="C13" s="0" t="n">
        <v>1.65191</v>
      </c>
      <c r="H13" s="1" t="n">
        <f aca="false">LN(C13/(100-C13))-LN($B13/(100-$B13))</f>
        <v>0.174041198265495</v>
      </c>
      <c r="I13" s="1" t="n">
        <f aca="false">C13-$B13</f>
        <v>0.2602</v>
      </c>
      <c r="J13" s="1"/>
      <c r="K13" s="1"/>
    </row>
    <row r="14" customFormat="false" ht="13.8" hidden="false" customHeight="false" outlineLevel="0" collapsed="false">
      <c r="A14" s="0" t="n">
        <f aca="false">1+A13</f>
        <v>12</v>
      </c>
      <c r="B14" s="0" t="n">
        <v>1.08697</v>
      </c>
      <c r="C14" s="0" t="n">
        <v>1.27</v>
      </c>
      <c r="H14" s="1" t="n">
        <f aca="false">LN(C14/(100-C14))-LN($B14/(100-$B14))</f>
        <v>0.157475019177125</v>
      </c>
      <c r="I14" s="1" t="n">
        <f aca="false">C14-$B14</f>
        <v>0.18303</v>
      </c>
      <c r="J14" s="1"/>
      <c r="K14" s="1"/>
    </row>
    <row r="15" customFormat="false" ht="13.8" hidden="false" customHeight="false" outlineLevel="0" collapsed="false">
      <c r="A15" s="0" t="n">
        <f aca="false">1+A14</f>
        <v>13</v>
      </c>
      <c r="B15" s="0" t="n">
        <v>0.820004</v>
      </c>
      <c r="C15" s="0" t="n">
        <v>0.928125</v>
      </c>
      <c r="H15" s="1" t="n">
        <f aca="false">LN(C15/(100-C15))-LN($B15/(100-$B15))</f>
        <v>0.124947947608403</v>
      </c>
      <c r="I15" s="1" t="n">
        <f aca="false">C15-$B15</f>
        <v>0.108121</v>
      </c>
      <c r="J15" s="1"/>
      <c r="K15" s="1"/>
    </row>
    <row r="16" customFormat="false" ht="13.8" hidden="false" customHeight="false" outlineLevel="0" collapsed="false">
      <c r="A16" s="0" t="n">
        <f aca="false">1+A15</f>
        <v>14</v>
      </c>
      <c r="B16" s="0" t="n">
        <v>0.608468</v>
      </c>
      <c r="C16" s="0" t="n">
        <v>0.672561</v>
      </c>
      <c r="H16" s="1" t="n">
        <f aca="false">LN(C16/(100-C16))-LN($B16/(100-$B16))</f>
        <v>0.100793552705502</v>
      </c>
      <c r="I16" s="1" t="n">
        <f aca="false">C16-$B16</f>
        <v>0.064093</v>
      </c>
      <c r="J16" s="1"/>
      <c r="K16" s="1"/>
    </row>
    <row r="17" customFormat="false" ht="13.8" hidden="false" customHeight="false" outlineLevel="0" collapsed="false">
      <c r="A17" s="0" t="n">
        <f aca="false">1+A16</f>
        <v>15</v>
      </c>
      <c r="B17" s="0" t="n">
        <v>0.444986</v>
      </c>
      <c r="C17" s="0" t="n">
        <v>0.487369</v>
      </c>
      <c r="H17" s="1" t="n">
        <f aca="false">LN(C17/(100-C17))-LN($B17/(100-$B17))</f>
        <v>0.0914045304412685</v>
      </c>
      <c r="I17" s="1" t="n">
        <f aca="false">C17-$B17</f>
        <v>0.042383</v>
      </c>
      <c r="J17" s="1"/>
      <c r="K17" s="1"/>
    </row>
    <row r="18" customFormat="false" ht="13.8" hidden="false" customHeight="false" outlineLevel="0" collapsed="false">
      <c r="A18" s="0" t="n">
        <f aca="false">1+A17</f>
        <v>16</v>
      </c>
      <c r="B18" s="0" t="n">
        <v>0.324951</v>
      </c>
      <c r="C18" s="0" t="n">
        <v>0.359476</v>
      </c>
      <c r="H18" s="1" t="n">
        <f aca="false">LN(C18/(100-C18))-LN($B18/(100-$B18))</f>
        <v>0.101319449365094</v>
      </c>
      <c r="I18" s="1" t="n">
        <f aca="false">C18-$B18</f>
        <v>0.034525</v>
      </c>
      <c r="J18" s="1"/>
      <c r="K18" s="1"/>
    </row>
    <row r="19" customFormat="false" ht="13.8" hidden="false" customHeight="false" outlineLevel="0" collapsed="false">
      <c r="A19" s="0" t="n">
        <f aca="false">1+A18</f>
        <v>17</v>
      </c>
      <c r="B19" s="0" t="n">
        <v>0.236503</v>
      </c>
      <c r="C19" s="0" t="n">
        <v>0.265857</v>
      </c>
      <c r="H19" s="1" t="n">
        <f aca="false">LN(C19/(100-C19))-LN($B19/(100-$B19))</f>
        <v>0.117291956572861</v>
      </c>
      <c r="I19" s="1" t="n">
        <f aca="false">C19-$B19</f>
        <v>0.029354</v>
      </c>
      <c r="J19" s="1"/>
      <c r="K19" s="1"/>
    </row>
    <row r="20" customFormat="false" ht="13.8" hidden="false" customHeight="false" outlineLevel="0" collapsed="false">
      <c r="A20" s="0" t="n">
        <f aca="false">1+A19</f>
        <v>18</v>
      </c>
      <c r="B20" s="0" t="n">
        <v>0.170747</v>
      </c>
      <c r="C20" s="0" t="n">
        <v>0.196026</v>
      </c>
      <c r="H20" s="1" t="n">
        <f aca="false">LN(C20/(100-C20))-LN($B20/(100-$B20))</f>
        <v>0.138317629179466</v>
      </c>
      <c r="I20" s="1" t="n">
        <f aca="false">C20-$B20</f>
        <v>0.025279</v>
      </c>
      <c r="J20" s="1"/>
      <c r="K20" s="1"/>
    </row>
    <row r="21" customFormat="false" ht="13.8" hidden="false" customHeight="false" outlineLevel="0" collapsed="false">
      <c r="A21" s="0" t="n">
        <f aca="false">1+A20</f>
        <v>19</v>
      </c>
      <c r="B21" s="0" t="n">
        <v>0.122323</v>
      </c>
      <c r="C21" s="0" t="n">
        <v>0.14403</v>
      </c>
      <c r="H21" s="1" t="n">
        <f aca="false">LN(C21/(100-C21))-LN($B21/(100-$B21))</f>
        <v>0.16357388352962</v>
      </c>
      <c r="I21" s="1" t="n">
        <f aca="false">C21-$B21</f>
        <v>0.021707</v>
      </c>
      <c r="J21" s="1"/>
      <c r="K21" s="1"/>
    </row>
    <row r="22" customFormat="false" ht="13.8" hidden="false" customHeight="false" outlineLevel="0" collapsed="false">
      <c r="A22" s="0" t="n">
        <f aca="false">1+A21</f>
        <v>20</v>
      </c>
      <c r="B22" s="0" t="n">
        <v>0.0871234</v>
      </c>
      <c r="C22" s="0" t="n">
        <v>0.106025</v>
      </c>
      <c r="H22" s="1" t="n">
        <f aca="false">LN(C22/(100-C22))-LN($B22/(100-$B22))</f>
        <v>0.196538609585245</v>
      </c>
      <c r="I22" s="1" t="n">
        <f aca="false">C22-$B22</f>
        <v>0.0189016</v>
      </c>
      <c r="J22" s="1"/>
      <c r="K22" s="1"/>
    </row>
    <row r="23" customFormat="false" ht="13.8" hidden="false" customHeight="false" outlineLevel="0" collapsed="false">
      <c r="A23" s="0" t="n">
        <f aca="false">1+A22</f>
        <v>21</v>
      </c>
      <c r="B23" s="0" t="n">
        <v>0.0617216</v>
      </c>
      <c r="C23" s="0" t="n">
        <v>0.0785077</v>
      </c>
      <c r="H23" s="1" t="n">
        <f aca="false">LN(C23/(100-C23))-LN($B23/(100-$B23))</f>
        <v>0.240730737243485</v>
      </c>
      <c r="I23" s="1" t="n">
        <f aca="false">C23-$B23</f>
        <v>0.0167861</v>
      </c>
      <c r="J23" s="1"/>
      <c r="K23" s="1"/>
    </row>
    <row r="24" customFormat="false" ht="13.8" hidden="false" customHeight="false" outlineLevel="0" collapsed="false">
      <c r="A24" s="0" t="n">
        <f aca="false">1+A23</f>
        <v>22</v>
      </c>
      <c r="B24" s="0" t="n">
        <v>0.0433984</v>
      </c>
      <c r="C24" s="0" t="n">
        <v>0.0583977</v>
      </c>
      <c r="H24" s="1" t="n">
        <f aca="false">LN(C24/(100-C24))-LN($B24/(100-$B24))</f>
        <v>0.297004000812325</v>
      </c>
      <c r="I24" s="1" t="n">
        <f aca="false">C24-$B24</f>
        <v>0.0149993</v>
      </c>
      <c r="J24" s="1"/>
      <c r="K24" s="1"/>
    </row>
    <row r="25" customFormat="false" ht="13.8" hidden="false" customHeight="false" outlineLevel="0" collapsed="false">
      <c r="A25" s="0" t="n">
        <f aca="false">1+A24</f>
        <v>23</v>
      </c>
      <c r="B25" s="0" t="n">
        <v>0.0303281</v>
      </c>
      <c r="C25" s="0" t="n">
        <v>0.0437727</v>
      </c>
      <c r="H25" s="1" t="n">
        <f aca="false">LN(C25/(100-C25))-LN($B25/(100-$B25))</f>
        <v>0.367070155726466</v>
      </c>
      <c r="I25" s="1" t="n">
        <f aca="false">C25-$B25</f>
        <v>0.0134446</v>
      </c>
      <c r="J25" s="1"/>
      <c r="K25" s="1"/>
    </row>
    <row r="26" customFormat="false" ht="13.8" hidden="false" customHeight="false" outlineLevel="0" collapsed="false">
      <c r="A26" s="0" t="n">
        <f aca="false">1+A25</f>
        <v>24</v>
      </c>
      <c r="B26" s="0" t="n">
        <v>0.0211236</v>
      </c>
      <c r="C26" s="0" t="n">
        <v>0.0330327</v>
      </c>
      <c r="H26" s="1" t="n">
        <f aca="false">LN(C26/(100-C26))-LN($B26/(100-$B26))</f>
        <v>0.447226204329784</v>
      </c>
      <c r="I26" s="1" t="n">
        <f aca="false">C26-$B26</f>
        <v>0.0119091</v>
      </c>
      <c r="J26" s="1"/>
      <c r="K26" s="1"/>
    </row>
    <row r="27" customFormat="false" ht="13.8" hidden="false" customHeight="false" outlineLevel="0" collapsed="false">
      <c r="A27" s="0" t="n">
        <f aca="false">1+A26</f>
        <v>25</v>
      </c>
      <c r="B27" s="0" t="n">
        <v>0.0146606</v>
      </c>
      <c r="C27" s="0" t="n">
        <v>0.0251018</v>
      </c>
      <c r="H27" s="1" t="n">
        <f aca="false">LN(C27/(100-C27))-LN($B27/(100-$B27))</f>
        <v>0.537880366161069</v>
      </c>
      <c r="I27" s="1" t="n">
        <f aca="false">C27-$B27</f>
        <v>0.0104412</v>
      </c>
      <c r="J27" s="1"/>
      <c r="K27" s="1"/>
    </row>
    <row r="28" customFormat="false" ht="13.8" hidden="false" customHeight="false" outlineLevel="0" collapsed="false">
      <c r="A28" s="0" t="n">
        <f aca="false">1+A27</f>
        <v>26</v>
      </c>
      <c r="B28" s="0" t="n">
        <v>0.0101137</v>
      </c>
      <c r="C28" s="0" t="n">
        <v>0.0191027</v>
      </c>
      <c r="H28" s="1" t="n">
        <f aca="false">LN(C28/(100-C28))-LN($B28/(100-$B28))</f>
        <v>0.636028649088843</v>
      </c>
      <c r="I28" s="1" t="n">
        <f aca="false">C28-$B28</f>
        <v>0.008989</v>
      </c>
      <c r="J28" s="1"/>
      <c r="K28" s="1"/>
    </row>
    <row r="29" customFormat="false" ht="13.8" hidden="false" customHeight="false" outlineLevel="0" collapsed="false">
      <c r="A29" s="0" t="n">
        <f aca="false">1+A28</f>
        <v>27</v>
      </c>
      <c r="B29" s="0" t="n">
        <v>0.00696465</v>
      </c>
      <c r="C29" s="0" t="n">
        <v>0.014535</v>
      </c>
      <c r="H29" s="1" t="n">
        <f aca="false">LN(C29/(100-C29))-LN($B29/(100-$B29))</f>
        <v>0.735787890936893</v>
      </c>
      <c r="I29" s="1" t="n">
        <f aca="false">C29-$B29</f>
        <v>0.00757035</v>
      </c>
      <c r="J29" s="1"/>
      <c r="K29" s="1"/>
    </row>
    <row r="30" customFormat="false" ht="13.8" hidden="false" customHeight="false" outlineLevel="0" collapsed="false">
      <c r="A30" s="0" t="n">
        <f aca="false">1+A29</f>
        <v>28</v>
      </c>
      <c r="B30" s="0" t="n">
        <v>0.00474793</v>
      </c>
      <c r="C30" s="0" t="n">
        <v>0.010986</v>
      </c>
      <c r="H30" s="1" t="n">
        <f aca="false">LN(C30/(100-C30))-LN($B30/(100-$B30))</f>
        <v>0.838975386939266</v>
      </c>
      <c r="I30" s="1" t="n">
        <f aca="false">C30-$B30</f>
        <v>0.00623807</v>
      </c>
      <c r="J30" s="1"/>
      <c r="K30" s="1"/>
    </row>
    <row r="31" customFormat="false" ht="13.8" hidden="false" customHeight="false" outlineLevel="0" collapsed="false">
      <c r="A31" s="0" t="n">
        <f aca="false">1+A30</f>
        <v>29</v>
      </c>
      <c r="B31" s="0" t="n">
        <v>0.00323517</v>
      </c>
      <c r="C31" s="0" t="n">
        <v>0.00823717</v>
      </c>
      <c r="H31" s="1" t="n">
        <f aca="false">LN(C31/(100-C31))-LN($B31/(100-$B31))</f>
        <v>0.934625384393566</v>
      </c>
      <c r="I31" s="1" t="n">
        <f aca="false">C31-$B31</f>
        <v>0.005002</v>
      </c>
      <c r="J31" s="1"/>
      <c r="K31" s="1"/>
    </row>
    <row r="32" customFormat="false" ht="13.8" hidden="false" customHeight="false" outlineLevel="0" collapsed="false">
      <c r="A32" s="0" t="n">
        <f aca="false">1+A31</f>
        <v>30</v>
      </c>
      <c r="B32" s="0" t="n">
        <v>0.00218124</v>
      </c>
      <c r="C32" s="0" t="n">
        <v>0.00607874</v>
      </c>
      <c r="H32" s="1" t="n">
        <f aca="false">LN(C32/(100-C32))-LN($B32/(100-$B32))</f>
        <v>1.02494289183831</v>
      </c>
      <c r="I32" s="1" t="n">
        <f aca="false">C32-$B32</f>
        <v>0.0038975</v>
      </c>
      <c r="J32" s="1"/>
      <c r="K32" s="1"/>
    </row>
    <row r="33" customFormat="false" ht="13.8" hidden="false" customHeight="false" outlineLevel="0" collapsed="false">
      <c r="A33" s="0" t="n">
        <f aca="false">1+A32</f>
        <v>31</v>
      </c>
      <c r="B33" s="0" t="n">
        <v>0.00145555</v>
      </c>
      <c r="C33" s="0" t="n">
        <v>0.00440983</v>
      </c>
      <c r="H33" s="1" t="n">
        <f aca="false">LN(C33/(100-C33))-LN($B33/(100-$B33))</f>
        <v>1.10848184755961</v>
      </c>
      <c r="I33" s="1" t="n">
        <f aca="false">C33-$B33</f>
        <v>0.00295428</v>
      </c>
      <c r="J33" s="1"/>
      <c r="K33" s="1"/>
    </row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54296875" defaultRowHeight="12.75" customHeight="false" zeroHeight="false" outlineLevelRow="0" outlineLevelCol="0"/>
  <cols>
    <col collapsed="false" customWidth="true" hidden="false" outlineLevel="0" max="8" min="1" style="0" width="12.15"/>
    <col collapsed="false" customWidth="true" hidden="false" outlineLevel="0" max="9" min="9" style="0" width="11.43"/>
  </cols>
  <sheetData>
    <row r="1" customFormat="false" ht="13.8" hidden="false" customHeight="false" outlineLevel="0" collapsed="false">
      <c r="A1" s="0" t="s">
        <v>0</v>
      </c>
      <c r="B1" s="0" t="s">
        <v>14</v>
      </c>
      <c r="C1" s="0" t="s">
        <v>15</v>
      </c>
      <c r="D1" s="0" t="s">
        <v>16</v>
      </c>
      <c r="E1" s="0" t="s">
        <v>11</v>
      </c>
      <c r="H1" s="0" t="str">
        <f aca="false">C1</f>
        <v>n%(r+653)</v>
      </c>
      <c r="I1" s="0" t="str">
        <f aca="false">C1</f>
        <v>n%(r+653)</v>
      </c>
      <c r="J1" s="0" t="str">
        <f aca="false">D1</f>
        <v>n%(+128)</v>
      </c>
      <c r="K1" s="0" t="str">
        <f aca="false">D1</f>
        <v>n%(+128)</v>
      </c>
      <c r="L1" s="0" t="str">
        <f aca="false">E1</f>
        <v>n%(w-d)</v>
      </c>
      <c r="M1" s="0" t="str">
        <f aca="false">E1</f>
        <v>n%(w-d)</v>
      </c>
    </row>
    <row r="2" customFormat="false" ht="13.8" hidden="false" customHeight="false" outlineLevel="0" collapsed="false">
      <c r="A2" s="0" t="n">
        <v>0</v>
      </c>
      <c r="B2" s="0" t="n">
        <v>26.726</v>
      </c>
      <c r="C2" s="0" t="n">
        <v>26.7753</v>
      </c>
      <c r="D2" s="0" t="n">
        <v>26.7148</v>
      </c>
      <c r="E2" s="0" t="n">
        <v>26.6824</v>
      </c>
      <c r="G2" s="1" t="n">
        <f aca="false">LN(B2/(100-B2))-LN($B2/(100-$B2))</f>
        <v>0</v>
      </c>
      <c r="H2" s="1" t="n">
        <f aca="false">LN(C2/(100-C2))-LN($B2/(100-$B2))</f>
        <v>0.00251598993443491</v>
      </c>
      <c r="I2" s="1" t="n">
        <f aca="false">C2-$B2</f>
        <v>0.0493000000000023</v>
      </c>
      <c r="J2" s="1" t="n">
        <f aca="false">LN(D2/(100-D2))-LN($B2/(100-$B2))</f>
        <v>-0.000571994670522713</v>
      </c>
      <c r="K2" s="1" t="n">
        <f aca="false">D2-$B2</f>
        <v>-0.0111999999999988</v>
      </c>
      <c r="L2" s="1" t="n">
        <f aca="false">LN(E2/(100-E2))-LN($B2/(100-$B2))</f>
        <v>-0.00222755226175275</v>
      </c>
      <c r="M2" s="1" t="n">
        <f aca="false">E2-$B2</f>
        <v>-0.0435999999999979</v>
      </c>
    </row>
    <row r="3" customFormat="false" ht="13.8" hidden="false" customHeight="false" outlineLevel="0" collapsed="false">
      <c r="A3" s="0" t="n">
        <f aca="false">1+A2</f>
        <v>1</v>
      </c>
      <c r="B3" s="0" t="n">
        <v>29.968</v>
      </c>
      <c r="C3" s="0" t="n">
        <v>30.4809</v>
      </c>
      <c r="D3" s="0" t="n">
        <v>30.3425</v>
      </c>
      <c r="E3" s="0" t="n">
        <v>29.9776</v>
      </c>
      <c r="G3" s="1" t="n">
        <f aca="false">B3-$B3</f>
        <v>0</v>
      </c>
      <c r="H3" s="1" t="n">
        <f aca="false">LN(C3/(100-C3))-LN($B3/(100-$B3))</f>
        <v>0.0243208577298846</v>
      </c>
      <c r="I3" s="1" t="n">
        <f aca="false">C3-$B3</f>
        <v>0.512899999999998</v>
      </c>
      <c r="J3" s="1" t="n">
        <f aca="false">LN(D3/(100-D3))-LN($B3/(100-$B3))</f>
        <v>0.0177811290531226</v>
      </c>
      <c r="K3" s="1" t="n">
        <f aca="false">D3-$B3</f>
        <v>0.374500000000001</v>
      </c>
      <c r="L3" s="1" t="n">
        <f aca="false">LN(E3/(100-E3))-LN($B3/(100-$B3))</f>
        <v>0.000457379987624629</v>
      </c>
      <c r="M3" s="1" t="n">
        <f aca="false">E3-$B3</f>
        <v>0.00959999999999894</v>
      </c>
    </row>
    <row r="4" customFormat="false" ht="13.8" hidden="false" customHeight="false" outlineLevel="0" collapsed="false">
      <c r="A4" s="0" t="n">
        <f aca="false">1+A3</f>
        <v>2</v>
      </c>
      <c r="B4" s="0" t="n">
        <v>8.57031</v>
      </c>
      <c r="C4" s="0" t="n">
        <v>8.42922</v>
      </c>
      <c r="D4" s="0" t="n">
        <v>8.47397</v>
      </c>
      <c r="E4" s="0" t="n">
        <v>8.5903</v>
      </c>
      <c r="H4" s="1" t="n">
        <f aca="false">LN(C4/(100-C4))-LN($B4/(100-$B4))</f>
        <v>-0.0181416271668096</v>
      </c>
      <c r="I4" s="1" t="n">
        <f aca="false">C4-$B4</f>
        <v>-0.141089999999998</v>
      </c>
      <c r="J4" s="1" t="n">
        <f aca="false">LN(D4/(100-D4))-LN($B4/(100-$B4))</f>
        <v>-0.0123579437937735</v>
      </c>
      <c r="K4" s="1" t="n">
        <f aca="false">D4-$B4</f>
        <v>-0.0963399999999997</v>
      </c>
      <c r="L4" s="1" t="n">
        <f aca="false">LN(E4/(100-E4))-LN($B4/(100-$B4))</f>
        <v>0.00254841692088137</v>
      </c>
      <c r="M4" s="1" t="n">
        <f aca="false">E4-$B4</f>
        <v>0.01999</v>
      </c>
    </row>
    <row r="5" customFormat="false" ht="13.8" hidden="false" customHeight="false" outlineLevel="0" collapsed="false">
      <c r="A5" s="0" t="n">
        <f aca="false">1+A4</f>
        <v>3</v>
      </c>
      <c r="B5" s="0" t="n">
        <v>7.62121</v>
      </c>
      <c r="C5" s="0" t="n">
        <v>7.50608</v>
      </c>
      <c r="D5" s="0" t="n">
        <v>7.56378</v>
      </c>
      <c r="E5" s="0" t="n">
        <v>7.64175</v>
      </c>
      <c r="H5" s="1" t="n">
        <f aca="false">LN(C5/(100-C5))-LN($B5/(100-$B5))</f>
        <v>-0.0164672967319226</v>
      </c>
      <c r="I5" s="1" t="n">
        <f aca="false">C5-$B5</f>
        <v>-0.11513</v>
      </c>
      <c r="J5" s="1" t="n">
        <f aca="false">LN(D5/(100-D5))-LN($B5/(100-$B5))</f>
        <v>-0.00818557084775451</v>
      </c>
      <c r="K5" s="1" t="n">
        <f aca="false">D5-$B5</f>
        <v>-0.0574299999999992</v>
      </c>
      <c r="L5" s="1" t="n">
        <f aca="false">LN(E5/(100-E5))-LN($B5/(100-$B5))</f>
        <v>0.00291385493019058</v>
      </c>
      <c r="M5" s="1" t="n">
        <f aca="false">E5-$B5</f>
        <v>0.0205400000000004</v>
      </c>
    </row>
    <row r="6" customFormat="false" ht="13.8" hidden="false" customHeight="false" outlineLevel="0" collapsed="false">
      <c r="A6" s="0" t="n">
        <f aca="false">1+A5</f>
        <v>4</v>
      </c>
      <c r="B6" s="0" t="n">
        <v>6.19738</v>
      </c>
      <c r="C6" s="0" t="n">
        <v>6.11954</v>
      </c>
      <c r="D6" s="0" t="n">
        <v>6.15812</v>
      </c>
      <c r="E6" s="0" t="n">
        <v>6.20086</v>
      </c>
      <c r="H6" s="1" t="n">
        <f aca="false">LN(C6/(100-C6))-LN($B6/(100-$B6))</f>
        <v>-0.0134691752440679</v>
      </c>
      <c r="I6" s="1" t="n">
        <f aca="false">C6-$B6</f>
        <v>-0.0778400000000001</v>
      </c>
      <c r="J6" s="1" t="n">
        <f aca="false">LN(D6/(100-D6))-LN($B6/(100-$B6))</f>
        <v>-0.00677353678802017</v>
      </c>
      <c r="K6" s="1" t="n">
        <f aca="false">D6-$B6</f>
        <v>-0.0392599999999996</v>
      </c>
      <c r="L6" s="1" t="n">
        <f aca="false">LN(E6/(100-E6))-LN($B6/(100-$B6))</f>
        <v>0.000598469880811248</v>
      </c>
      <c r="M6" s="1" t="n">
        <f aca="false">E6-$B6</f>
        <v>0.00347999999999971</v>
      </c>
    </row>
    <row r="7" customFormat="false" ht="13.8" hidden="false" customHeight="false" outlineLevel="0" collapsed="false">
      <c r="A7" s="0" t="n">
        <f aca="false">1+A6</f>
        <v>5</v>
      </c>
      <c r="B7" s="0" t="n">
        <v>4.64291</v>
      </c>
      <c r="C7" s="0" t="n">
        <v>4.5853</v>
      </c>
      <c r="D7" s="0" t="n">
        <v>4.60123</v>
      </c>
      <c r="E7" s="0" t="n">
        <v>4.63159</v>
      </c>
      <c r="H7" s="1" t="n">
        <f aca="false">LN(C7/(100-C7))-LN($B7/(100-$B7))</f>
        <v>-0.0130897582329648</v>
      </c>
      <c r="I7" s="1" t="n">
        <f aca="false">C7-$B7</f>
        <v>-0.0576099999999995</v>
      </c>
      <c r="J7" s="1" t="n">
        <f aca="false">LN(D7/(100-D7))-LN($B7/(100-$B7))</f>
        <v>-0.0094546641517872</v>
      </c>
      <c r="K7" s="1" t="n">
        <f aca="false">D7-$B7</f>
        <v>-0.0416799999999995</v>
      </c>
      <c r="L7" s="1" t="n">
        <f aca="false">LN(E7/(100-E7))-LN($B7/(100-$B7))</f>
        <v>-0.00255980778901987</v>
      </c>
      <c r="M7" s="1" t="n">
        <f aca="false">E7-$B7</f>
        <v>-0.0113199999999996</v>
      </c>
    </row>
    <row r="8" customFormat="false" ht="13.8" hidden="false" customHeight="false" outlineLevel="0" collapsed="false">
      <c r="A8" s="0" t="n">
        <f aca="false">1+A7</f>
        <v>6</v>
      </c>
      <c r="B8" s="0" t="n">
        <v>3.54379</v>
      </c>
      <c r="C8" s="0" t="n">
        <v>3.50273</v>
      </c>
      <c r="D8" s="0" t="n">
        <v>3.50976</v>
      </c>
      <c r="E8" s="0" t="n">
        <v>3.53238</v>
      </c>
      <c r="H8" s="1" t="n">
        <f aca="false">LN(C8/(100-C8))-LN($B8/(100-$B8))</f>
        <v>-0.0120797062729059</v>
      </c>
      <c r="I8" s="1" t="n">
        <f aca="false">C8-$B8</f>
        <v>-0.0410599999999999</v>
      </c>
      <c r="J8" s="1" t="n">
        <f aca="false">LN(D8/(100-D8))-LN($B8/(100-$B8))</f>
        <v>-0.010001857198974</v>
      </c>
      <c r="K8" s="1" t="n">
        <f aca="false">D8-$B8</f>
        <v>-0.03403</v>
      </c>
      <c r="L8" s="1" t="n">
        <f aca="false">LN(E8/(100-E8))-LN($B8/(100-$B8))</f>
        <v>-0.00334319620949719</v>
      </c>
      <c r="M8" s="1" t="n">
        <f aca="false">E8-$B8</f>
        <v>-0.0114100000000001</v>
      </c>
    </row>
    <row r="9" customFormat="false" ht="13.8" hidden="false" customHeight="false" outlineLevel="0" collapsed="false">
      <c r="A9" s="0" t="n">
        <f aca="false">1+A8</f>
        <v>7</v>
      </c>
      <c r="B9" s="0" t="n">
        <v>2.89255</v>
      </c>
      <c r="C9" s="0" t="n">
        <v>2.86157</v>
      </c>
      <c r="D9" s="0" t="n">
        <v>2.86997</v>
      </c>
      <c r="E9" s="0" t="n">
        <v>2.88601</v>
      </c>
      <c r="H9" s="1" t="n">
        <f aca="false">LN(C9/(100-C9))-LN($B9/(100-$B9))</f>
        <v>-0.0110870179259006</v>
      </c>
      <c r="I9" s="1" t="n">
        <f aca="false">C9-$B9</f>
        <v>-0.03098</v>
      </c>
      <c r="J9" s="1" t="n">
        <f aca="false">LN(D9/(100-D9))-LN($B9/(100-$B9))</f>
        <v>-0.00806938816455727</v>
      </c>
      <c r="K9" s="1" t="n">
        <f aca="false">D9-$B9</f>
        <v>-0.02258</v>
      </c>
      <c r="L9" s="1" t="n">
        <f aca="false">LN(E9/(100-E9))-LN($B9/(100-$B9))</f>
        <v>-0.00233088648086799</v>
      </c>
      <c r="M9" s="1" t="n">
        <f aca="false">E9-$B9</f>
        <v>-0.00653999999999977</v>
      </c>
    </row>
    <row r="10" customFormat="false" ht="13.8" hidden="false" customHeight="false" outlineLevel="0" collapsed="false">
      <c r="A10" s="0" t="n">
        <f aca="false">1+A9</f>
        <v>8</v>
      </c>
      <c r="B10" s="0" t="n">
        <v>2.42729</v>
      </c>
      <c r="C10" s="0" t="n">
        <v>2.40413</v>
      </c>
      <c r="D10" s="0" t="n">
        <v>2.41422</v>
      </c>
      <c r="E10" s="0" t="n">
        <v>2.42242</v>
      </c>
      <c r="H10" s="1" t="n">
        <f aca="false">LN(C10/(100-C10))-LN($B10/(100-$B10))</f>
        <v>-0.00982465022238976</v>
      </c>
      <c r="I10" s="1" t="n">
        <f aca="false">C10-$B10</f>
        <v>-0.0231600000000003</v>
      </c>
      <c r="J10" s="1" t="n">
        <f aca="false">LN(D10/(100-D10))-LN($B10/(100-$B10))</f>
        <v>-0.00553309753699738</v>
      </c>
      <c r="K10" s="1" t="n">
        <f aca="false">D10-$B10</f>
        <v>-0.0130700000000004</v>
      </c>
      <c r="L10" s="1" t="n">
        <f aca="false">LN(E10/(100-E10))-LN($B10/(100-$B10))</f>
        <v>-0.00205827843693696</v>
      </c>
      <c r="M10" s="1" t="n">
        <f aca="false">E10-$B10</f>
        <v>-0.00487000000000037</v>
      </c>
    </row>
    <row r="11" customFormat="false" ht="13.8" hidden="false" customHeight="false" outlineLevel="0" collapsed="false">
      <c r="A11" s="0" t="n">
        <f aca="false">1+A10</f>
        <v>9</v>
      </c>
      <c r="B11" s="0" t="n">
        <v>1.96944</v>
      </c>
      <c r="C11" s="0" t="n">
        <v>1.94834</v>
      </c>
      <c r="D11" s="0" t="n">
        <v>1.95496</v>
      </c>
      <c r="E11" s="0" t="n">
        <v>1.96115</v>
      </c>
      <c r="H11" s="1" t="n">
        <f aca="false">LN(C11/(100-C11))-LN($B11/(100-$B11))</f>
        <v>-0.0109867262442385</v>
      </c>
      <c r="I11" s="1" t="n">
        <f aca="false">C11-$B11</f>
        <v>-0.0211000000000001</v>
      </c>
      <c r="J11" s="1" t="n">
        <f aca="false">LN(D11/(100-D11))-LN($B11/(100-$B11))</f>
        <v>-0.00752720364292125</v>
      </c>
      <c r="K11" s="1" t="n">
        <f aca="false">D11-$B11</f>
        <v>-0.01448</v>
      </c>
      <c r="L11" s="1" t="n">
        <f aca="false">LN(E11/(100-E11))-LN($B11/(100-$B11))</f>
        <v>-0.00430276439570454</v>
      </c>
      <c r="M11" s="1" t="n">
        <f aca="false">E11-$B11</f>
        <v>-0.00829000000000013</v>
      </c>
    </row>
    <row r="12" customFormat="false" ht="13.8" hidden="false" customHeight="false" outlineLevel="0" collapsed="false">
      <c r="A12" s="0" t="n">
        <f aca="false">1+A11</f>
        <v>10</v>
      </c>
      <c r="B12" s="0" t="n">
        <v>1.56771</v>
      </c>
      <c r="C12" s="0" t="n">
        <v>1.55355</v>
      </c>
      <c r="D12" s="0" t="n">
        <v>1.55522</v>
      </c>
      <c r="E12" s="0" t="n">
        <v>1.56168</v>
      </c>
      <c r="H12" s="1" t="n">
        <f aca="false">LN(C12/(100-C12))-LN($B12/(100-$B12))</f>
        <v>-0.00921716600929123</v>
      </c>
      <c r="I12" s="1" t="n">
        <f aca="false">C12-$B12</f>
        <v>-0.01416</v>
      </c>
      <c r="J12" s="1" t="n">
        <f aca="false">LN(D12/(100-D12))-LN($B12/(100-$B12))</f>
        <v>-0.00812582232558778</v>
      </c>
      <c r="K12" s="1" t="n">
        <f aca="false">D12-$B12</f>
        <v>-0.0124899999999999</v>
      </c>
      <c r="L12" s="1" t="n">
        <f aca="false">LN(E12/(100-E12))-LN($B12/(100-$B12))</f>
        <v>-0.00391504947959476</v>
      </c>
      <c r="M12" s="1" t="n">
        <f aca="false">E12-$B12</f>
        <v>-0.00602999999999998</v>
      </c>
    </row>
    <row r="13" customFormat="false" ht="13.8" hidden="false" customHeight="false" outlineLevel="0" collapsed="false">
      <c r="A13" s="0" t="n">
        <f aca="false">1+A12</f>
        <v>11</v>
      </c>
      <c r="B13" s="0" t="n">
        <v>1.19499</v>
      </c>
      <c r="C13" s="0" t="n">
        <v>1.1859</v>
      </c>
      <c r="D13" s="0" t="n">
        <v>1.1862</v>
      </c>
      <c r="E13" s="0" t="n">
        <v>1.19103</v>
      </c>
      <c r="H13" s="1" t="n">
        <f aca="false">LN(C13/(100-C13))-LN($B13/(100-$B13))</f>
        <v>-0.00772783231075902</v>
      </c>
      <c r="I13" s="1" t="n">
        <f aca="false">C13-$B13</f>
        <v>-0.00909000000000004</v>
      </c>
      <c r="J13" s="1" t="n">
        <f aca="false">LN(D13/(100-D13))-LN($B13/(100-$B13))</f>
        <v>-0.00747185586830224</v>
      </c>
      <c r="K13" s="1" t="n">
        <f aca="false">D13-$B13</f>
        <v>-0.00879000000000008</v>
      </c>
      <c r="L13" s="1" t="n">
        <f aca="false">LN(E13/(100-E13))-LN($B13/(100-$B13))</f>
        <v>-0.0033594163109969</v>
      </c>
      <c r="M13" s="1" t="n">
        <f aca="false">E13-$B13</f>
        <v>-0.00395999999999996</v>
      </c>
    </row>
    <row r="14" customFormat="false" ht="13.8" hidden="false" customHeight="false" outlineLevel="0" collapsed="false">
      <c r="A14" s="0" t="n">
        <f aca="false">1+A13</f>
        <v>12</v>
      </c>
      <c r="B14" s="0" t="n">
        <v>0.888299</v>
      </c>
      <c r="C14" s="0" t="n">
        <v>0.878305</v>
      </c>
      <c r="D14" s="0" t="n">
        <v>0.876289</v>
      </c>
      <c r="E14" s="0" t="n">
        <v>0.886022</v>
      </c>
      <c r="H14" s="1" t="n">
        <f aca="false">LN(C14/(100-C14))-LN($B14/(100-$B14))</f>
        <v>-0.0114153149458174</v>
      </c>
      <c r="I14" s="1" t="n">
        <f aca="false">C14-$B14</f>
        <v>-0.00999399999999995</v>
      </c>
      <c r="J14" s="1" t="n">
        <f aca="false">LN(D14/(100-D14))-LN($B14/(100-$B14))</f>
        <v>-0.0137336218924853</v>
      </c>
      <c r="K14" s="1" t="n">
        <f aca="false">D14-$B14</f>
        <v>-0.01201</v>
      </c>
      <c r="L14" s="1" t="n">
        <f aca="false">LN(E14/(100-E14))-LN($B14/(100-$B14))</f>
        <v>-0.00258959084724619</v>
      </c>
      <c r="M14" s="1" t="n">
        <f aca="false">E14-$B14</f>
        <v>-0.00227699999999997</v>
      </c>
    </row>
    <row r="15" customFormat="false" ht="13.8" hidden="false" customHeight="false" outlineLevel="0" collapsed="false">
      <c r="A15" s="0" t="n">
        <f aca="false">1+A14</f>
        <v>13</v>
      </c>
      <c r="B15" s="0" t="n">
        <v>0.625555</v>
      </c>
      <c r="C15" s="0" t="n">
        <v>0.617106</v>
      </c>
      <c r="D15" s="0" t="n">
        <v>0.616169</v>
      </c>
      <c r="E15" s="0" t="n">
        <v>0.623996</v>
      </c>
      <c r="H15" s="1" t="n">
        <f aca="false">LN(C15/(100-C15))-LN($B15/(100-$B15))</f>
        <v>-0.0136834657648111</v>
      </c>
      <c r="I15" s="1" t="n">
        <f aca="false">C15-$B15</f>
        <v>-0.00844899999999993</v>
      </c>
      <c r="J15" s="1" t="n">
        <f aca="false">LN(D15/(100-D15))-LN($B15/(100-$B15))</f>
        <v>-0.0152124255238064</v>
      </c>
      <c r="K15" s="1" t="n">
        <f aca="false">D15-$B15</f>
        <v>-0.00938600000000001</v>
      </c>
      <c r="L15" s="1" t="n">
        <f aca="false">LN(E15/(100-E15))-LN($B15/(100-$B15))</f>
        <v>-0.00251098562005669</v>
      </c>
      <c r="M15" s="1" t="n">
        <f aca="false">E15-$B15</f>
        <v>-0.00155899999999998</v>
      </c>
    </row>
    <row r="16" customFormat="false" ht="13.8" hidden="false" customHeight="false" outlineLevel="0" collapsed="false">
      <c r="A16" s="0" t="n">
        <f aca="false">1+A15</f>
        <v>14</v>
      </c>
      <c r="B16" s="0" t="n">
        <v>0.426741</v>
      </c>
      <c r="C16" s="0" t="n">
        <v>0.419838</v>
      </c>
      <c r="D16" s="0" t="n">
        <v>0.419162</v>
      </c>
      <c r="E16" s="0" t="n">
        <v>0.427798</v>
      </c>
      <c r="H16" s="1" t="n">
        <f aca="false">LN(C16/(100-C16))-LN($B16/(100-$B16))</f>
        <v>-0.0163776726752838</v>
      </c>
      <c r="I16" s="1" t="n">
        <f aca="false">C16-$B16</f>
        <v>-0.00690299999999999</v>
      </c>
      <c r="J16" s="1" t="n">
        <f aca="false">LN(D16/(100-D16))-LN($B16/(100-$B16))</f>
        <v>-0.0179959036947439</v>
      </c>
      <c r="K16" s="1" t="n">
        <f aca="false">D16-$B16</f>
        <v>-0.007579</v>
      </c>
      <c r="L16" s="1" t="n">
        <f aca="false">LN(E16/(100-E16))-LN($B16/(100-$B16))</f>
        <v>0.00248446509051359</v>
      </c>
      <c r="M16" s="1" t="n">
        <f aca="false">E16-$B16</f>
        <v>0.00105700000000003</v>
      </c>
    </row>
    <row r="17" customFormat="false" ht="13.8" hidden="false" customHeight="false" outlineLevel="0" collapsed="false">
      <c r="A17" s="0" t="n">
        <f aca="false">1+A16</f>
        <v>15</v>
      </c>
      <c r="B17" s="0" t="n">
        <v>0.278558</v>
      </c>
      <c r="C17" s="0" t="n">
        <v>0.275181</v>
      </c>
      <c r="D17" s="0" t="n">
        <v>0.275092</v>
      </c>
      <c r="E17" s="0" t="n">
        <v>0.281955</v>
      </c>
      <c r="H17" s="1" t="n">
        <f aca="false">LN(C17/(100-C17))-LN($B17/(100-$B17))</f>
        <v>-0.0122310969926955</v>
      </c>
      <c r="I17" s="1" t="n">
        <f aca="false">C17-$B17</f>
        <v>-0.00337699999999996</v>
      </c>
      <c r="J17" s="1" t="n">
        <f aca="false">LN(D17/(100-D17))-LN($B17/(100-$B17))</f>
        <v>-0.0125554652529978</v>
      </c>
      <c r="K17" s="1" t="n">
        <f aca="false">D17-$B17</f>
        <v>-0.00346599999999997</v>
      </c>
      <c r="L17" s="1" t="n">
        <f aca="false">LN(E17/(100-E17))-LN($B17/(100-$B17))</f>
        <v>0.0121552529949982</v>
      </c>
      <c r="M17" s="1" t="n">
        <f aca="false">E17-$B17</f>
        <v>0.00339700000000004</v>
      </c>
    </row>
    <row r="18" customFormat="false" ht="13.8" hidden="false" customHeight="false" outlineLevel="0" collapsed="false">
      <c r="A18" s="0" t="n">
        <f aca="false">1+A17</f>
        <v>16</v>
      </c>
      <c r="B18" s="0" t="n">
        <v>0.178152</v>
      </c>
      <c r="C18" s="0" t="n">
        <v>0.174662</v>
      </c>
      <c r="D18" s="0" t="n">
        <v>0.176215</v>
      </c>
      <c r="E18" s="0" t="n">
        <v>0.183247</v>
      </c>
      <c r="H18" s="1" t="n">
        <f aca="false">LN(C18/(100-C18))-LN($B18/(100-$B18))</f>
        <v>-0.0198194024194409</v>
      </c>
      <c r="I18" s="1" t="n">
        <f aca="false">C18-$B18</f>
        <v>-0.00348999999999999</v>
      </c>
      <c r="J18" s="1" t="n">
        <f aca="false">LN(D18/(100-D18))-LN($B18/(100-$B18))</f>
        <v>-0.0109516824525526</v>
      </c>
      <c r="K18" s="1" t="n">
        <f aca="false">D18-$B18</f>
        <v>-0.00193699999999999</v>
      </c>
      <c r="L18" s="1" t="n">
        <f aca="false">LN(E18/(100-E18))-LN($B18/(100-$B18))</f>
        <v>0.0282488933047054</v>
      </c>
      <c r="M18" s="1" t="n">
        <f aca="false">E18-$B18</f>
        <v>0.00509499999999999</v>
      </c>
    </row>
    <row r="19" customFormat="false" ht="13.8" hidden="false" customHeight="false" outlineLevel="0" collapsed="false">
      <c r="A19" s="0" t="n">
        <f aca="false">1+A18</f>
        <v>17</v>
      </c>
      <c r="B19" s="0" t="n">
        <v>0.109497</v>
      </c>
      <c r="C19" s="0" t="n">
        <v>0.108067</v>
      </c>
      <c r="D19" s="0" t="n">
        <v>0.110026</v>
      </c>
      <c r="E19" s="0" t="n">
        <v>0.115437</v>
      </c>
      <c r="H19" s="1" t="n">
        <f aca="false">LN(C19/(100-C19))-LN($B19/(100-$B19))</f>
        <v>-0.0131600620492964</v>
      </c>
      <c r="I19" s="1" t="n">
        <f aca="false">C19-$B19</f>
        <v>-0.00143</v>
      </c>
      <c r="J19" s="1" t="n">
        <f aca="false">LN(D19/(100-D19))-LN($B19/(100-$B19))</f>
        <v>0.00482484569109065</v>
      </c>
      <c r="K19" s="1" t="n">
        <f aca="false">D19-$B19</f>
        <v>0.000529000000000002</v>
      </c>
      <c r="L19" s="1" t="n">
        <f aca="false">LN(E19/(100-E19))-LN($B19/(100-$B19))</f>
        <v>0.0528872418616109</v>
      </c>
      <c r="M19" s="1" t="n">
        <f aca="false">E19-$B19</f>
        <v>0.00594</v>
      </c>
    </row>
    <row r="20" customFormat="false" ht="13.8" hidden="false" customHeight="false" outlineLevel="0" collapsed="false">
      <c r="A20" s="0" t="n">
        <f aca="false">1+A19</f>
        <v>18</v>
      </c>
      <c r="B20" s="0" t="n">
        <v>0.0670972</v>
      </c>
      <c r="C20" s="0" t="n">
        <v>0.0662285</v>
      </c>
      <c r="D20" s="0" t="n">
        <v>0.0685718</v>
      </c>
      <c r="E20" s="0" t="n">
        <v>0.072927</v>
      </c>
      <c r="H20" s="1" t="n">
        <f aca="false">LN(C20/(100-C20))-LN($B20/(100-$B20))</f>
        <v>-0.0130401232450525</v>
      </c>
      <c r="I20" s="1" t="n">
        <f aca="false">C20-$B20</f>
        <v>-0.0008687</v>
      </c>
      <c r="J20" s="1" t="n">
        <f aca="false">LN(D20/(100-D20))-LN($B20/(100-$B20))</f>
        <v>0.0217538131643584</v>
      </c>
      <c r="K20" s="1" t="n">
        <f aca="false">D20-$B20</f>
        <v>0.00147460000000001</v>
      </c>
      <c r="L20" s="1" t="n">
        <f aca="false">LN(E20/(100-E20))-LN($B20/(100-$B20))</f>
        <v>0.083374965315147</v>
      </c>
      <c r="M20" s="1" t="n">
        <f aca="false">E20-$B20</f>
        <v>0.00582980000000001</v>
      </c>
    </row>
    <row r="21" customFormat="false" ht="13.8" hidden="false" customHeight="false" outlineLevel="0" collapsed="false">
      <c r="A21" s="0" t="n">
        <f aca="false">1+A20</f>
        <v>19</v>
      </c>
      <c r="B21" s="0" t="n">
        <v>0.0409123</v>
      </c>
      <c r="C21" s="0" t="n">
        <v>0.0402266</v>
      </c>
      <c r="D21" s="0" t="n">
        <v>0.0423528</v>
      </c>
      <c r="E21" s="0" t="n">
        <v>0.0460189</v>
      </c>
      <c r="H21" s="1" t="n">
        <f aca="false">LN(C21/(100-C21))-LN($B21/(100-$B21))</f>
        <v>-0.0169091427708734</v>
      </c>
      <c r="I21" s="1" t="n">
        <f aca="false">C21-$B21</f>
        <v>-0.000685699999999997</v>
      </c>
      <c r="J21" s="1" t="n">
        <f aca="false">LN(D21/(100-D21))-LN($B21/(100-$B21))</f>
        <v>0.0346181942808279</v>
      </c>
      <c r="K21" s="1" t="n">
        <f aca="false">D21-$B21</f>
        <v>0.0014405</v>
      </c>
      <c r="L21" s="1" t="n">
        <f aca="false">LN(E21/(100-E21))-LN($B21/(100-$B21))</f>
        <v>0.117672518542497</v>
      </c>
      <c r="M21" s="1" t="n">
        <f aca="false">E21-$B21</f>
        <v>0.0051066</v>
      </c>
    </row>
    <row r="22" customFormat="false" ht="13.8" hidden="false" customHeight="false" outlineLevel="0" collapsed="false">
      <c r="A22" s="0" t="n">
        <f aca="false">1+A21</f>
        <v>20</v>
      </c>
      <c r="B22" s="0" t="n">
        <v>0.0245705</v>
      </c>
      <c r="C22" s="0" t="n">
        <v>0.0246557</v>
      </c>
      <c r="D22" s="0" t="n">
        <v>0.0260787</v>
      </c>
      <c r="E22" s="0" t="n">
        <v>0.0290144</v>
      </c>
      <c r="H22" s="1" t="n">
        <f aca="false">LN(C22/(100-C22))-LN($B22/(100-$B22))</f>
        <v>0.00346242694336141</v>
      </c>
      <c r="I22" s="1" t="n">
        <f aca="false">C22-$B22</f>
        <v>8.52000000000006E-005</v>
      </c>
      <c r="J22" s="1" t="n">
        <f aca="false">LN(D22/(100-D22))-LN($B22/(100-$B22))</f>
        <v>0.0595874386643462</v>
      </c>
      <c r="K22" s="1" t="n">
        <f aca="false">D22-$B22</f>
        <v>0.0015082</v>
      </c>
      <c r="L22" s="1" t="n">
        <f aca="false">LN(E22/(100-E22))-LN($B22/(100-$B22))</f>
        <v>0.166290173032715</v>
      </c>
      <c r="M22" s="1" t="n">
        <f aca="false">E22-$B22</f>
        <v>0.0044439</v>
      </c>
    </row>
    <row r="23" customFormat="false" ht="13.8" hidden="false" customHeight="false" outlineLevel="0" collapsed="false">
      <c r="A23" s="0" t="n">
        <f aca="false">1+A22</f>
        <v>21</v>
      </c>
      <c r="B23" s="0" t="n">
        <v>0.0149056</v>
      </c>
      <c r="C23" s="0" t="n">
        <v>0.0150483</v>
      </c>
      <c r="D23" s="0" t="n">
        <v>0.0162812</v>
      </c>
      <c r="E23" s="0" t="n">
        <v>0.0187839</v>
      </c>
      <c r="H23" s="1" t="n">
        <f aca="false">LN(C23/(100-C23))-LN($B23/(100-$B23))</f>
        <v>0.0095294739500762</v>
      </c>
      <c r="I23" s="1" t="n">
        <f aca="false">C23-$B23</f>
        <v>0.000142700000000001</v>
      </c>
      <c r="J23" s="1" t="n">
        <f aca="false">LN(D23/(100-D23))-LN($B23/(100-$B23))</f>
        <v>0.0882878448091837</v>
      </c>
      <c r="K23" s="1" t="n">
        <f aca="false">D23-$B23</f>
        <v>0.0013756</v>
      </c>
      <c r="L23" s="1" t="n">
        <f aca="false">LN(E23/(100-E23))-LN($B23/(100-$B23))</f>
        <v>0.231301928217963</v>
      </c>
      <c r="M23" s="1" t="n">
        <f aca="false">E23-$B23</f>
        <v>0.0038783</v>
      </c>
    </row>
    <row r="24" customFormat="false" ht="13.8" hidden="false" customHeight="false" outlineLevel="0" collapsed="false">
      <c r="A24" s="0" t="n">
        <f aca="false">1+A23</f>
        <v>22</v>
      </c>
      <c r="B24" s="0" t="n">
        <v>0.00890492</v>
      </c>
      <c r="C24" s="0" t="n">
        <v>0.00940763</v>
      </c>
      <c r="D24" s="0" t="n">
        <v>0.0102488</v>
      </c>
      <c r="E24" s="0" t="n">
        <v>0.012093</v>
      </c>
      <c r="H24" s="1" t="n">
        <f aca="false">LN(C24/(100-C24))-LN($B24/(100-$B24))</f>
        <v>0.054922156727681</v>
      </c>
      <c r="I24" s="1" t="n">
        <f aca="false">C24-$B24</f>
        <v>0.00050271</v>
      </c>
      <c r="J24" s="1" t="n">
        <f aca="false">LN(D24/(100-D24))-LN($B24/(100-$B24))</f>
        <v>0.140570132662967</v>
      </c>
      <c r="K24" s="1" t="n">
        <f aca="false">D24-$B24</f>
        <v>0.00134388</v>
      </c>
      <c r="L24" s="1" t="n">
        <f aca="false">LN(E24/(100-E24))-LN($B24/(100-$B24))</f>
        <v>0.306054723966387</v>
      </c>
      <c r="M24" s="1" t="n">
        <f aca="false">E24-$B24</f>
        <v>0.00318808</v>
      </c>
    </row>
    <row r="25" customFormat="false" ht="13.8" hidden="false" customHeight="false" outlineLevel="0" collapsed="false">
      <c r="A25" s="0" t="n">
        <f aca="false">1+A24</f>
        <v>23</v>
      </c>
      <c r="B25" s="0" t="n">
        <v>0.00550402</v>
      </c>
      <c r="C25" s="0" t="n">
        <v>0.0060426</v>
      </c>
      <c r="D25" s="0" t="n">
        <v>0.00647854</v>
      </c>
      <c r="E25" s="0" t="n">
        <v>0.0078471</v>
      </c>
      <c r="H25" s="1" t="n">
        <f aca="false">LN(C25/(100-C25))-LN($B25/(100-$B25))</f>
        <v>0.0933610346656035</v>
      </c>
      <c r="I25" s="1" t="n">
        <f aca="false">C25-$B25</f>
        <v>0.00053858</v>
      </c>
      <c r="J25" s="1" t="n">
        <f aca="false">LN(D25/(100-D25))-LN($B25/(100-$B25))</f>
        <v>0.16302618777493</v>
      </c>
      <c r="K25" s="1" t="n">
        <f aca="false">D25-$B25</f>
        <v>0.00097452</v>
      </c>
      <c r="L25" s="1" t="n">
        <f aca="false">LN(E25/(100-E25))-LN($B25/(100-$B25))</f>
        <v>0.354688734806723</v>
      </c>
      <c r="M25" s="1" t="n">
        <f aca="false">E25-$B25</f>
        <v>0.00234308</v>
      </c>
    </row>
    <row r="26" customFormat="false" ht="13.8" hidden="false" customHeight="false" outlineLevel="0" collapsed="false">
      <c r="A26" s="0" t="n">
        <f aca="false">1+A25</f>
        <v>24</v>
      </c>
      <c r="B26" s="0" t="n">
        <v>0.00341914</v>
      </c>
      <c r="C26" s="0" t="n">
        <v>0.00405012</v>
      </c>
      <c r="D26" s="0" t="n">
        <v>0.00415909</v>
      </c>
      <c r="E26" s="0" t="n">
        <v>0.00521007</v>
      </c>
      <c r="H26" s="1" t="n">
        <f aca="false">LN(C26/(100-C26))-LN($B26/(100-$B26))</f>
        <v>0.169363762880442</v>
      </c>
      <c r="I26" s="1" t="n">
        <f aca="false">C26-$B26</f>
        <v>0.00063098</v>
      </c>
      <c r="J26" s="1" t="n">
        <f aca="false">LN(D26/(100-D26))-LN($B26/(100-$B26))</f>
        <v>0.195914642659945</v>
      </c>
      <c r="K26" s="1" t="n">
        <f aca="false">D26-$B26</f>
        <v>0.00073995</v>
      </c>
      <c r="L26" s="1" t="n">
        <f aca="false">LN(E26/(100-E26))-LN($B26/(100-$B26))</f>
        <v>0.421222143984</v>
      </c>
      <c r="M26" s="1" t="n">
        <f aca="false">E26-$B26</f>
        <v>0.00179093</v>
      </c>
    </row>
    <row r="27" customFormat="false" ht="13.8" hidden="false" customHeight="false" outlineLevel="0" collapsed="false">
      <c r="A27" s="0" t="n">
        <f aca="false">1+A26</f>
        <v>25</v>
      </c>
      <c r="B27" s="0" t="n">
        <v>0.00214146</v>
      </c>
      <c r="C27" s="0" t="n">
        <v>0.0027317</v>
      </c>
      <c r="D27" s="0" t="n">
        <v>0.00268217</v>
      </c>
      <c r="E27" s="0" t="n">
        <v>0.00339334</v>
      </c>
      <c r="H27" s="1" t="n">
        <f aca="false">LN(C27/(100-C27))-LN($B27/(100-$B27))</f>
        <v>0.243442189157129</v>
      </c>
      <c r="I27" s="1" t="n">
        <f aca="false">C27-$B27</f>
        <v>0.00059024</v>
      </c>
      <c r="J27" s="1" t="n">
        <f aca="false">LN(D27/(100-D27))-LN($B27/(100-$B27))</f>
        <v>0.225143736211844</v>
      </c>
      <c r="K27" s="1" t="n">
        <f aca="false">D27-$B27</f>
        <v>0.00054071</v>
      </c>
      <c r="L27" s="1" t="n">
        <f aca="false">LN(E27/(100-E27))-LN($B27/(100-$B27))</f>
        <v>0.460339366832873</v>
      </c>
      <c r="M27" s="1" t="n">
        <f aca="false">E27-$B27</f>
        <v>0.00125188</v>
      </c>
    </row>
    <row r="28" customFormat="false" ht="13.8" hidden="false" customHeight="false" outlineLevel="0" collapsed="false">
      <c r="A28" s="0" t="n">
        <f aca="false">1+A27</f>
        <v>26</v>
      </c>
      <c r="B28" s="0" t="n">
        <v>0.00142172</v>
      </c>
      <c r="C28" s="0" t="n">
        <v>0.00186361</v>
      </c>
      <c r="D28" s="0" t="n">
        <v>0.00174149</v>
      </c>
      <c r="E28" s="0" t="n">
        <v>0.00228761</v>
      </c>
      <c r="H28" s="1" t="n">
        <f aca="false">LN(C28/(100-C28))-LN($B28/(100-$B28))</f>
        <v>0.270652479651019</v>
      </c>
      <c r="I28" s="1" t="n">
        <f aca="false">C28-$B28</f>
        <v>0.00044189</v>
      </c>
      <c r="J28" s="1" t="n">
        <f aca="false">LN(D28/(100-D28))-LN($B28/(100-$B28))</f>
        <v>0.202876860155687</v>
      </c>
      <c r="K28" s="1" t="n">
        <f aca="false">D28-$B28</f>
        <v>0.00031977</v>
      </c>
      <c r="L28" s="1" t="n">
        <f aca="false">LN(E28/(100-E28))-LN($B28/(100-$B28))</f>
        <v>0.47564885727763</v>
      </c>
      <c r="M28" s="1" t="n">
        <f aca="false">E28-$B28</f>
        <v>0.00086589</v>
      </c>
    </row>
    <row r="29" customFormat="false" ht="13.8" hidden="false" customHeight="false" outlineLevel="0" collapsed="false">
      <c r="A29" s="0" t="n">
        <f aca="false">1+A28</f>
        <v>27</v>
      </c>
      <c r="B29" s="0" t="n">
        <v>0.000938148</v>
      </c>
      <c r="C29" s="0" t="n">
        <v>0.00129063</v>
      </c>
      <c r="D29" s="0" t="n">
        <v>0.00123938</v>
      </c>
      <c r="E29" s="0" t="n">
        <v>0.00155933</v>
      </c>
      <c r="H29" s="1" t="n">
        <f aca="false">LN(C29/(100-C29))-LN($B29/(100-$B29))</f>
        <v>0.318981556017318</v>
      </c>
      <c r="I29" s="1" t="n">
        <f aca="false">C29-$B29</f>
        <v>0.000352482</v>
      </c>
      <c r="J29" s="1" t="n">
        <f aca="false">LN(D29/(100-D29))-LN($B29/(100-$B29))</f>
        <v>0.278461826834333</v>
      </c>
      <c r="K29" s="1" t="n">
        <f aca="false">D29-$B29</f>
        <v>0.000301232</v>
      </c>
      <c r="L29" s="1" t="n">
        <f aca="false">LN(E29/(100-E29))-LN($B29/(100-$B29))</f>
        <v>0.508110013629766</v>
      </c>
      <c r="M29" s="1" t="n">
        <f aca="false">E29-$B29</f>
        <v>0.000621182</v>
      </c>
    </row>
    <row r="30" customFormat="false" ht="13.8" hidden="false" customHeight="false" outlineLevel="0" collapsed="false">
      <c r="A30" s="0" t="n">
        <f aca="false">1+A29</f>
        <v>28</v>
      </c>
      <c r="B30" s="0" t="n">
        <v>0.000625276</v>
      </c>
      <c r="C30" s="0" t="n">
        <v>0.000876711</v>
      </c>
      <c r="D30" s="0" t="n">
        <v>0.000833998</v>
      </c>
      <c r="E30" s="0" t="n">
        <v>0.00105435</v>
      </c>
      <c r="H30" s="1" t="n">
        <f aca="false">LN(C30/(100-C30))-LN($B30/(100-$B30))</f>
        <v>0.337986767676334</v>
      </c>
      <c r="I30" s="1" t="n">
        <f aca="false">C30-$B30</f>
        <v>0.000251435</v>
      </c>
      <c r="J30" s="1" t="n">
        <f aca="false">LN(D30/(100-D30))-LN($B30/(100-$B30))</f>
        <v>0.288039939249748</v>
      </c>
      <c r="K30" s="1" t="n">
        <f aca="false">D30-$B30</f>
        <v>0.000208722</v>
      </c>
      <c r="L30" s="1" t="n">
        <f aca="false">LN(E30/(100-E30))-LN($B30/(100-$B30))</f>
        <v>0.52249088080624</v>
      </c>
      <c r="M30" s="1" t="n">
        <f aca="false">E30-$B30</f>
        <v>0.000429074</v>
      </c>
    </row>
    <row r="31" customFormat="false" ht="13.8" hidden="false" customHeight="false" outlineLevel="0" collapsed="false">
      <c r="A31" s="0" t="n">
        <f aca="false">1+A30</f>
        <v>29</v>
      </c>
      <c r="B31" s="0" t="n">
        <v>0.000403132</v>
      </c>
      <c r="C31" s="0" t="n">
        <v>0.000620405</v>
      </c>
      <c r="D31" s="0" t="n">
        <v>0.000556631</v>
      </c>
      <c r="E31" s="0" t="n">
        <v>0.000716601</v>
      </c>
      <c r="H31" s="1" t="n">
        <f aca="false">LN(C31/(100-C31))-LN($B31/(100-$B31))</f>
        <v>0.431110611587233</v>
      </c>
      <c r="I31" s="1" t="n">
        <f aca="false">C31-$B31</f>
        <v>0.000217273</v>
      </c>
      <c r="J31" s="1" t="n">
        <f aca="false">LN(D31/(100-D31))-LN($B31/(100-$B31))</f>
        <v>0.322640026090717</v>
      </c>
      <c r="K31" s="1" t="n">
        <f aca="false">D31-$B31</f>
        <v>0.000153499</v>
      </c>
      <c r="L31" s="1" t="n">
        <f aca="false">LN(E31/(100-E31))-LN($B31/(100-$B31))</f>
        <v>0.575258283315716</v>
      </c>
      <c r="M31" s="1" t="n">
        <f aca="false">E31-$B31</f>
        <v>0.000313469</v>
      </c>
    </row>
    <row r="32" customFormat="false" ht="13.8" hidden="false" customHeight="false" outlineLevel="0" collapsed="false">
      <c r="A32" s="0" t="n">
        <f aca="false">1+A31</f>
        <v>30</v>
      </c>
      <c r="B32" s="0" t="n">
        <v>0.000267508</v>
      </c>
      <c r="C32" s="0" t="n">
        <v>0.000413443</v>
      </c>
      <c r="D32" s="0" t="n">
        <v>0.000380728</v>
      </c>
      <c r="E32" s="0" t="n">
        <v>0.000476955</v>
      </c>
      <c r="H32" s="1" t="n">
        <f aca="false">LN(C32/(100-C32))-LN($B32/(100-$B32))</f>
        <v>0.435371644243849</v>
      </c>
      <c r="I32" s="1" t="n">
        <f aca="false">C32-$B32</f>
        <v>0.000145935</v>
      </c>
      <c r="J32" s="1" t="n">
        <f aca="false">LN(D32/(100-D32))-LN($B32/(100-$B32))</f>
        <v>0.352936869182651</v>
      </c>
      <c r="K32" s="1" t="n">
        <f aca="false">D32-$B32</f>
        <v>0.00011322</v>
      </c>
      <c r="L32" s="1" t="n">
        <f aca="false">LN(E32/(100-E32))-LN($B32/(100-$B32))</f>
        <v>0.578274768862308</v>
      </c>
      <c r="M32" s="1" t="n">
        <f aca="false">E32-$B32</f>
        <v>0.000209447</v>
      </c>
    </row>
    <row r="33" customFormat="false" ht="13.8" hidden="false" customHeight="false" outlineLevel="0" collapsed="false">
      <c r="A33" s="0" t="n">
        <f aca="false">1+A32</f>
        <v>31</v>
      </c>
      <c r="B33" s="0" t="n">
        <v>0.00019876</v>
      </c>
      <c r="C33" s="0" t="n">
        <v>0.000286009</v>
      </c>
      <c r="D33" s="0" t="n">
        <v>0.000269781</v>
      </c>
      <c r="E33" s="0" t="n">
        <v>0.000320462</v>
      </c>
      <c r="H33" s="1" t="n">
        <f aca="false">LN(C33/(100-C33))-LN($B33/(100-$B33))</f>
        <v>0.363926084614192</v>
      </c>
      <c r="I33" s="1" t="n">
        <f aca="false">C33-$B33</f>
        <v>8.7249E-005</v>
      </c>
      <c r="J33" s="1" t="n">
        <f aca="false">LN(D33/(100-D33))-LN($B33/(100-$B33))</f>
        <v>0.305513162236206</v>
      </c>
      <c r="K33" s="1" t="n">
        <f aca="false">D33-$B33</f>
        <v>7.1021E-005</v>
      </c>
      <c r="L33" s="1" t="n">
        <f aca="false">LN(E33/(100-E33))-LN($B33/(100-$B33))</f>
        <v>0.477666854877821</v>
      </c>
      <c r="M33" s="1" t="n">
        <f aca="false">E33-$B33</f>
        <v>0.000121702</v>
      </c>
    </row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2.75" customHeight="false" zeroHeight="false" outlineLevelRow="0" outlineLevelCol="0"/>
  <cols>
    <col collapsed="false" customWidth="true" hidden="false" outlineLevel="0" max="5" min="1" style="0" width="12.15"/>
    <col collapsed="false" customWidth="true" hidden="false" outlineLevel="0" max="6" min="6" style="0" width="11.43"/>
  </cols>
  <sheetData>
    <row r="1" customFormat="false" ht="13.8" hidden="false" customHeight="false" outlineLevel="0" collapsed="false">
      <c r="A1" s="0" t="s">
        <v>17</v>
      </c>
      <c r="B1" s="0" t="s">
        <v>18</v>
      </c>
      <c r="C1" s="0" t="s">
        <v>19</v>
      </c>
      <c r="D1" s="0" t="s">
        <v>20</v>
      </c>
      <c r="E1" s="0" t="s">
        <v>21</v>
      </c>
    </row>
    <row r="2" customFormat="false" ht="13.8" hidden="false" customHeight="false" outlineLevel="0" collapsed="false">
      <c r="A2" s="0" t="n">
        <v>-100</v>
      </c>
      <c r="B2" s="0" t="s">
        <v>22</v>
      </c>
      <c r="C2" s="0" t="n">
        <v>5.00911</v>
      </c>
      <c r="D2" s="0" t="e">
        <f aca="false">100*B2/SUM(B$2:B$202)</f>
        <v>#VALUE!</v>
      </c>
      <c r="E2" s="0" t="e">
        <f aca="false">D2</f>
        <v>#VALUE!</v>
      </c>
    </row>
    <row r="3" customFormat="false" ht="13.8" hidden="false" customHeight="false" outlineLevel="0" collapsed="false">
      <c r="A3" s="0" t="n">
        <f aca="false">1+A2</f>
        <v>-99</v>
      </c>
      <c r="B3" s="0" t="n">
        <v>69</v>
      </c>
      <c r="C3" s="0" t="n">
        <v>7.24638</v>
      </c>
      <c r="D3" s="0" t="n">
        <f aca="false">100*B3/SUM(B$2:B$202)</f>
        <v>5.82201718821478E-005</v>
      </c>
      <c r="E3" s="0" t="e">
        <f aca="false">D3+E2</f>
        <v>#VALUE!</v>
      </c>
    </row>
    <row r="4" customFormat="false" ht="13.8" hidden="false" customHeight="false" outlineLevel="0" collapsed="false">
      <c r="A4" s="0" t="n">
        <f aca="false">1+A3</f>
        <v>-98</v>
      </c>
      <c r="B4" s="0" t="n">
        <v>32</v>
      </c>
      <c r="C4" s="0" t="n">
        <v>6.25</v>
      </c>
      <c r="D4" s="0" t="n">
        <f aca="false">100*B4/SUM(B$2:B$202)</f>
        <v>2.70006594236048E-005</v>
      </c>
      <c r="E4" s="0" t="e">
        <f aca="false">D4+E3</f>
        <v>#VALUE!</v>
      </c>
    </row>
    <row r="5" customFormat="false" ht="13.8" hidden="false" customHeight="false" outlineLevel="0" collapsed="false">
      <c r="A5" s="0" t="n">
        <f aca="false">1+A4</f>
        <v>-97</v>
      </c>
      <c r="B5" s="0" t="n">
        <v>34</v>
      </c>
      <c r="C5" s="0" t="n">
        <v>11.7647</v>
      </c>
      <c r="D5" s="0" t="n">
        <f aca="false">100*B5/SUM(B$2:B$202)</f>
        <v>2.86882006375801E-005</v>
      </c>
      <c r="E5" s="0" t="e">
        <f aca="false">D5+E4</f>
        <v>#VALUE!</v>
      </c>
    </row>
    <row r="6" customFormat="false" ht="13.8" hidden="false" customHeight="false" outlineLevel="0" collapsed="false">
      <c r="A6" s="0" t="n">
        <f aca="false">1+A5</f>
        <v>-96</v>
      </c>
      <c r="B6" s="0" t="n">
        <v>82</v>
      </c>
      <c r="C6" s="0" t="n">
        <v>2.43902</v>
      </c>
      <c r="D6" s="0" t="n">
        <f aca="false">100*B6/SUM(B$2:B$202)</f>
        <v>6.91891897729872E-005</v>
      </c>
      <c r="E6" s="0" t="e">
        <f aca="false">D6+E5</f>
        <v>#VALUE!</v>
      </c>
    </row>
    <row r="7" customFormat="false" ht="13.8" hidden="false" customHeight="false" outlineLevel="0" collapsed="false">
      <c r="A7" s="0" t="n">
        <f aca="false">1+A6</f>
        <v>-95</v>
      </c>
      <c r="B7" s="0" t="n">
        <v>43</v>
      </c>
      <c r="C7" s="0" t="n">
        <v>11.6279</v>
      </c>
      <c r="D7" s="0" t="n">
        <f aca="false">100*B7/SUM(B$2:B$202)</f>
        <v>3.62821361004689E-005</v>
      </c>
      <c r="E7" s="0" t="e">
        <f aca="false">D7+E6</f>
        <v>#VALUE!</v>
      </c>
    </row>
    <row r="8" customFormat="false" ht="13.8" hidden="false" customHeight="false" outlineLevel="0" collapsed="false">
      <c r="A8" s="0" t="n">
        <f aca="false">1+A7</f>
        <v>-94</v>
      </c>
      <c r="B8" s="0" t="n">
        <v>73</v>
      </c>
      <c r="C8" s="0" t="n">
        <v>4.10959</v>
      </c>
      <c r="D8" s="0" t="n">
        <f aca="false">100*B8/SUM(B$2:B$202)</f>
        <v>6.15952543100984E-005</v>
      </c>
      <c r="E8" s="0" t="e">
        <f aca="false">D8+E7</f>
        <v>#VALUE!</v>
      </c>
    </row>
    <row r="9" customFormat="false" ht="13.8" hidden="false" customHeight="false" outlineLevel="0" collapsed="false">
      <c r="A9" s="0" t="n">
        <f aca="false">1+A8</f>
        <v>-93</v>
      </c>
      <c r="B9" s="0" t="n">
        <v>49</v>
      </c>
      <c r="C9" s="0" t="n">
        <v>4.08163</v>
      </c>
      <c r="D9" s="0" t="n">
        <f aca="false">100*B9/SUM(B$2:B$202)</f>
        <v>4.13447597423948E-005</v>
      </c>
      <c r="E9" s="0" t="e">
        <f aca="false">D9+E8</f>
        <v>#VALUE!</v>
      </c>
    </row>
    <row r="10" customFormat="false" ht="13.8" hidden="false" customHeight="false" outlineLevel="0" collapsed="false">
      <c r="A10" s="0" t="n">
        <f aca="false">1+A9</f>
        <v>-92</v>
      </c>
      <c r="B10" s="0" t="n">
        <v>72</v>
      </c>
      <c r="C10" s="0" t="n">
        <v>2.77778</v>
      </c>
      <c r="D10" s="0" t="n">
        <f aca="false">100*B10/SUM(B$2:B$202)</f>
        <v>6.07514837031107E-005</v>
      </c>
      <c r="E10" s="0" t="e">
        <f aca="false">D10+E9</f>
        <v>#VALUE!</v>
      </c>
    </row>
    <row r="11" customFormat="false" ht="13.8" hidden="false" customHeight="false" outlineLevel="0" collapsed="false">
      <c r="A11" s="0" t="n">
        <f aca="false">1+A10</f>
        <v>-91</v>
      </c>
      <c r="B11" s="0" t="n">
        <v>75</v>
      </c>
      <c r="C11" s="0" t="n">
        <v>8</v>
      </c>
      <c r="D11" s="0" t="n">
        <f aca="false">100*B11/SUM(B$2:B$202)</f>
        <v>6.32827955240737E-005</v>
      </c>
      <c r="E11" s="0" t="e">
        <f aca="false">D11+E10</f>
        <v>#VALUE!</v>
      </c>
    </row>
    <row r="12" customFormat="false" ht="13.8" hidden="false" customHeight="false" outlineLevel="0" collapsed="false">
      <c r="A12" s="0" t="n">
        <f aca="false">1+A11</f>
        <v>-90</v>
      </c>
      <c r="B12" s="0" t="n">
        <v>65</v>
      </c>
      <c r="C12" s="0" t="n">
        <v>3.07692</v>
      </c>
      <c r="D12" s="0" t="n">
        <f aca="false">100*B12/SUM(B$2:B$202)</f>
        <v>5.48450894541972E-005</v>
      </c>
      <c r="E12" s="0" t="e">
        <f aca="false">D12+E11</f>
        <v>#VALUE!</v>
      </c>
    </row>
    <row r="13" customFormat="false" ht="13.8" hidden="false" customHeight="false" outlineLevel="0" collapsed="false">
      <c r="A13" s="0" t="n">
        <f aca="false">1+A12</f>
        <v>-89</v>
      </c>
      <c r="B13" s="0" t="n">
        <v>63</v>
      </c>
      <c r="C13" s="0" t="n">
        <v>6.34921</v>
      </c>
      <c r="D13" s="0" t="n">
        <f aca="false">100*B13/SUM(B$2:B$202)</f>
        <v>5.31575482402219E-005</v>
      </c>
      <c r="E13" s="0" t="e">
        <f aca="false">D13+E12</f>
        <v>#VALUE!</v>
      </c>
    </row>
    <row r="14" customFormat="false" ht="13.8" hidden="false" customHeight="false" outlineLevel="0" collapsed="false">
      <c r="A14" s="0" t="n">
        <f aca="false">1+A13</f>
        <v>-88</v>
      </c>
      <c r="B14" s="0" t="n">
        <v>74</v>
      </c>
      <c r="C14" s="0" t="n">
        <v>8.10811</v>
      </c>
      <c r="D14" s="0" t="n">
        <f aca="false">100*B14/SUM(B$2:B$202)</f>
        <v>6.2439024917086E-005</v>
      </c>
      <c r="E14" s="0" t="e">
        <f aca="false">D14+E13</f>
        <v>#VALUE!</v>
      </c>
    </row>
    <row r="15" customFormat="false" ht="13.8" hidden="false" customHeight="false" outlineLevel="0" collapsed="false">
      <c r="A15" s="0" t="n">
        <f aca="false">1+A14</f>
        <v>-87</v>
      </c>
      <c r="B15" s="0" t="n">
        <v>132</v>
      </c>
      <c r="C15" s="0" t="n">
        <v>2.27273</v>
      </c>
      <c r="D15" s="0" t="n">
        <f aca="false">100*B15/SUM(B$2:B$202)</f>
        <v>0.00011137772012237</v>
      </c>
      <c r="E15" s="0" t="e">
        <f aca="false">D15+E14</f>
        <v>#VALUE!</v>
      </c>
    </row>
    <row r="16" customFormat="false" ht="13.8" hidden="false" customHeight="false" outlineLevel="0" collapsed="false">
      <c r="A16" s="0" t="n">
        <f aca="false">1+A15</f>
        <v>-86</v>
      </c>
      <c r="B16" s="0" t="n">
        <v>95</v>
      </c>
      <c r="C16" s="0" t="n">
        <v>9.47368</v>
      </c>
      <c r="D16" s="0" t="n">
        <f aca="false">100*B16/SUM(B$2:B$202)</f>
        <v>8.01582076638267E-005</v>
      </c>
      <c r="E16" s="0" t="e">
        <f aca="false">D16+E15</f>
        <v>#VALUE!</v>
      </c>
    </row>
    <row r="17" customFormat="false" ht="13.8" hidden="false" customHeight="false" outlineLevel="0" collapsed="false">
      <c r="A17" s="0" t="n">
        <f aca="false">1+A16</f>
        <v>-85</v>
      </c>
      <c r="B17" s="0" t="n">
        <v>115</v>
      </c>
      <c r="C17" s="0" t="n">
        <v>3.47826</v>
      </c>
      <c r="D17" s="0" t="n">
        <f aca="false">100*B17/SUM(B$2:B$202)</f>
        <v>9.70336198035797E-005</v>
      </c>
      <c r="E17" s="0" t="e">
        <f aca="false">D17+E16</f>
        <v>#VALUE!</v>
      </c>
    </row>
    <row r="18" customFormat="false" ht="13.8" hidden="false" customHeight="false" outlineLevel="0" collapsed="false">
      <c r="A18" s="0" t="n">
        <f aca="false">1+A17</f>
        <v>-84</v>
      </c>
      <c r="B18" s="0" t="n">
        <v>98</v>
      </c>
      <c r="C18" s="0" t="n">
        <v>7.14286</v>
      </c>
      <c r="D18" s="0" t="n">
        <f aca="false">100*B18/SUM(B$2:B$202)</f>
        <v>8.26895194847896E-005</v>
      </c>
      <c r="E18" s="0" t="e">
        <f aca="false">D18+E17</f>
        <v>#VALUE!</v>
      </c>
    </row>
    <row r="19" customFormat="false" ht="13.8" hidden="false" customHeight="false" outlineLevel="0" collapsed="false">
      <c r="A19" s="0" t="n">
        <f aca="false">1+A18</f>
        <v>-83</v>
      </c>
      <c r="B19" s="0" t="n">
        <v>108</v>
      </c>
      <c r="C19" s="0" t="n">
        <v>8.33333</v>
      </c>
      <c r="D19" s="0" t="n">
        <f aca="false">100*B19/SUM(B$2:B$202)</f>
        <v>9.11272255546661E-005</v>
      </c>
      <c r="E19" s="0" t="e">
        <f aca="false">D19+E18</f>
        <v>#VALUE!</v>
      </c>
    </row>
    <row r="20" customFormat="false" ht="13.8" hidden="false" customHeight="false" outlineLevel="0" collapsed="false">
      <c r="A20" s="0" t="n">
        <f aca="false">1+A19</f>
        <v>-82</v>
      </c>
      <c r="B20" s="0" t="n">
        <v>79</v>
      </c>
      <c r="C20" s="0" t="n">
        <v>5.06329</v>
      </c>
      <c r="D20" s="0" t="n">
        <f aca="false">100*B20/SUM(B$2:B$202)</f>
        <v>6.66578779520243E-005</v>
      </c>
      <c r="E20" s="0" t="e">
        <f aca="false">D20+E19</f>
        <v>#VALUE!</v>
      </c>
    </row>
    <row r="21" customFormat="false" ht="13.8" hidden="false" customHeight="false" outlineLevel="0" collapsed="false">
      <c r="A21" s="0" t="n">
        <f aca="false">1+A20</f>
        <v>-81</v>
      </c>
      <c r="B21" s="0" t="n">
        <v>94</v>
      </c>
      <c r="C21" s="0" t="n">
        <v>6.38298</v>
      </c>
      <c r="D21" s="0" t="n">
        <f aca="false">100*B21/SUM(B$2:B$202)</f>
        <v>7.9314437056839E-005</v>
      </c>
      <c r="E21" s="0" t="e">
        <f aca="false">D21+E20</f>
        <v>#VALUE!</v>
      </c>
    </row>
    <row r="22" customFormat="false" ht="13.8" hidden="false" customHeight="false" outlineLevel="0" collapsed="false">
      <c r="A22" s="0" t="n">
        <f aca="false">1+A21</f>
        <v>-80</v>
      </c>
      <c r="B22" s="0" t="n">
        <v>111</v>
      </c>
      <c r="C22" s="0" t="n">
        <v>5.40541</v>
      </c>
      <c r="D22" s="0" t="n">
        <f aca="false">100*B22/SUM(B$2:B$202)</f>
        <v>9.36585373756291E-005</v>
      </c>
      <c r="E22" s="0" t="e">
        <f aca="false">D22+E21</f>
        <v>#VALUE!</v>
      </c>
    </row>
    <row r="23" customFormat="false" ht="13.8" hidden="false" customHeight="false" outlineLevel="0" collapsed="false">
      <c r="A23" s="0" t="n">
        <f aca="false">1+A22</f>
        <v>-79</v>
      </c>
      <c r="B23" s="0" t="n">
        <v>129</v>
      </c>
      <c r="C23" s="0" t="n">
        <v>4.65116</v>
      </c>
      <c r="D23" s="0" t="n">
        <f aca="false">100*B23/SUM(B$2:B$202)</f>
        <v>0.000108846408301407</v>
      </c>
      <c r="E23" s="0" t="e">
        <f aca="false">D23+E22</f>
        <v>#VALUE!</v>
      </c>
    </row>
    <row r="24" customFormat="false" ht="13.8" hidden="false" customHeight="false" outlineLevel="0" collapsed="false">
      <c r="A24" s="0" t="n">
        <f aca="false">1+A23</f>
        <v>-78</v>
      </c>
      <c r="B24" s="0" t="n">
        <v>142</v>
      </c>
      <c r="C24" s="0" t="n">
        <v>7.04225</v>
      </c>
      <c r="D24" s="0" t="n">
        <f aca="false">100*B24/SUM(B$2:B$202)</f>
        <v>0.000119815426192246</v>
      </c>
      <c r="E24" s="0" t="e">
        <f aca="false">D24+E23</f>
        <v>#VALUE!</v>
      </c>
    </row>
    <row r="25" customFormat="false" ht="13.8" hidden="false" customHeight="false" outlineLevel="0" collapsed="false">
      <c r="A25" s="0" t="n">
        <f aca="false">1+A24</f>
        <v>-77</v>
      </c>
      <c r="B25" s="0" t="n">
        <v>168</v>
      </c>
      <c r="C25" s="0" t="n">
        <v>3.57143</v>
      </c>
      <c r="D25" s="0" t="n">
        <f aca="false">100*B25/SUM(B$2:B$202)</f>
        <v>0.000141753461973925</v>
      </c>
      <c r="E25" s="0" t="e">
        <f aca="false">D25+E24</f>
        <v>#VALUE!</v>
      </c>
    </row>
    <row r="26" customFormat="false" ht="13.8" hidden="false" customHeight="false" outlineLevel="0" collapsed="false">
      <c r="A26" s="0" t="n">
        <f aca="false">1+A25</f>
        <v>-76</v>
      </c>
      <c r="B26" s="0" t="n">
        <v>132</v>
      </c>
      <c r="C26" s="0" t="n">
        <v>7.57576</v>
      </c>
      <c r="D26" s="0" t="n">
        <f aca="false">100*B26/SUM(B$2:B$202)</f>
        <v>0.00011137772012237</v>
      </c>
      <c r="E26" s="0" t="e">
        <f aca="false">D26+E25</f>
        <v>#VALUE!</v>
      </c>
    </row>
    <row r="27" customFormat="false" ht="13.8" hidden="false" customHeight="false" outlineLevel="0" collapsed="false">
      <c r="A27" s="0" t="n">
        <f aca="false">1+A26</f>
        <v>-75</v>
      </c>
      <c r="B27" s="0" t="n">
        <v>207</v>
      </c>
      <c r="C27" s="0" t="n">
        <v>7.24638</v>
      </c>
      <c r="D27" s="0" t="n">
        <f aca="false">100*B27/SUM(B$2:B$202)</f>
        <v>0.000174660515646443</v>
      </c>
      <c r="E27" s="0" t="e">
        <f aca="false">D27+E26</f>
        <v>#VALUE!</v>
      </c>
    </row>
    <row r="28" customFormat="false" ht="13.8" hidden="false" customHeight="false" outlineLevel="0" collapsed="false">
      <c r="A28" s="0" t="n">
        <f aca="false">1+A27</f>
        <v>-74</v>
      </c>
      <c r="B28" s="0" t="n">
        <v>152</v>
      </c>
      <c r="C28" s="0" t="n">
        <v>5.26316</v>
      </c>
      <c r="D28" s="0" t="n">
        <f aca="false">100*B28/SUM(B$2:B$202)</f>
        <v>0.000128253132262123</v>
      </c>
      <c r="E28" s="0" t="e">
        <f aca="false">D28+E27</f>
        <v>#VALUE!</v>
      </c>
    </row>
    <row r="29" customFormat="false" ht="13.8" hidden="false" customHeight="false" outlineLevel="0" collapsed="false">
      <c r="A29" s="0" t="n">
        <f aca="false">1+A28</f>
        <v>-73</v>
      </c>
      <c r="B29" s="0" t="n">
        <v>114</v>
      </c>
      <c r="C29" s="0" t="n">
        <v>7.89474</v>
      </c>
      <c r="D29" s="0" t="n">
        <f aca="false">100*B29/SUM(B$2:B$202)</f>
        <v>9.6189849196592E-005</v>
      </c>
      <c r="E29" s="0" t="e">
        <f aca="false">D29+E28</f>
        <v>#VALUE!</v>
      </c>
    </row>
    <row r="30" customFormat="false" ht="13.8" hidden="false" customHeight="false" outlineLevel="0" collapsed="false">
      <c r="A30" s="0" t="n">
        <f aca="false">1+A29</f>
        <v>-72</v>
      </c>
      <c r="B30" s="0" t="n">
        <v>140</v>
      </c>
      <c r="C30" s="0" t="n">
        <v>7.14286</v>
      </c>
      <c r="D30" s="0" t="n">
        <f aca="false">100*B30/SUM(B$2:B$202)</f>
        <v>0.000118127884978271</v>
      </c>
      <c r="E30" s="0" t="e">
        <f aca="false">D30+E29</f>
        <v>#VALUE!</v>
      </c>
    </row>
    <row r="31" customFormat="false" ht="13.8" hidden="false" customHeight="false" outlineLevel="0" collapsed="false">
      <c r="A31" s="0" t="n">
        <f aca="false">1+A30</f>
        <v>-71</v>
      </c>
      <c r="B31" s="0" t="n">
        <v>172</v>
      </c>
      <c r="C31" s="0" t="n">
        <v>8.13953</v>
      </c>
      <c r="D31" s="0" t="n">
        <f aca="false">100*B31/SUM(B$2:B$202)</f>
        <v>0.000145128544401876</v>
      </c>
      <c r="E31" s="0" t="e">
        <f aca="false">D31+E30</f>
        <v>#VALUE!</v>
      </c>
    </row>
    <row r="32" customFormat="false" ht="13.8" hidden="false" customHeight="false" outlineLevel="0" collapsed="false">
      <c r="A32" s="0" t="n">
        <f aca="false">1+A31</f>
        <v>-70</v>
      </c>
      <c r="B32" s="0" t="n">
        <v>186</v>
      </c>
      <c r="C32" s="0" t="n">
        <v>6.98925</v>
      </c>
      <c r="D32" s="0" t="n">
        <f aca="false">100*B32/SUM(B$2:B$202)</f>
        <v>0.000156941332899703</v>
      </c>
      <c r="E32" s="0" t="e">
        <f aca="false">D32+E31</f>
        <v>#VALUE!</v>
      </c>
    </row>
    <row r="33" customFormat="false" ht="13.8" hidden="false" customHeight="false" outlineLevel="0" collapsed="false">
      <c r="A33" s="0" t="n">
        <f aca="false">1+A32</f>
        <v>-69</v>
      </c>
      <c r="B33" s="0" t="n">
        <v>213</v>
      </c>
      <c r="C33" s="0" t="n">
        <v>11.2676</v>
      </c>
      <c r="D33" s="0" t="n">
        <f aca="false">100*B33/SUM(B$2:B$202)</f>
        <v>0.000179723139288369</v>
      </c>
      <c r="E33" s="0" t="e">
        <f aca="false">D33+E32</f>
        <v>#VALUE!</v>
      </c>
    </row>
    <row r="34" customFormat="false" ht="13.8" hidden="false" customHeight="false" outlineLevel="0" collapsed="false">
      <c r="A34" s="0" t="n">
        <f aca="false">1+A33</f>
        <v>-68</v>
      </c>
      <c r="B34" s="0" t="n">
        <v>197</v>
      </c>
      <c r="C34" s="0" t="n">
        <v>11.1675</v>
      </c>
      <c r="D34" s="0" t="n">
        <f aca="false">100*B34/SUM(B$2:B$202)</f>
        <v>0.000166222809576567</v>
      </c>
      <c r="E34" s="0" t="e">
        <f aca="false">D34+E33</f>
        <v>#VALUE!</v>
      </c>
    </row>
    <row r="35" customFormat="false" ht="13.8" hidden="false" customHeight="false" outlineLevel="0" collapsed="false">
      <c r="A35" s="0" t="n">
        <f aca="false">1+A34</f>
        <v>-67</v>
      </c>
      <c r="B35" s="0" t="n">
        <v>241</v>
      </c>
      <c r="C35" s="0" t="n">
        <v>8.29876</v>
      </c>
      <c r="D35" s="0" t="n">
        <f aca="false">100*B35/SUM(B$2:B$202)</f>
        <v>0.000203348716284023</v>
      </c>
      <c r="E35" s="0" t="e">
        <f aca="false">D35+E34</f>
        <v>#VALUE!</v>
      </c>
    </row>
    <row r="36" customFormat="false" ht="13.8" hidden="false" customHeight="false" outlineLevel="0" collapsed="false">
      <c r="A36" s="0" t="n">
        <f aca="false">1+A35</f>
        <v>-66</v>
      </c>
      <c r="B36" s="0" t="n">
        <v>384</v>
      </c>
      <c r="C36" s="0" t="n">
        <v>5.46875</v>
      </c>
      <c r="D36" s="0" t="n">
        <f aca="false">100*B36/SUM(B$2:B$202)</f>
        <v>0.000324007913083257</v>
      </c>
      <c r="E36" s="0" t="e">
        <f aca="false">D36+E35</f>
        <v>#VALUE!</v>
      </c>
    </row>
    <row r="37" customFormat="false" ht="13.8" hidden="false" customHeight="false" outlineLevel="0" collapsed="false">
      <c r="A37" s="0" t="n">
        <f aca="false">1+A36</f>
        <v>-65</v>
      </c>
      <c r="B37" s="0" t="n">
        <v>263</v>
      </c>
      <c r="C37" s="0" t="n">
        <v>7.60456</v>
      </c>
      <c r="D37" s="0" t="n">
        <f aca="false">100*B37/SUM(B$2:B$202)</f>
        <v>0.000221911669637752</v>
      </c>
      <c r="E37" s="0" t="e">
        <f aca="false">D37+E36</f>
        <v>#VALUE!</v>
      </c>
    </row>
    <row r="38" customFormat="false" ht="13.8" hidden="false" customHeight="false" outlineLevel="0" collapsed="false">
      <c r="A38" s="0" t="n">
        <f aca="false">1+A37</f>
        <v>-64</v>
      </c>
      <c r="B38" s="0" t="n">
        <v>362</v>
      </c>
      <c r="C38" s="0" t="n">
        <v>4.41989</v>
      </c>
      <c r="D38" s="0" t="n">
        <f aca="false">100*B38/SUM(B$2:B$202)</f>
        <v>0.000305444959729529</v>
      </c>
      <c r="E38" s="0" t="e">
        <f aca="false">D38+E37</f>
        <v>#VALUE!</v>
      </c>
    </row>
    <row r="39" customFormat="false" ht="13.8" hidden="false" customHeight="false" outlineLevel="0" collapsed="false">
      <c r="A39" s="0" t="n">
        <f aca="false">1+A38</f>
        <v>-63</v>
      </c>
      <c r="B39" s="0" t="n">
        <v>351</v>
      </c>
      <c r="C39" s="0" t="n">
        <v>3.7037</v>
      </c>
      <c r="D39" s="0" t="n">
        <f aca="false">100*B39/SUM(B$2:B$202)</f>
        <v>0.000296163483052665</v>
      </c>
      <c r="E39" s="0" t="e">
        <f aca="false">D39+E38</f>
        <v>#VALUE!</v>
      </c>
    </row>
    <row r="40" customFormat="false" ht="13.8" hidden="false" customHeight="false" outlineLevel="0" collapsed="false">
      <c r="A40" s="0" t="n">
        <f aca="false">1+A39</f>
        <v>-62</v>
      </c>
      <c r="B40" s="0" t="n">
        <v>373</v>
      </c>
      <c r="C40" s="0" t="n">
        <v>5.09383</v>
      </c>
      <c r="D40" s="0" t="n">
        <f aca="false">100*B40/SUM(B$2:B$202)</f>
        <v>0.000314726436406393</v>
      </c>
      <c r="E40" s="0" t="e">
        <f aca="false">D40+E39</f>
        <v>#VALUE!</v>
      </c>
    </row>
    <row r="41" customFormat="false" ht="13.8" hidden="false" customHeight="false" outlineLevel="0" collapsed="false">
      <c r="A41" s="0" t="n">
        <f aca="false">1+A40</f>
        <v>-61</v>
      </c>
      <c r="B41" s="0" t="n">
        <v>408</v>
      </c>
      <c r="C41" s="0" t="n">
        <v>4.90196</v>
      </c>
      <c r="D41" s="0" t="n">
        <f aca="false">100*B41/SUM(B$2:B$202)</f>
        <v>0.000344258407650961</v>
      </c>
      <c r="E41" s="0" t="e">
        <f aca="false">D41+E40</f>
        <v>#VALUE!</v>
      </c>
    </row>
    <row r="42" customFormat="false" ht="13.8" hidden="false" customHeight="false" outlineLevel="0" collapsed="false">
      <c r="A42" s="0" t="n">
        <f aca="false">1+A41</f>
        <v>-60</v>
      </c>
      <c r="B42" s="0" t="n">
        <v>400</v>
      </c>
      <c r="C42" s="0" t="n">
        <v>6</v>
      </c>
      <c r="D42" s="0" t="n">
        <f aca="false">100*B42/SUM(B$2:B$202)</f>
        <v>0.00033750824279506</v>
      </c>
      <c r="E42" s="0" t="e">
        <f aca="false">D42+E41</f>
        <v>#VALUE!</v>
      </c>
    </row>
    <row r="43" customFormat="false" ht="13.8" hidden="false" customHeight="false" outlineLevel="0" collapsed="false">
      <c r="A43" s="0" t="n">
        <f aca="false">1+A42</f>
        <v>-59</v>
      </c>
      <c r="B43" s="0" t="n">
        <v>413</v>
      </c>
      <c r="C43" s="0" t="n">
        <v>7.50605</v>
      </c>
      <c r="D43" s="0" t="n">
        <f aca="false">100*B43/SUM(B$2:B$202)</f>
        <v>0.000348477260685899</v>
      </c>
      <c r="E43" s="0" t="e">
        <f aca="false">D43+E42</f>
        <v>#VALUE!</v>
      </c>
    </row>
    <row r="44" customFormat="false" ht="13.8" hidden="false" customHeight="false" outlineLevel="0" collapsed="false">
      <c r="A44" s="0" t="n">
        <f aca="false">1+A43</f>
        <v>-58</v>
      </c>
      <c r="B44" s="0" t="n">
        <v>351</v>
      </c>
      <c r="C44" s="0" t="n">
        <v>4.8433</v>
      </c>
      <c r="D44" s="0" t="n">
        <f aca="false">100*B44/SUM(B$2:B$202)</f>
        <v>0.000296163483052665</v>
      </c>
      <c r="E44" s="0" t="e">
        <f aca="false">D44+E43</f>
        <v>#VALUE!</v>
      </c>
    </row>
    <row r="45" customFormat="false" ht="13.8" hidden="false" customHeight="false" outlineLevel="0" collapsed="false">
      <c r="A45" s="0" t="n">
        <f aca="false">1+A44</f>
        <v>-57</v>
      </c>
      <c r="B45" s="0" t="n">
        <v>337</v>
      </c>
      <c r="C45" s="0" t="n">
        <v>5.04451</v>
      </c>
      <c r="D45" s="0" t="n">
        <f aca="false">100*B45/SUM(B$2:B$202)</f>
        <v>0.000284350694554838</v>
      </c>
      <c r="E45" s="0" t="e">
        <f aca="false">D45+E44</f>
        <v>#VALUE!</v>
      </c>
    </row>
    <row r="46" customFormat="false" ht="13.8" hidden="false" customHeight="false" outlineLevel="0" collapsed="false">
      <c r="A46" s="0" t="n">
        <f aca="false">1+A45</f>
        <v>-56</v>
      </c>
      <c r="B46" s="0" t="n">
        <v>387</v>
      </c>
      <c r="C46" s="0" t="n">
        <v>3.61757</v>
      </c>
      <c r="D46" s="0" t="n">
        <f aca="false">100*B46/SUM(B$2:B$202)</f>
        <v>0.00032653922490422</v>
      </c>
      <c r="E46" s="0" t="e">
        <f aca="false">D46+E45</f>
        <v>#VALUE!</v>
      </c>
    </row>
    <row r="47" customFormat="false" ht="13.8" hidden="false" customHeight="false" outlineLevel="0" collapsed="false">
      <c r="A47" s="0" t="n">
        <f aca="false">1+A46</f>
        <v>-55</v>
      </c>
      <c r="B47" s="0" t="n">
        <v>434</v>
      </c>
      <c r="C47" s="0" t="n">
        <v>4.14747</v>
      </c>
      <c r="D47" s="0" t="n">
        <f aca="false">100*B47/SUM(B$2:B$202)</f>
        <v>0.00036619644343264</v>
      </c>
      <c r="E47" s="0" t="e">
        <f aca="false">D47+E46</f>
        <v>#VALUE!</v>
      </c>
    </row>
    <row r="48" customFormat="false" ht="13.8" hidden="false" customHeight="false" outlineLevel="0" collapsed="false">
      <c r="A48" s="0" t="n">
        <f aca="false">1+A47</f>
        <v>-54</v>
      </c>
      <c r="B48" s="0" t="n">
        <v>487</v>
      </c>
      <c r="C48" s="0" t="n">
        <v>5.54415</v>
      </c>
      <c r="D48" s="0" t="n">
        <f aca="false">100*B48/SUM(B$2:B$202)</f>
        <v>0.000410916285602985</v>
      </c>
      <c r="E48" s="0" t="e">
        <f aca="false">D48+E47</f>
        <v>#VALUE!</v>
      </c>
    </row>
    <row r="49" customFormat="false" ht="13.8" hidden="false" customHeight="false" outlineLevel="0" collapsed="false">
      <c r="A49" s="0" t="n">
        <f aca="false">1+A48</f>
        <v>-53</v>
      </c>
      <c r="B49" s="0" t="n">
        <v>395</v>
      </c>
      <c r="C49" s="0" t="n">
        <v>4.81013</v>
      </c>
      <c r="D49" s="0" t="n">
        <f aca="false">100*B49/SUM(B$2:B$202)</f>
        <v>0.000333289389760121</v>
      </c>
      <c r="E49" s="0" t="e">
        <f aca="false">D49+E48</f>
        <v>#VALUE!</v>
      </c>
    </row>
    <row r="50" customFormat="false" ht="13.8" hidden="false" customHeight="false" outlineLevel="0" collapsed="false">
      <c r="A50" s="0" t="n">
        <f aca="false">1+A49</f>
        <v>-52</v>
      </c>
      <c r="B50" s="0" t="n">
        <v>480</v>
      </c>
      <c r="C50" s="0" t="n">
        <v>4.375</v>
      </c>
      <c r="D50" s="0" t="n">
        <f aca="false">100*B50/SUM(B$2:B$202)</f>
        <v>0.000405009891354072</v>
      </c>
      <c r="E50" s="0" t="e">
        <f aca="false">D50+E49</f>
        <v>#VALUE!</v>
      </c>
    </row>
    <row r="51" customFormat="false" ht="13.8" hidden="false" customHeight="false" outlineLevel="0" collapsed="false">
      <c r="A51" s="0" t="n">
        <f aca="false">1+A50</f>
        <v>-51</v>
      </c>
      <c r="B51" s="0" t="n">
        <v>412</v>
      </c>
      <c r="C51" s="0" t="n">
        <v>6.06796</v>
      </c>
      <c r="D51" s="0" t="n">
        <f aca="false">100*B51/SUM(B$2:B$202)</f>
        <v>0.000347633490078911</v>
      </c>
      <c r="E51" s="0" t="e">
        <f aca="false">D51+E50</f>
        <v>#VALUE!</v>
      </c>
    </row>
    <row r="52" customFormat="false" ht="13.8" hidden="false" customHeight="false" outlineLevel="0" collapsed="false">
      <c r="A52" s="0" t="n">
        <f aca="false">1+A51</f>
        <v>-50</v>
      </c>
      <c r="B52" s="0" t="n">
        <v>562</v>
      </c>
      <c r="C52" s="0" t="n">
        <v>4.4484</v>
      </c>
      <c r="D52" s="0" t="n">
        <f aca="false">100*B52/SUM(B$2:B$202)</f>
        <v>0.000474199081127059</v>
      </c>
      <c r="E52" s="0" t="e">
        <f aca="false">D52+E51</f>
        <v>#VALUE!</v>
      </c>
    </row>
    <row r="53" customFormat="false" ht="13.8" hidden="false" customHeight="false" outlineLevel="0" collapsed="false">
      <c r="A53" s="0" t="n">
        <f aca="false">1+A52</f>
        <v>-49</v>
      </c>
      <c r="B53" s="0" t="n">
        <v>512</v>
      </c>
      <c r="C53" s="0" t="n">
        <v>4.6875</v>
      </c>
      <c r="D53" s="0" t="n">
        <f aca="false">100*B53/SUM(B$2:B$202)</f>
        <v>0.000432010550777676</v>
      </c>
      <c r="E53" s="0" t="e">
        <f aca="false">D53+E52</f>
        <v>#VALUE!</v>
      </c>
    </row>
    <row r="54" customFormat="false" ht="13.8" hidden="false" customHeight="false" outlineLevel="0" collapsed="false">
      <c r="A54" s="0" t="n">
        <f aca="false">1+A53</f>
        <v>-48</v>
      </c>
      <c r="B54" s="0" t="n">
        <v>524</v>
      </c>
      <c r="C54" s="0" t="n">
        <v>4.58015</v>
      </c>
      <c r="D54" s="0" t="n">
        <f aca="false">100*B54/SUM(B$2:B$202)</f>
        <v>0.000442135798061528</v>
      </c>
      <c r="E54" s="0" t="e">
        <f aca="false">D54+E53</f>
        <v>#VALUE!</v>
      </c>
    </row>
    <row r="55" customFormat="false" ht="13.8" hidden="false" customHeight="false" outlineLevel="0" collapsed="false">
      <c r="A55" s="0" t="n">
        <f aca="false">1+A54</f>
        <v>-47</v>
      </c>
      <c r="B55" s="0" t="n">
        <v>520</v>
      </c>
      <c r="C55" s="0" t="n">
        <v>3.65385</v>
      </c>
      <c r="D55" s="0" t="n">
        <f aca="false">100*B55/SUM(B$2:B$202)</f>
        <v>0.000438760715633578</v>
      </c>
      <c r="E55" s="0" t="e">
        <f aca="false">D55+E54</f>
        <v>#VALUE!</v>
      </c>
    </row>
    <row r="56" customFormat="false" ht="13.8" hidden="false" customHeight="false" outlineLevel="0" collapsed="false">
      <c r="A56" s="0" t="n">
        <f aca="false">1+A55</f>
        <v>-46</v>
      </c>
      <c r="B56" s="0" t="n">
        <v>663</v>
      </c>
      <c r="C56" s="0" t="n">
        <v>4.22323</v>
      </c>
      <c r="D56" s="0" t="n">
        <f aca="false">100*B56/SUM(B$2:B$202)</f>
        <v>0.000559419912432811</v>
      </c>
      <c r="E56" s="0" t="e">
        <f aca="false">D56+E55</f>
        <v>#VALUE!</v>
      </c>
    </row>
    <row r="57" customFormat="false" ht="13.8" hidden="false" customHeight="false" outlineLevel="0" collapsed="false">
      <c r="A57" s="0" t="n">
        <f aca="false">1+A56</f>
        <v>-45</v>
      </c>
      <c r="B57" s="0" t="n">
        <v>795</v>
      </c>
      <c r="C57" s="0" t="n">
        <v>3.27044</v>
      </c>
      <c r="D57" s="0" t="n">
        <f aca="false">100*B57/SUM(B$2:B$202)</f>
        <v>0.000670797632555181</v>
      </c>
      <c r="E57" s="0" t="e">
        <f aca="false">D57+E56</f>
        <v>#VALUE!</v>
      </c>
    </row>
    <row r="58" customFormat="false" ht="13.8" hidden="false" customHeight="false" outlineLevel="0" collapsed="false">
      <c r="A58" s="0" t="n">
        <f aca="false">1+A57</f>
        <v>-44</v>
      </c>
      <c r="B58" s="0" t="n">
        <v>815</v>
      </c>
      <c r="C58" s="0" t="n">
        <v>3.55828</v>
      </c>
      <c r="D58" s="0" t="n">
        <f aca="false">100*B58/SUM(B$2:B$202)</f>
        <v>0.000687673044694934</v>
      </c>
      <c r="E58" s="0" t="e">
        <f aca="false">D58+E57</f>
        <v>#VALUE!</v>
      </c>
    </row>
    <row r="59" customFormat="false" ht="13.8" hidden="false" customHeight="false" outlineLevel="0" collapsed="false">
      <c r="A59" s="0" t="n">
        <f aca="false">1+A58</f>
        <v>-43</v>
      </c>
      <c r="B59" s="0" t="n">
        <v>876</v>
      </c>
      <c r="C59" s="0" t="n">
        <v>4.56621</v>
      </c>
      <c r="D59" s="0" t="n">
        <f aca="false">100*B59/SUM(B$2:B$202)</f>
        <v>0.000739143051721181</v>
      </c>
      <c r="E59" s="0" t="e">
        <f aca="false">D59+E58</f>
        <v>#VALUE!</v>
      </c>
    </row>
    <row r="60" customFormat="false" ht="13.8" hidden="false" customHeight="false" outlineLevel="0" collapsed="false">
      <c r="A60" s="0" t="n">
        <f aca="false">1+A59</f>
        <v>-42</v>
      </c>
      <c r="B60" s="0" t="n">
        <v>1193</v>
      </c>
      <c r="C60" s="0" t="n">
        <v>2.59849</v>
      </c>
      <c r="D60" s="0" t="n">
        <f aca="false">100*B60/SUM(B$2:B$202)</f>
        <v>0.00100661833413627</v>
      </c>
      <c r="E60" s="0" t="e">
        <f aca="false">D60+E59</f>
        <v>#VALUE!</v>
      </c>
    </row>
    <row r="61" customFormat="false" ht="13.8" hidden="false" customHeight="false" outlineLevel="0" collapsed="false">
      <c r="A61" s="0" t="n">
        <f aca="false">1+A60</f>
        <v>-41</v>
      </c>
      <c r="B61" s="0" t="n">
        <v>1229</v>
      </c>
      <c r="C61" s="0" t="n">
        <v>4.06835</v>
      </c>
      <c r="D61" s="0" t="n">
        <f aca="false">100*B61/SUM(B$2:B$202)</f>
        <v>0.00103699407598782</v>
      </c>
      <c r="E61" s="0" t="e">
        <f aca="false">D61+E60</f>
        <v>#VALUE!</v>
      </c>
    </row>
    <row r="62" customFormat="false" ht="13.8" hidden="false" customHeight="false" outlineLevel="0" collapsed="false">
      <c r="A62" s="0" t="n">
        <f aca="false">1+A61</f>
        <v>-40</v>
      </c>
      <c r="B62" s="0" t="n">
        <v>1323</v>
      </c>
      <c r="C62" s="0" t="n">
        <v>2.94785</v>
      </c>
      <c r="D62" s="0" t="n">
        <f aca="false">100*B62/SUM(B$2:B$202)</f>
        <v>0.00111630851304466</v>
      </c>
      <c r="E62" s="0" t="e">
        <f aca="false">D62+E61</f>
        <v>#VALUE!</v>
      </c>
    </row>
    <row r="63" customFormat="false" ht="13.8" hidden="false" customHeight="false" outlineLevel="0" collapsed="false">
      <c r="A63" s="0" t="n">
        <f aca="false">1+A62</f>
        <v>-39</v>
      </c>
      <c r="B63" s="0" t="n">
        <v>1535</v>
      </c>
      <c r="C63" s="0" t="n">
        <v>4.23453</v>
      </c>
      <c r="D63" s="0" t="n">
        <f aca="false">100*B63/SUM(B$2:B$202)</f>
        <v>0.00129518788172604</v>
      </c>
      <c r="E63" s="0" t="e">
        <f aca="false">D63+E62</f>
        <v>#VALUE!</v>
      </c>
    </row>
    <row r="64" customFormat="false" ht="13.8" hidden="false" customHeight="false" outlineLevel="0" collapsed="false">
      <c r="A64" s="0" t="n">
        <f aca="false">1+A63</f>
        <v>-38</v>
      </c>
      <c r="B64" s="0" t="n">
        <v>1634</v>
      </c>
      <c r="C64" s="0" t="n">
        <v>4.03917</v>
      </c>
      <c r="D64" s="0" t="n">
        <f aca="false">100*B64/SUM(B$2:B$202)</f>
        <v>0.00137872117181782</v>
      </c>
      <c r="E64" s="0" t="e">
        <f aca="false">D64+E63</f>
        <v>#VALUE!</v>
      </c>
    </row>
    <row r="65" customFormat="false" ht="13.8" hidden="false" customHeight="false" outlineLevel="0" collapsed="false">
      <c r="A65" s="0" t="n">
        <f aca="false">1+A64</f>
        <v>-37</v>
      </c>
      <c r="B65" s="0" t="n">
        <v>1942</v>
      </c>
      <c r="C65" s="0" t="n">
        <v>3.8105</v>
      </c>
      <c r="D65" s="0" t="n">
        <f aca="false">100*B65/SUM(B$2:B$202)</f>
        <v>0.00163860251877001</v>
      </c>
      <c r="E65" s="0" t="e">
        <f aca="false">D65+E64</f>
        <v>#VALUE!</v>
      </c>
    </row>
    <row r="66" customFormat="false" ht="13.8" hidden="false" customHeight="false" outlineLevel="0" collapsed="false">
      <c r="A66" s="0" t="n">
        <f aca="false">1+A65</f>
        <v>-36</v>
      </c>
      <c r="B66" s="0" t="n">
        <v>2334</v>
      </c>
      <c r="C66" s="0" t="n">
        <v>2.82776</v>
      </c>
      <c r="D66" s="0" t="n">
        <f aca="false">100*B66/SUM(B$2:B$202)</f>
        <v>0.00196936059670917</v>
      </c>
      <c r="E66" s="0" t="e">
        <f aca="false">D66+E65</f>
        <v>#VALUE!</v>
      </c>
    </row>
    <row r="67" customFormat="false" ht="13.8" hidden="false" customHeight="false" outlineLevel="0" collapsed="false">
      <c r="A67" s="0" t="n">
        <f aca="false">1+A66</f>
        <v>-35</v>
      </c>
      <c r="B67" s="0" t="n">
        <v>2883</v>
      </c>
      <c r="C67" s="0" t="n">
        <v>3.88484</v>
      </c>
      <c r="D67" s="0" t="n">
        <f aca="false">100*B67/SUM(B$2:B$202)</f>
        <v>0.00243259065994539</v>
      </c>
      <c r="E67" s="0" t="e">
        <f aca="false">D67+E66</f>
        <v>#VALUE!</v>
      </c>
    </row>
    <row r="68" customFormat="false" ht="13.8" hidden="false" customHeight="false" outlineLevel="0" collapsed="false">
      <c r="A68" s="0" t="n">
        <f aca="false">1+A67</f>
        <v>-34</v>
      </c>
      <c r="B68" s="0" t="n">
        <v>2658</v>
      </c>
      <c r="C68" s="0" t="n">
        <v>3.64936</v>
      </c>
      <c r="D68" s="0" t="n">
        <f aca="false">100*B68/SUM(B$2:B$202)</f>
        <v>0.00224274227337317</v>
      </c>
      <c r="E68" s="0" t="e">
        <f aca="false">D68+E67</f>
        <v>#VALUE!</v>
      </c>
    </row>
    <row r="69" customFormat="false" ht="13.8" hidden="false" customHeight="false" outlineLevel="0" collapsed="false">
      <c r="A69" s="0" t="n">
        <f aca="false">1+A68</f>
        <v>-33</v>
      </c>
      <c r="B69" s="0" t="n">
        <v>3118</v>
      </c>
      <c r="C69" s="0" t="n">
        <v>3.5279</v>
      </c>
      <c r="D69" s="0" t="n">
        <f aca="false">100*B69/SUM(B$2:B$202)</f>
        <v>0.00263087675258749</v>
      </c>
      <c r="E69" s="0" t="e">
        <f aca="false">D69+E68</f>
        <v>#VALUE!</v>
      </c>
    </row>
    <row r="70" customFormat="false" ht="13.8" hidden="false" customHeight="false" outlineLevel="0" collapsed="false">
      <c r="A70" s="0" t="n">
        <f aca="false">1+A69</f>
        <v>-32</v>
      </c>
      <c r="B70" s="0" t="n">
        <v>3691</v>
      </c>
      <c r="C70" s="0" t="n">
        <v>3.79301</v>
      </c>
      <c r="D70" s="0" t="n">
        <f aca="false">100*B70/SUM(B$2:B$202)</f>
        <v>0.00311435731039141</v>
      </c>
      <c r="E70" s="0" t="e">
        <f aca="false">D70+E69</f>
        <v>#VALUE!</v>
      </c>
    </row>
    <row r="71" customFormat="false" ht="13.8" hidden="false" customHeight="false" outlineLevel="0" collapsed="false">
      <c r="A71" s="0" t="n">
        <f aca="false">1+A70</f>
        <v>-31</v>
      </c>
      <c r="B71" s="0" t="n">
        <v>4039</v>
      </c>
      <c r="C71" s="0" t="n">
        <v>4.20896</v>
      </c>
      <c r="D71" s="0" t="n">
        <f aca="false">100*B71/SUM(B$2:B$202)</f>
        <v>0.00340798948162312</v>
      </c>
      <c r="E71" s="0" t="e">
        <f aca="false">D71+E70</f>
        <v>#VALUE!</v>
      </c>
    </row>
    <row r="72" customFormat="false" ht="13.8" hidden="false" customHeight="false" outlineLevel="0" collapsed="false">
      <c r="A72" s="0" t="n">
        <f aca="false">1+A71</f>
        <v>-30</v>
      </c>
      <c r="B72" s="0" t="n">
        <v>4682</v>
      </c>
      <c r="C72" s="0" t="n">
        <v>3.78044</v>
      </c>
      <c r="D72" s="0" t="n">
        <f aca="false">100*B72/SUM(B$2:B$202)</f>
        <v>0.00395053398191617</v>
      </c>
      <c r="E72" s="0" t="e">
        <f aca="false">D72+E71</f>
        <v>#VALUE!</v>
      </c>
    </row>
    <row r="73" customFormat="false" ht="13.8" hidden="false" customHeight="false" outlineLevel="0" collapsed="false">
      <c r="A73" s="0" t="n">
        <f aca="false">1+A72</f>
        <v>-29</v>
      </c>
      <c r="B73" s="0" t="n">
        <v>4682</v>
      </c>
      <c r="C73" s="0" t="n">
        <v>4.59205</v>
      </c>
      <c r="D73" s="0" t="n">
        <f aca="false">100*B73/SUM(B$2:B$202)</f>
        <v>0.00395053398191617</v>
      </c>
      <c r="E73" s="0" t="e">
        <f aca="false">D73+E72</f>
        <v>#VALUE!</v>
      </c>
    </row>
    <row r="74" customFormat="false" ht="13.8" hidden="false" customHeight="false" outlineLevel="0" collapsed="false">
      <c r="A74" s="0" t="n">
        <f aca="false">1+A73</f>
        <v>-28</v>
      </c>
      <c r="B74" s="0" t="n">
        <v>5670</v>
      </c>
      <c r="C74" s="0" t="n">
        <v>3.88007</v>
      </c>
      <c r="D74" s="0" t="n">
        <f aca="false">100*B74/SUM(B$2:B$202)</f>
        <v>0.00478417934161997</v>
      </c>
      <c r="E74" s="0" t="e">
        <f aca="false">D74+E73</f>
        <v>#VALUE!</v>
      </c>
    </row>
    <row r="75" customFormat="false" ht="13.8" hidden="false" customHeight="false" outlineLevel="0" collapsed="false">
      <c r="A75" s="0" t="n">
        <f aca="false">1+A74</f>
        <v>-27</v>
      </c>
      <c r="B75" s="0" t="n">
        <v>6722</v>
      </c>
      <c r="C75" s="0" t="n">
        <v>3.45135</v>
      </c>
      <c r="D75" s="0" t="n">
        <f aca="false">100*B75/SUM(B$2:B$202)</f>
        <v>0.00567182602017098</v>
      </c>
      <c r="E75" s="0" t="e">
        <f aca="false">D75+E74</f>
        <v>#VALUE!</v>
      </c>
    </row>
    <row r="76" customFormat="false" ht="13.8" hidden="false" customHeight="false" outlineLevel="0" collapsed="false">
      <c r="A76" s="0" t="n">
        <f aca="false">1+A75</f>
        <v>-26</v>
      </c>
      <c r="B76" s="0" t="n">
        <v>7525</v>
      </c>
      <c r="C76" s="0" t="n">
        <v>3.56146</v>
      </c>
      <c r="D76" s="0" t="n">
        <f aca="false">100*B76/SUM(B$2:B$202)</f>
        <v>0.00634937381758206</v>
      </c>
      <c r="E76" s="0" t="e">
        <f aca="false">D76+E75</f>
        <v>#VALUE!</v>
      </c>
    </row>
    <row r="77" customFormat="false" ht="13.8" hidden="false" customHeight="false" outlineLevel="0" collapsed="false">
      <c r="A77" s="0" t="n">
        <f aca="false">1+A76</f>
        <v>-25</v>
      </c>
      <c r="B77" s="0" t="n">
        <v>7911</v>
      </c>
      <c r="C77" s="0" t="n">
        <v>3.93123</v>
      </c>
      <c r="D77" s="0" t="n">
        <f aca="false">100*B77/SUM(B$2:B$202)</f>
        <v>0.00667506927187929</v>
      </c>
      <c r="E77" s="0" t="e">
        <f aca="false">D77+E76</f>
        <v>#VALUE!</v>
      </c>
    </row>
    <row r="78" customFormat="false" ht="13.8" hidden="false" customHeight="false" outlineLevel="0" collapsed="false">
      <c r="A78" s="0" t="n">
        <f aca="false">1+A77</f>
        <v>-24</v>
      </c>
      <c r="B78" s="0" t="n">
        <v>9248</v>
      </c>
      <c r="C78" s="0" t="n">
        <v>3.6981</v>
      </c>
      <c r="D78" s="0" t="n">
        <f aca="false">100*B78/SUM(B$2:B$202)</f>
        <v>0.00780319057342178</v>
      </c>
      <c r="E78" s="0" t="e">
        <f aca="false">D78+E77</f>
        <v>#VALUE!</v>
      </c>
    </row>
    <row r="79" customFormat="false" ht="13.8" hidden="false" customHeight="false" outlineLevel="0" collapsed="false">
      <c r="A79" s="0" t="n">
        <f aca="false">1+A78</f>
        <v>-23</v>
      </c>
      <c r="B79" s="0" t="n">
        <v>10190</v>
      </c>
      <c r="C79" s="0" t="n">
        <v>3.73896</v>
      </c>
      <c r="D79" s="0" t="n">
        <f aca="false">100*B79/SUM(B$2:B$202)</f>
        <v>0.00859802248520415</v>
      </c>
      <c r="E79" s="0" t="e">
        <f aca="false">D79+E78</f>
        <v>#VALUE!</v>
      </c>
    </row>
    <row r="80" customFormat="false" ht="13.8" hidden="false" customHeight="false" outlineLevel="0" collapsed="false">
      <c r="A80" s="0" t="n">
        <f aca="false">1+A79</f>
        <v>-22</v>
      </c>
      <c r="B80" s="0" t="n">
        <v>12759</v>
      </c>
      <c r="C80" s="0" t="n">
        <v>3.49557</v>
      </c>
      <c r="D80" s="0" t="n">
        <f aca="false">100*B80/SUM(B$2:B$202)</f>
        <v>0.0107656691745554</v>
      </c>
      <c r="E80" s="0" t="e">
        <f aca="false">D80+E79</f>
        <v>#VALUE!</v>
      </c>
    </row>
    <row r="81" customFormat="false" ht="13.8" hidden="false" customHeight="false" outlineLevel="0" collapsed="false">
      <c r="A81" s="0" t="n">
        <f aca="false">1+A80</f>
        <v>-21</v>
      </c>
      <c r="B81" s="0" t="n">
        <v>13978</v>
      </c>
      <c r="C81" s="0" t="n">
        <v>3.82029</v>
      </c>
      <c r="D81" s="0" t="n">
        <f aca="false">100*B81/SUM(B$2:B$202)</f>
        <v>0.0117942255444734</v>
      </c>
      <c r="E81" s="0" t="e">
        <f aca="false">D81+E80</f>
        <v>#VALUE!</v>
      </c>
    </row>
    <row r="82" customFormat="false" ht="13.8" hidden="false" customHeight="false" outlineLevel="0" collapsed="false">
      <c r="A82" s="0" t="n">
        <f aca="false">1+A81</f>
        <v>-20</v>
      </c>
      <c r="B82" s="0" t="n">
        <v>15169</v>
      </c>
      <c r="C82" s="0" t="n">
        <v>3.45441</v>
      </c>
      <c r="D82" s="0" t="n">
        <f aca="false">100*B82/SUM(B$2:B$202)</f>
        <v>0.0127991563373957</v>
      </c>
      <c r="E82" s="0" t="e">
        <f aca="false">D82+E81</f>
        <v>#VALUE!</v>
      </c>
    </row>
    <row r="83" customFormat="false" ht="13.8" hidden="false" customHeight="false" outlineLevel="0" collapsed="false">
      <c r="A83" s="0" t="n">
        <f aca="false">1+A82</f>
        <v>-19</v>
      </c>
      <c r="B83" s="0" t="n">
        <v>17277</v>
      </c>
      <c r="C83" s="0" t="n">
        <v>3.8722</v>
      </c>
      <c r="D83" s="0" t="n">
        <f aca="false">100*B83/SUM(B$2:B$202)</f>
        <v>0.0145778247769256</v>
      </c>
      <c r="E83" s="0" t="e">
        <f aca="false">D83+E82</f>
        <v>#VALUE!</v>
      </c>
    </row>
    <row r="84" customFormat="false" ht="13.8" hidden="false" customHeight="false" outlineLevel="0" collapsed="false">
      <c r="A84" s="0" t="n">
        <f aca="false">1+A83</f>
        <v>-18</v>
      </c>
      <c r="B84" s="0" t="n">
        <v>19796</v>
      </c>
      <c r="C84" s="0" t="n">
        <v>3.71792</v>
      </c>
      <c r="D84" s="0" t="n">
        <f aca="false">100*B84/SUM(B$2:B$202)</f>
        <v>0.0167032829359275</v>
      </c>
      <c r="E84" s="0" t="e">
        <f aca="false">D84+E83</f>
        <v>#VALUE!</v>
      </c>
    </row>
    <row r="85" customFormat="false" ht="13.8" hidden="false" customHeight="false" outlineLevel="0" collapsed="false">
      <c r="A85" s="0" t="n">
        <f aca="false">1+A84</f>
        <v>-17</v>
      </c>
      <c r="B85" s="0" t="n">
        <v>24953</v>
      </c>
      <c r="C85" s="0" t="n">
        <v>3.57071</v>
      </c>
      <c r="D85" s="0" t="n">
        <f aca="false">100*B85/SUM(B$2:B$202)</f>
        <v>0.0210546079561628</v>
      </c>
      <c r="E85" s="0" t="e">
        <f aca="false">D85+E84</f>
        <v>#VALUE!</v>
      </c>
    </row>
    <row r="86" customFormat="false" ht="13.8" hidden="false" customHeight="false" outlineLevel="0" collapsed="false">
      <c r="A86" s="0" t="n">
        <f aca="false">1+A85</f>
        <v>-16</v>
      </c>
      <c r="B86" s="0" t="n">
        <v>28552</v>
      </c>
      <c r="C86" s="0" t="n">
        <v>3.57243</v>
      </c>
      <c r="D86" s="0" t="n">
        <f aca="false">100*B86/SUM(B$2:B$202)</f>
        <v>0.0240913383707114</v>
      </c>
      <c r="E86" s="0" t="e">
        <f aca="false">D86+E85</f>
        <v>#VALUE!</v>
      </c>
    </row>
    <row r="87" customFormat="false" ht="13.8" hidden="false" customHeight="false" outlineLevel="0" collapsed="false">
      <c r="A87" s="0" t="n">
        <f aca="false">1+A86</f>
        <v>-15</v>
      </c>
      <c r="B87" s="0" t="n">
        <v>32882</v>
      </c>
      <c r="C87" s="0" t="n">
        <v>3.8775</v>
      </c>
      <c r="D87" s="0" t="n">
        <f aca="false">100*B87/SUM(B$2:B$202)</f>
        <v>0.0277448650989679</v>
      </c>
      <c r="E87" s="0" t="e">
        <f aca="false">D87+E86</f>
        <v>#VALUE!</v>
      </c>
    </row>
    <row r="88" customFormat="false" ht="13.8" hidden="false" customHeight="false" outlineLevel="0" collapsed="false">
      <c r="A88" s="0" t="n">
        <f aca="false">1+A87</f>
        <v>-14</v>
      </c>
      <c r="B88" s="0" t="n">
        <v>39030</v>
      </c>
      <c r="C88" s="0" t="n">
        <v>3.81758</v>
      </c>
      <c r="D88" s="0" t="n">
        <f aca="false">100*B88/SUM(B$2:B$202)</f>
        <v>0.0329323667907279</v>
      </c>
      <c r="E88" s="0" t="e">
        <f aca="false">D88+E87</f>
        <v>#VALUE!</v>
      </c>
    </row>
    <row r="89" customFormat="false" ht="13.8" hidden="false" customHeight="false" outlineLevel="0" collapsed="false">
      <c r="A89" s="0" t="n">
        <f aca="false">1+A88</f>
        <v>-13</v>
      </c>
      <c r="B89" s="0" t="n">
        <v>46176</v>
      </c>
      <c r="C89" s="0" t="n">
        <v>3.98692</v>
      </c>
      <c r="D89" s="0" t="n">
        <f aca="false">100*B89/SUM(B$2:B$202)</f>
        <v>0.0389619515482617</v>
      </c>
      <c r="E89" s="0" t="e">
        <f aca="false">D89+E88</f>
        <v>#VALUE!</v>
      </c>
    </row>
    <row r="90" customFormat="false" ht="13.8" hidden="false" customHeight="false" outlineLevel="0" collapsed="false">
      <c r="A90" s="0" t="n">
        <f aca="false">1+A89</f>
        <v>-12</v>
      </c>
      <c r="B90" s="0" t="n">
        <v>61702</v>
      </c>
      <c r="C90" s="0" t="n">
        <v>3.99339</v>
      </c>
      <c r="D90" s="0" t="n">
        <f aca="false">100*B90/SUM(B$2:B$202)</f>
        <v>0.0520623339923519</v>
      </c>
      <c r="E90" s="0" t="e">
        <f aca="false">D90+E89</f>
        <v>#VALUE!</v>
      </c>
    </row>
    <row r="91" customFormat="false" ht="13.8" hidden="false" customHeight="false" outlineLevel="0" collapsed="false">
      <c r="A91" s="0" t="n">
        <f aca="false">1+A90</f>
        <v>-11</v>
      </c>
      <c r="B91" s="0" t="n">
        <v>72851</v>
      </c>
      <c r="C91" s="0" t="n">
        <v>4.36919</v>
      </c>
      <c r="D91" s="0" t="n">
        <f aca="false">100*B91/SUM(B$2:B$202)</f>
        <v>0.0614695324896572</v>
      </c>
      <c r="E91" s="0" t="e">
        <f aca="false">D91+E90</f>
        <v>#VALUE!</v>
      </c>
    </row>
    <row r="92" customFormat="false" ht="13.8" hidden="false" customHeight="false" outlineLevel="0" collapsed="false">
      <c r="A92" s="0" t="n">
        <f aca="false">1+A91</f>
        <v>-10</v>
      </c>
      <c r="B92" s="0" t="n">
        <v>92711</v>
      </c>
      <c r="C92" s="0" t="n">
        <v>4.49893</v>
      </c>
      <c r="D92" s="0" t="n">
        <f aca="false">100*B92/SUM(B$2:B$202)</f>
        <v>0.0782268167444319</v>
      </c>
      <c r="E92" s="0" t="e">
        <f aca="false">D92+E91</f>
        <v>#VALUE!</v>
      </c>
    </row>
    <row r="93" customFormat="false" ht="13.8" hidden="false" customHeight="false" outlineLevel="0" collapsed="false">
      <c r="A93" s="0" t="n">
        <f aca="false">1+A92</f>
        <v>-9</v>
      </c>
      <c r="B93" s="0" t="n">
        <v>112023</v>
      </c>
      <c r="C93" s="0" t="n">
        <v>4.66779</v>
      </c>
      <c r="D93" s="0" t="n">
        <f aca="false">100*B93/SUM(B$2:B$202)</f>
        <v>0.0945217147065774</v>
      </c>
      <c r="E93" s="0" t="e">
        <f aca="false">D93+E92</f>
        <v>#VALUE!</v>
      </c>
    </row>
    <row r="94" customFormat="false" ht="13.8" hidden="false" customHeight="false" outlineLevel="0" collapsed="false">
      <c r="A94" s="0" t="n">
        <f aca="false">1+A93</f>
        <v>-8</v>
      </c>
      <c r="B94" s="0" t="n">
        <v>141427</v>
      </c>
      <c r="C94" s="0" t="n">
        <v>4.835</v>
      </c>
      <c r="D94" s="0" t="n">
        <f aca="false">100*B94/SUM(B$2:B$202)</f>
        <v>0.119331945634442</v>
      </c>
      <c r="E94" s="0" t="e">
        <f aca="false">D94+E93</f>
        <v>#VALUE!</v>
      </c>
    </row>
    <row r="95" customFormat="false" ht="13.8" hidden="false" customHeight="false" outlineLevel="0" collapsed="false">
      <c r="A95" s="0" t="n">
        <f aca="false">1+A94</f>
        <v>-7</v>
      </c>
      <c r="B95" s="0" t="n">
        <v>206430</v>
      </c>
      <c r="C95" s="0" t="n">
        <v>4.9983</v>
      </c>
      <c r="D95" s="0" t="n">
        <f aca="false">100*B95/SUM(B$2:B$202)</f>
        <v>0.17417956640046</v>
      </c>
      <c r="E95" s="0" t="e">
        <f aca="false">D95+E94</f>
        <v>#VALUE!</v>
      </c>
    </row>
    <row r="96" customFormat="false" ht="13.8" hidden="false" customHeight="false" outlineLevel="0" collapsed="false">
      <c r="A96" s="0" t="n">
        <f aca="false">1+A95</f>
        <v>-6</v>
      </c>
      <c r="B96" s="0" t="n">
        <v>284485</v>
      </c>
      <c r="C96" s="0" t="n">
        <v>5.25335</v>
      </c>
      <c r="D96" s="0" t="n">
        <f aca="false">100*B96/SUM(B$2:B$202)</f>
        <v>0.240040081128881</v>
      </c>
      <c r="E96" s="0" t="e">
        <f aca="false">D96+E95</f>
        <v>#VALUE!</v>
      </c>
    </row>
    <row r="97" customFormat="false" ht="13.8" hidden="false" customHeight="false" outlineLevel="0" collapsed="false">
      <c r="A97" s="0" t="n">
        <f aca="false">1+A96</f>
        <v>-5</v>
      </c>
      <c r="B97" s="0" t="n">
        <v>377340</v>
      </c>
      <c r="C97" s="0" t="n">
        <v>5.41395</v>
      </c>
      <c r="D97" s="0" t="n">
        <f aca="false">100*B97/SUM(B$2:B$202)</f>
        <v>0.31838840084072</v>
      </c>
      <c r="E97" s="0" t="e">
        <f aca="false">D97+E96</f>
        <v>#VALUE!</v>
      </c>
    </row>
    <row r="98" customFormat="false" ht="13.8" hidden="false" customHeight="false" outlineLevel="0" collapsed="false">
      <c r="A98" s="0" t="n">
        <f aca="false">1+A97</f>
        <v>-4</v>
      </c>
      <c r="B98" s="0" t="n">
        <v>556954</v>
      </c>
      <c r="C98" s="0" t="n">
        <v>5.35717</v>
      </c>
      <c r="D98" s="0" t="n">
        <f aca="false">100*B98/SUM(B$2:B$202)</f>
        <v>0.469941414644199</v>
      </c>
      <c r="E98" s="0" t="e">
        <f aca="false">D98+E97</f>
        <v>#VALUE!</v>
      </c>
    </row>
    <row r="99" customFormat="false" ht="13.8" hidden="false" customHeight="false" outlineLevel="0" collapsed="false">
      <c r="A99" s="0" t="n">
        <f aca="false">1+A98</f>
        <v>-3</v>
      </c>
      <c r="B99" s="0" t="n">
        <v>927062</v>
      </c>
      <c r="C99" s="0" t="n">
        <v>5.32823</v>
      </c>
      <c r="D99" s="0" t="n">
        <f aca="false">100*B99/SUM(B$2:B$202)</f>
        <v>0.782227666455184</v>
      </c>
      <c r="E99" s="0" t="e">
        <f aca="false">D99+E98</f>
        <v>#VALUE!</v>
      </c>
    </row>
    <row r="100" customFormat="false" ht="13.8" hidden="false" customHeight="false" outlineLevel="0" collapsed="false">
      <c r="A100" s="0" t="n">
        <f aca="false">1+A99</f>
        <v>-2</v>
      </c>
      <c r="B100" s="0" t="n">
        <v>1630685</v>
      </c>
      <c r="C100" s="0" t="n">
        <v>5.2015</v>
      </c>
      <c r="D100" s="0" t="n">
        <f aca="false">100*B100/SUM(B$2:B$202)</f>
        <v>1.37592407225565</v>
      </c>
      <c r="E100" s="0" t="e">
        <f aca="false">D100+E99</f>
        <v>#VALUE!</v>
      </c>
    </row>
    <row r="101" customFormat="false" ht="13.8" hidden="false" customHeight="false" outlineLevel="0" collapsed="false">
      <c r="A101" s="0" t="n">
        <f aca="false">1+A100</f>
        <v>-1</v>
      </c>
      <c r="B101" s="0" t="n">
        <v>2779626</v>
      </c>
      <c r="C101" s="0" t="n">
        <v>5.04838</v>
      </c>
      <c r="D101" s="0" t="n">
        <f aca="false">100*B101/SUM(B$2:B$202)</f>
        <v>2.34536671721865</v>
      </c>
      <c r="E101" s="0" t="e">
        <f aca="false">D101+E100</f>
        <v>#VALUE!</v>
      </c>
    </row>
    <row r="102" customFormat="false" ht="13.8" hidden="false" customHeight="false" outlineLevel="0" collapsed="false">
      <c r="A102" s="0" t="n">
        <f aca="false">1+A101</f>
        <v>0</v>
      </c>
      <c r="B102" s="0" t="n">
        <v>104499864</v>
      </c>
      <c r="C102" s="0" t="n">
        <v>22.288</v>
      </c>
      <c r="D102" s="0" t="n">
        <f aca="false">100*B102/SUM(B$2:B$202)</f>
        <v>88.1739136774068</v>
      </c>
      <c r="E102" s="0" t="e">
        <f aca="false">D102+E101</f>
        <v>#VALUE!</v>
      </c>
    </row>
    <row r="103" customFormat="false" ht="13.8" hidden="false" customHeight="false" outlineLevel="0" collapsed="false">
      <c r="A103" s="0" t="n">
        <f aca="false">1+A102</f>
        <v>1</v>
      </c>
      <c r="B103" s="0" t="n">
        <v>1059262</v>
      </c>
      <c r="C103" s="0" t="n">
        <v>46.3601</v>
      </c>
      <c r="D103" s="0" t="n">
        <f aca="false">100*B103/SUM(B$2:B$202)</f>
        <v>0.893774140698951</v>
      </c>
      <c r="E103" s="0" t="e">
        <f aca="false">D103+E102</f>
        <v>#VALUE!</v>
      </c>
    </row>
    <row r="104" customFormat="false" ht="13.8" hidden="false" customHeight="false" outlineLevel="0" collapsed="false">
      <c r="A104" s="0" t="n">
        <f aca="false">1+A103</f>
        <v>2</v>
      </c>
      <c r="B104" s="0" t="n">
        <v>761291</v>
      </c>
      <c r="C104" s="0" t="n">
        <v>48.1893</v>
      </c>
      <c r="D104" s="0" t="n">
        <f aca="false">100*B104/SUM(B$2:B$202)</f>
        <v>0.642354969164234</v>
      </c>
      <c r="E104" s="0" t="e">
        <f aca="false">D104+E103</f>
        <v>#VALUE!</v>
      </c>
    </row>
    <row r="105" customFormat="false" ht="13.8" hidden="false" customHeight="false" outlineLevel="0" collapsed="false">
      <c r="A105" s="0" t="n">
        <f aca="false">1+A104</f>
        <v>3</v>
      </c>
      <c r="B105" s="0" t="n">
        <v>566769</v>
      </c>
      <c r="C105" s="0" t="n">
        <v>50.6587</v>
      </c>
      <c r="D105" s="0" t="n">
        <f aca="false">100*B105/SUM(B$2:B$202)</f>
        <v>0.478223023151783</v>
      </c>
      <c r="E105" s="0" t="e">
        <f aca="false">D105+E104</f>
        <v>#VALUE!</v>
      </c>
    </row>
    <row r="106" customFormat="false" ht="13.8" hidden="false" customHeight="false" outlineLevel="0" collapsed="false">
      <c r="A106" s="0" t="n">
        <f aca="false">1+A105</f>
        <v>4</v>
      </c>
      <c r="B106" s="0" t="n">
        <v>451554</v>
      </c>
      <c r="C106" s="0" t="n">
        <v>52.0671</v>
      </c>
      <c r="D106" s="0" t="n">
        <f aca="false">100*B106/SUM(B$2:B$202)</f>
        <v>0.381007992667701</v>
      </c>
      <c r="E106" s="0" t="e">
        <f aca="false">D106+E105</f>
        <v>#VALUE!</v>
      </c>
    </row>
    <row r="107" customFormat="false" ht="13.8" hidden="false" customHeight="false" outlineLevel="0" collapsed="false">
      <c r="A107" s="0" t="n">
        <f aca="false">1+A106</f>
        <v>5</v>
      </c>
      <c r="B107" s="0" t="n">
        <v>367734</v>
      </c>
      <c r="C107" s="0" t="n">
        <v>53.3293</v>
      </c>
      <c r="D107" s="0" t="n">
        <f aca="false">100*B107/SUM(B$2:B$202)</f>
        <v>0.310283140389996</v>
      </c>
      <c r="E107" s="0" t="e">
        <f aca="false">D107+E106</f>
        <v>#VALUE!</v>
      </c>
    </row>
    <row r="108" customFormat="false" ht="13.8" hidden="false" customHeight="false" outlineLevel="0" collapsed="false">
      <c r="A108" s="0" t="n">
        <f aca="false">1+A107</f>
        <v>6</v>
      </c>
      <c r="B108" s="0" t="n">
        <v>309021</v>
      </c>
      <c r="C108" s="0" t="n">
        <v>54.1439</v>
      </c>
      <c r="D108" s="0" t="n">
        <f aca="false">100*B108/SUM(B$2:B$202)</f>
        <v>0.26074283674193</v>
      </c>
      <c r="E108" s="0" t="e">
        <f aca="false">D108+E107</f>
        <v>#VALUE!</v>
      </c>
    </row>
    <row r="109" customFormat="false" ht="13.8" hidden="false" customHeight="false" outlineLevel="0" collapsed="false">
      <c r="A109" s="0" t="n">
        <f aca="false">1+A108</f>
        <v>7</v>
      </c>
      <c r="B109" s="0" t="n">
        <v>263395</v>
      </c>
      <c r="C109" s="0" t="n">
        <v>55.9893</v>
      </c>
      <c r="D109" s="0" t="n">
        <f aca="false">100*B109/SUM(B$2:B$202)</f>
        <v>0.222244959027512</v>
      </c>
      <c r="E109" s="0" t="e">
        <f aca="false">D109+E108</f>
        <v>#VALUE!</v>
      </c>
    </row>
    <row r="110" customFormat="false" ht="13.8" hidden="false" customHeight="false" outlineLevel="0" collapsed="false">
      <c r="A110" s="0" t="n">
        <f aca="false">1+A109</f>
        <v>8</v>
      </c>
      <c r="B110" s="0" t="n">
        <v>229171</v>
      </c>
      <c r="C110" s="0" t="n">
        <v>57.1486</v>
      </c>
      <c r="D110" s="0" t="n">
        <f aca="false">100*B110/SUM(B$2:B$202)</f>
        <v>0.193367753773967</v>
      </c>
      <c r="E110" s="0" t="e">
        <f aca="false">D110+E109</f>
        <v>#VALUE!</v>
      </c>
    </row>
    <row r="111" customFormat="false" ht="13.8" hidden="false" customHeight="false" outlineLevel="0" collapsed="false">
      <c r="A111" s="0" t="n">
        <f aca="false">1+A110</f>
        <v>9</v>
      </c>
      <c r="B111" s="0" t="n">
        <v>203054</v>
      </c>
      <c r="C111" s="0" t="n">
        <v>57.5182</v>
      </c>
      <c r="D111" s="0" t="n">
        <f aca="false">100*B111/SUM(B$2:B$202)</f>
        <v>0.17133099683127</v>
      </c>
      <c r="E111" s="0" t="e">
        <f aca="false">D111+E110</f>
        <v>#VALUE!</v>
      </c>
    </row>
    <row r="112" customFormat="false" ht="13.8" hidden="false" customHeight="false" outlineLevel="0" collapsed="false">
      <c r="A112" s="0" t="n">
        <f aca="false">1+A111</f>
        <v>10</v>
      </c>
      <c r="B112" s="0" t="n">
        <v>176926</v>
      </c>
      <c r="C112" s="0" t="n">
        <v>58.9235</v>
      </c>
      <c r="D112" s="0" t="n">
        <f aca="false">100*B112/SUM(B$2:B$202)</f>
        <v>0.149284958411897</v>
      </c>
      <c r="E112" s="0" t="e">
        <f aca="false">D112+E111</f>
        <v>#VALUE!</v>
      </c>
    </row>
    <row r="113" customFormat="false" ht="13.8" hidden="false" customHeight="false" outlineLevel="0" collapsed="false">
      <c r="A113" s="0" t="n">
        <f aca="false">1+A112</f>
        <v>11</v>
      </c>
      <c r="B113" s="0" t="n">
        <v>158623</v>
      </c>
      <c r="C113" s="0" t="n">
        <v>59.1926</v>
      </c>
      <c r="D113" s="0" t="n">
        <f aca="false">100*B113/SUM(B$2:B$202)</f>
        <v>0.133841424992202</v>
      </c>
      <c r="E113" s="0" t="e">
        <f aca="false">D113+E112</f>
        <v>#VALUE!</v>
      </c>
    </row>
    <row r="114" customFormat="false" ht="13.8" hidden="false" customHeight="false" outlineLevel="0" collapsed="false">
      <c r="A114" s="0" t="n">
        <f aca="false">1+A113</f>
        <v>12</v>
      </c>
      <c r="B114" s="0" t="n">
        <v>142593</v>
      </c>
      <c r="C114" s="0" t="n">
        <v>60.2842</v>
      </c>
      <c r="D114" s="0" t="n">
        <f aca="false">100*B114/SUM(B$2:B$202)</f>
        <v>0.12031578216219</v>
      </c>
      <c r="E114" s="0" t="e">
        <f aca="false">D114+E113</f>
        <v>#VALUE!</v>
      </c>
    </row>
    <row r="115" customFormat="false" ht="13.8" hidden="false" customHeight="false" outlineLevel="0" collapsed="false">
      <c r="A115" s="0" t="n">
        <f aca="false">1+A114</f>
        <v>13</v>
      </c>
      <c r="B115" s="0" t="n">
        <v>128601</v>
      </c>
      <c r="C115" s="0" t="n">
        <v>61.1636</v>
      </c>
      <c r="D115" s="0" t="n">
        <f aca="false">100*B115/SUM(B$2:B$202)</f>
        <v>0.108509743829219</v>
      </c>
      <c r="E115" s="0" t="e">
        <f aca="false">D115+E114</f>
        <v>#VALUE!</v>
      </c>
    </row>
    <row r="116" customFormat="false" ht="13.8" hidden="false" customHeight="false" outlineLevel="0" collapsed="false">
      <c r="A116" s="0" t="n">
        <f aca="false">1+A115</f>
        <v>14</v>
      </c>
      <c r="B116" s="0" t="n">
        <v>117536</v>
      </c>
      <c r="C116" s="0" t="n">
        <v>61.0936</v>
      </c>
      <c r="D116" s="0" t="n">
        <f aca="false">100*B116/SUM(B$2:B$202)</f>
        <v>0.0991734220629003</v>
      </c>
      <c r="E116" s="0" t="e">
        <f aca="false">D116+E115</f>
        <v>#VALUE!</v>
      </c>
    </row>
    <row r="117" customFormat="false" ht="13.8" hidden="false" customHeight="false" outlineLevel="0" collapsed="false">
      <c r="A117" s="0" t="n">
        <f aca="false">1+A116</f>
        <v>15</v>
      </c>
      <c r="B117" s="0" t="n">
        <v>106821</v>
      </c>
      <c r="C117" s="0" t="n">
        <v>61.6592</v>
      </c>
      <c r="D117" s="0" t="n">
        <f aca="false">100*B117/SUM(B$2:B$202)</f>
        <v>0.0901324200090277</v>
      </c>
      <c r="E117" s="0" t="e">
        <f aca="false">D117+E116</f>
        <v>#VALUE!</v>
      </c>
    </row>
    <row r="118" customFormat="false" ht="13.8" hidden="false" customHeight="false" outlineLevel="0" collapsed="false">
      <c r="A118" s="0" t="n">
        <f aca="false">1+A117</f>
        <v>16</v>
      </c>
      <c r="B118" s="0" t="n">
        <v>96400</v>
      </c>
      <c r="C118" s="0" t="n">
        <v>62.7054</v>
      </c>
      <c r="D118" s="0" t="n">
        <f aca="false">100*B118/SUM(B$2:B$202)</f>
        <v>0.0813394865136094</v>
      </c>
      <c r="E118" s="0" t="e">
        <f aca="false">D118+E117</f>
        <v>#VALUE!</v>
      </c>
    </row>
    <row r="119" customFormat="false" ht="13.8" hidden="false" customHeight="false" outlineLevel="0" collapsed="false">
      <c r="A119" s="0" t="n">
        <f aca="false">1+A118</f>
        <v>17</v>
      </c>
      <c r="B119" s="0" t="n">
        <v>89837</v>
      </c>
      <c r="C119" s="0" t="n">
        <v>62.8293</v>
      </c>
      <c r="D119" s="0" t="n">
        <f aca="false">100*B119/SUM(B$2:B$202)</f>
        <v>0.0758018200199494</v>
      </c>
      <c r="E119" s="0" t="e">
        <f aca="false">D119+E118</f>
        <v>#VALUE!</v>
      </c>
    </row>
    <row r="120" customFormat="false" ht="13.8" hidden="false" customHeight="false" outlineLevel="0" collapsed="false">
      <c r="A120" s="0" t="n">
        <f aca="false">1+A119</f>
        <v>18</v>
      </c>
      <c r="B120" s="0" t="n">
        <v>83019</v>
      </c>
      <c r="C120" s="0" t="n">
        <v>63.2024</v>
      </c>
      <c r="D120" s="0" t="n">
        <f aca="false">100*B120/SUM(B$2:B$202)</f>
        <v>0.0700489920215077</v>
      </c>
      <c r="E120" s="0" t="e">
        <f aca="false">D120+E119</f>
        <v>#VALUE!</v>
      </c>
    </row>
    <row r="121" customFormat="false" ht="13.8" hidden="false" customHeight="false" outlineLevel="0" collapsed="false">
      <c r="A121" s="0" t="n">
        <f aca="false">1+A120</f>
        <v>19</v>
      </c>
      <c r="B121" s="0" t="n">
        <v>76190</v>
      </c>
      <c r="C121" s="0" t="n">
        <v>64.0333</v>
      </c>
      <c r="D121" s="0" t="n">
        <f aca="false">100*B121/SUM(B$2:B$202)</f>
        <v>0.064286882546389</v>
      </c>
      <c r="E121" s="0" t="e">
        <f aca="false">D121+E120</f>
        <v>#VALUE!</v>
      </c>
    </row>
    <row r="122" customFormat="false" ht="13.8" hidden="false" customHeight="false" outlineLevel="0" collapsed="false">
      <c r="A122" s="0" t="n">
        <f aca="false">1+A121</f>
        <v>20</v>
      </c>
      <c r="B122" s="0" t="n">
        <v>70768</v>
      </c>
      <c r="C122" s="0" t="n">
        <v>64.9262</v>
      </c>
      <c r="D122" s="0" t="n">
        <f aca="false">100*B122/SUM(B$2:B$202)</f>
        <v>0.059711958315302</v>
      </c>
      <c r="E122" s="0" t="e">
        <f aca="false">D122+E121</f>
        <v>#VALUE!</v>
      </c>
    </row>
    <row r="123" customFormat="false" ht="13.8" hidden="false" customHeight="false" outlineLevel="0" collapsed="false">
      <c r="A123" s="0" t="n">
        <f aca="false">1+A122</f>
        <v>21</v>
      </c>
      <c r="B123" s="0" t="n">
        <v>64455</v>
      </c>
      <c r="C123" s="0" t="n">
        <v>65.6737</v>
      </c>
      <c r="D123" s="0" t="n">
        <f aca="false">100*B123/SUM(B$2:B$202)</f>
        <v>0.0543852344733889</v>
      </c>
      <c r="E123" s="0" t="e">
        <f aca="false">D123+E122</f>
        <v>#VALUE!</v>
      </c>
    </row>
    <row r="124" customFormat="false" ht="13.8" hidden="false" customHeight="false" outlineLevel="0" collapsed="false">
      <c r="A124" s="0" t="n">
        <f aca="false">1+A123</f>
        <v>22</v>
      </c>
      <c r="B124" s="0" t="n">
        <v>59312</v>
      </c>
      <c r="C124" s="0" t="n">
        <v>66.6004</v>
      </c>
      <c r="D124" s="0" t="n">
        <f aca="false">100*B124/SUM(B$2:B$202)</f>
        <v>0.0500457222416515</v>
      </c>
      <c r="E124" s="0" t="e">
        <f aca="false">D124+E123</f>
        <v>#VALUE!</v>
      </c>
    </row>
    <row r="125" customFormat="false" ht="13.8" hidden="false" customHeight="false" outlineLevel="0" collapsed="false">
      <c r="A125" s="0" t="n">
        <f aca="false">1+A124</f>
        <v>23</v>
      </c>
      <c r="B125" s="0" t="n">
        <v>55393</v>
      </c>
      <c r="C125" s="0" t="n">
        <v>67.4526</v>
      </c>
      <c r="D125" s="0" t="n">
        <f aca="false">100*B125/SUM(B$2:B$202)</f>
        <v>0.0467389852328669</v>
      </c>
      <c r="E125" s="0" t="e">
        <f aca="false">D125+E124</f>
        <v>#VALUE!</v>
      </c>
    </row>
    <row r="126" customFormat="false" ht="13.8" hidden="false" customHeight="false" outlineLevel="0" collapsed="false">
      <c r="A126" s="0" t="n">
        <f aca="false">1+A125</f>
        <v>24</v>
      </c>
      <c r="B126" s="0" t="n">
        <v>51382</v>
      </c>
      <c r="C126" s="0" t="n">
        <v>67.294</v>
      </c>
      <c r="D126" s="0" t="n">
        <f aca="false">100*B126/SUM(B$2:B$202)</f>
        <v>0.0433546213282394</v>
      </c>
      <c r="E126" s="0" t="e">
        <f aca="false">D126+E125</f>
        <v>#VALUE!</v>
      </c>
    </row>
    <row r="127" customFormat="false" ht="13.8" hidden="false" customHeight="false" outlineLevel="0" collapsed="false">
      <c r="A127" s="0" t="n">
        <f aca="false">1+A126</f>
        <v>25</v>
      </c>
      <c r="B127" s="0" t="n">
        <v>47719</v>
      </c>
      <c r="C127" s="0" t="n">
        <v>67.8116</v>
      </c>
      <c r="D127" s="0" t="n">
        <f aca="false">100*B127/SUM(B$2:B$202)</f>
        <v>0.0402638895948436</v>
      </c>
      <c r="E127" s="0" t="e">
        <f aca="false">D127+E126</f>
        <v>#VALUE!</v>
      </c>
    </row>
    <row r="128" customFormat="false" ht="13.8" hidden="false" customHeight="false" outlineLevel="0" collapsed="false">
      <c r="A128" s="0" t="n">
        <f aca="false">1+A127</f>
        <v>26</v>
      </c>
      <c r="B128" s="0" t="n">
        <v>44359</v>
      </c>
      <c r="C128" s="0" t="n">
        <v>68.3108</v>
      </c>
      <c r="D128" s="0" t="n">
        <f aca="false">100*B128/SUM(B$2:B$202)</f>
        <v>0.0374288203553651</v>
      </c>
      <c r="E128" s="0" t="e">
        <f aca="false">D128+E127</f>
        <v>#VALUE!</v>
      </c>
    </row>
    <row r="129" customFormat="false" ht="13.8" hidden="false" customHeight="false" outlineLevel="0" collapsed="false">
      <c r="A129" s="0" t="n">
        <f aca="false">1+A128</f>
        <v>27</v>
      </c>
      <c r="B129" s="0" t="n">
        <v>41109</v>
      </c>
      <c r="C129" s="0" t="n">
        <v>69.34</v>
      </c>
      <c r="D129" s="0" t="n">
        <f aca="false">100*B129/SUM(B$2:B$202)</f>
        <v>0.0346865658826553</v>
      </c>
      <c r="E129" s="0" t="e">
        <f aca="false">D129+E128</f>
        <v>#VALUE!</v>
      </c>
    </row>
    <row r="130" customFormat="false" ht="13.8" hidden="false" customHeight="false" outlineLevel="0" collapsed="false">
      <c r="A130" s="0" t="n">
        <f aca="false">1+A129</f>
        <v>28</v>
      </c>
      <c r="B130" s="0" t="n">
        <v>38505</v>
      </c>
      <c r="C130" s="0" t="n">
        <v>69.7338</v>
      </c>
      <c r="D130" s="0" t="n">
        <f aca="false">100*B130/SUM(B$2:B$202)</f>
        <v>0.0324893872220594</v>
      </c>
      <c r="E130" s="0" t="e">
        <f aca="false">D130+E129</f>
        <v>#VALUE!</v>
      </c>
    </row>
    <row r="131" customFormat="false" ht="13.8" hidden="false" customHeight="false" outlineLevel="0" collapsed="false">
      <c r="A131" s="0" t="n">
        <f aca="false">1+A130</f>
        <v>29</v>
      </c>
      <c r="B131" s="0" t="n">
        <v>36101</v>
      </c>
      <c r="C131" s="0" t="n">
        <v>69.8042</v>
      </c>
      <c r="D131" s="0" t="n">
        <f aca="false">100*B131/SUM(B$2:B$202)</f>
        <v>0.0304609626828611</v>
      </c>
      <c r="E131" s="0" t="e">
        <f aca="false">D131+E130</f>
        <v>#VALUE!</v>
      </c>
    </row>
    <row r="132" customFormat="false" ht="13.8" hidden="false" customHeight="false" outlineLevel="0" collapsed="false">
      <c r="A132" s="0" t="n">
        <f aca="false">1+A131</f>
        <v>30</v>
      </c>
      <c r="B132" s="0" t="n">
        <v>33507</v>
      </c>
      <c r="C132" s="0" t="n">
        <v>70.4599</v>
      </c>
      <c r="D132" s="0" t="n">
        <f aca="false">100*B132/SUM(B$2:B$202)</f>
        <v>0.0282722217283352</v>
      </c>
      <c r="E132" s="0" t="e">
        <f aca="false">D132+E131</f>
        <v>#VALUE!</v>
      </c>
    </row>
    <row r="133" customFormat="false" ht="13.8" hidden="false" customHeight="false" outlineLevel="0" collapsed="false">
      <c r="A133" s="0" t="n">
        <f aca="false">1+A132</f>
        <v>31</v>
      </c>
      <c r="B133" s="0" t="n">
        <v>30731</v>
      </c>
      <c r="C133" s="0" t="n">
        <v>71.0162</v>
      </c>
      <c r="D133" s="0" t="n">
        <f aca="false">100*B133/SUM(B$2:B$202)</f>
        <v>0.0259299145233374</v>
      </c>
      <c r="E133" s="0" t="e">
        <f aca="false">D133+E132</f>
        <v>#VALUE!</v>
      </c>
    </row>
    <row r="134" customFormat="false" ht="13.8" hidden="false" customHeight="false" outlineLevel="0" collapsed="false">
      <c r="A134" s="0" t="n">
        <f aca="false">1+A133</f>
        <v>32</v>
      </c>
      <c r="B134" s="0" t="n">
        <v>29268</v>
      </c>
      <c r="C134" s="0" t="n">
        <v>70.5959</v>
      </c>
      <c r="D134" s="0" t="n">
        <f aca="false">100*B134/SUM(B$2:B$202)</f>
        <v>0.0246954781253145</v>
      </c>
      <c r="E134" s="0" t="e">
        <f aca="false">D134+E133</f>
        <v>#VALUE!</v>
      </c>
    </row>
    <row r="135" customFormat="false" ht="13.8" hidden="false" customHeight="false" outlineLevel="0" collapsed="false">
      <c r="A135" s="0" t="n">
        <f aca="false">1+A134</f>
        <v>33</v>
      </c>
      <c r="B135" s="0" t="n">
        <v>26741</v>
      </c>
      <c r="C135" s="0" t="n">
        <v>71.8073</v>
      </c>
      <c r="D135" s="0" t="n">
        <f aca="false">100*B135/SUM(B$2:B$202)</f>
        <v>0.0225632698014567</v>
      </c>
      <c r="E135" s="0" t="e">
        <f aca="false">D135+E134</f>
        <v>#VALUE!</v>
      </c>
    </row>
    <row r="136" customFormat="false" ht="13.8" hidden="false" customHeight="false" outlineLevel="0" collapsed="false">
      <c r="A136" s="0" t="n">
        <f aca="false">1+A135</f>
        <v>34</v>
      </c>
      <c r="B136" s="0" t="n">
        <v>25138</v>
      </c>
      <c r="C136" s="0" t="n">
        <v>71.8673</v>
      </c>
      <c r="D136" s="0" t="n">
        <f aca="false">100*B136/SUM(B$2:B$202)</f>
        <v>0.0212107055184555</v>
      </c>
      <c r="E136" s="0" t="e">
        <f aca="false">D136+E135</f>
        <v>#VALUE!</v>
      </c>
    </row>
    <row r="137" customFormat="false" ht="13.8" hidden="false" customHeight="false" outlineLevel="0" collapsed="false">
      <c r="A137" s="0" t="n">
        <f aca="false">1+A136</f>
        <v>35</v>
      </c>
      <c r="B137" s="0" t="n">
        <v>23239</v>
      </c>
      <c r="C137" s="0" t="n">
        <v>72.6279</v>
      </c>
      <c r="D137" s="0" t="n">
        <f aca="false">100*B137/SUM(B$2:B$202)</f>
        <v>0.019608385135786</v>
      </c>
      <c r="E137" s="0" t="e">
        <f aca="false">D137+E136</f>
        <v>#VALUE!</v>
      </c>
    </row>
    <row r="138" customFormat="false" ht="13.8" hidden="false" customHeight="false" outlineLevel="0" collapsed="false">
      <c r="A138" s="0" t="n">
        <f aca="false">1+A137</f>
        <v>36</v>
      </c>
      <c r="B138" s="0" t="n">
        <v>22260</v>
      </c>
      <c r="C138" s="0" t="n">
        <v>72.7493</v>
      </c>
      <c r="D138" s="0" t="n">
        <f aca="false">100*B138/SUM(B$2:B$202)</f>
        <v>0.0187823337115451</v>
      </c>
      <c r="E138" s="0" t="e">
        <f aca="false">D138+E137</f>
        <v>#VALUE!</v>
      </c>
    </row>
    <row r="139" customFormat="false" ht="13.8" hidden="false" customHeight="false" outlineLevel="0" collapsed="false">
      <c r="A139" s="0" t="n">
        <f aca="false">1+A138</f>
        <v>37</v>
      </c>
      <c r="B139" s="0" t="n">
        <v>20387</v>
      </c>
      <c r="C139" s="0" t="n">
        <v>72.9043</v>
      </c>
      <c r="D139" s="0" t="n">
        <f aca="false">100*B139/SUM(B$2:B$202)</f>
        <v>0.0172019513646572</v>
      </c>
      <c r="E139" s="0" t="e">
        <f aca="false">D139+E138</f>
        <v>#VALUE!</v>
      </c>
    </row>
    <row r="140" customFormat="false" ht="13.8" hidden="false" customHeight="false" outlineLevel="0" collapsed="false">
      <c r="A140" s="0" t="n">
        <f aca="false">1+A139</f>
        <v>38</v>
      </c>
      <c r="B140" s="0" t="n">
        <v>19020</v>
      </c>
      <c r="C140" s="0" t="n">
        <v>73.8433</v>
      </c>
      <c r="D140" s="0" t="n">
        <f aca="false">100*B140/SUM(B$2:B$202)</f>
        <v>0.0160485169449051</v>
      </c>
      <c r="E140" s="0" t="e">
        <f aca="false">D140+E139</f>
        <v>#VALUE!</v>
      </c>
    </row>
    <row r="141" customFormat="false" ht="13.8" hidden="false" customHeight="false" outlineLevel="0" collapsed="false">
      <c r="A141" s="0" t="n">
        <f aca="false">1+A140</f>
        <v>39</v>
      </c>
      <c r="B141" s="0" t="n">
        <v>18152</v>
      </c>
      <c r="C141" s="0" t="n">
        <v>73.2041</v>
      </c>
      <c r="D141" s="0" t="n">
        <f aca="false">100*B141/SUM(B$2:B$202)</f>
        <v>0.0153161240580398</v>
      </c>
      <c r="E141" s="0" t="e">
        <f aca="false">D141+E140</f>
        <v>#VALUE!</v>
      </c>
    </row>
    <row r="142" customFormat="false" ht="13.8" hidden="false" customHeight="false" outlineLevel="0" collapsed="false">
      <c r="A142" s="0" t="n">
        <f aca="false">1+A141</f>
        <v>40</v>
      </c>
      <c r="B142" s="0" t="n">
        <v>16569</v>
      </c>
      <c r="C142" s="0" t="n">
        <v>72.7624</v>
      </c>
      <c r="D142" s="0" t="n">
        <f aca="false">100*B142/SUM(B$2:B$202)</f>
        <v>0.0139804351871784</v>
      </c>
      <c r="E142" s="0" t="e">
        <f aca="false">D142+E141</f>
        <v>#VALUE!</v>
      </c>
    </row>
    <row r="143" customFormat="false" ht="13.8" hidden="false" customHeight="false" outlineLevel="0" collapsed="false">
      <c r="A143" s="0" t="n">
        <f aca="false">1+A142</f>
        <v>41</v>
      </c>
      <c r="B143" s="0" t="n">
        <v>15840</v>
      </c>
      <c r="C143" s="0" t="n">
        <v>73.5732</v>
      </c>
      <c r="D143" s="0" t="n">
        <f aca="false">100*B143/SUM(B$2:B$202)</f>
        <v>0.0133653264146844</v>
      </c>
      <c r="E143" s="0" t="e">
        <f aca="false">D143+E142</f>
        <v>#VALUE!</v>
      </c>
    </row>
    <row r="144" customFormat="false" ht="13.8" hidden="false" customHeight="false" outlineLevel="0" collapsed="false">
      <c r="A144" s="0" t="n">
        <f aca="false">1+A143</f>
        <v>42</v>
      </c>
      <c r="B144" s="0" t="n">
        <v>14608</v>
      </c>
      <c r="C144" s="0" t="n">
        <v>73.9663</v>
      </c>
      <c r="D144" s="0" t="n">
        <f aca="false">100*B144/SUM(B$2:B$202)</f>
        <v>0.0123258010268756</v>
      </c>
      <c r="E144" s="0" t="e">
        <f aca="false">D144+E143</f>
        <v>#VALUE!</v>
      </c>
    </row>
    <row r="145" customFormat="false" ht="13.8" hidden="false" customHeight="false" outlineLevel="0" collapsed="false">
      <c r="A145" s="0" t="n">
        <f aca="false">1+A144</f>
        <v>43</v>
      </c>
      <c r="B145" s="0" t="n">
        <v>13476</v>
      </c>
      <c r="C145" s="0" t="n">
        <v>75.7643</v>
      </c>
      <c r="D145" s="0" t="n">
        <f aca="false">100*B145/SUM(B$2:B$202)</f>
        <v>0.0113706526997656</v>
      </c>
      <c r="E145" s="0" t="e">
        <f aca="false">D145+E144</f>
        <v>#VALUE!</v>
      </c>
    </row>
    <row r="146" customFormat="false" ht="13.8" hidden="false" customHeight="false" outlineLevel="0" collapsed="false">
      <c r="A146" s="0" t="n">
        <f aca="false">1+A145</f>
        <v>44</v>
      </c>
      <c r="B146" s="0" t="n">
        <v>12809</v>
      </c>
      <c r="C146" s="0" t="n">
        <v>75.3298</v>
      </c>
      <c r="D146" s="0" t="n">
        <f aca="false">100*B146/SUM(B$2:B$202)</f>
        <v>0.0108078577049048</v>
      </c>
      <c r="E146" s="0" t="e">
        <f aca="false">D146+E145</f>
        <v>#VALUE!</v>
      </c>
    </row>
    <row r="147" customFormat="false" ht="13.8" hidden="false" customHeight="false" outlineLevel="0" collapsed="false">
      <c r="A147" s="0" t="n">
        <f aca="false">1+A146</f>
        <v>45</v>
      </c>
      <c r="B147" s="0" t="n">
        <v>12304</v>
      </c>
      <c r="C147" s="0" t="n">
        <v>74.2929</v>
      </c>
      <c r="D147" s="0" t="n">
        <f aca="false">100*B147/SUM(B$2:B$202)</f>
        <v>0.010381753548376</v>
      </c>
      <c r="E147" s="0" t="e">
        <f aca="false">D147+E146</f>
        <v>#VALUE!</v>
      </c>
    </row>
    <row r="148" customFormat="false" ht="13.8" hidden="false" customHeight="false" outlineLevel="0" collapsed="false">
      <c r="A148" s="0" t="n">
        <f aca="false">1+A147</f>
        <v>46</v>
      </c>
      <c r="B148" s="0" t="n">
        <v>11121</v>
      </c>
      <c r="C148" s="0" t="n">
        <v>75.8835</v>
      </c>
      <c r="D148" s="0" t="n">
        <f aca="false">100*B148/SUM(B$2:B$202)</f>
        <v>0.00938357292030965</v>
      </c>
      <c r="E148" s="0" t="e">
        <f aca="false">D148+E147</f>
        <v>#VALUE!</v>
      </c>
    </row>
    <row r="149" customFormat="false" ht="13.8" hidden="false" customHeight="false" outlineLevel="0" collapsed="false">
      <c r="A149" s="0" t="n">
        <f aca="false">1+A148</f>
        <v>47</v>
      </c>
      <c r="B149" s="0" t="n">
        <v>10388</v>
      </c>
      <c r="C149" s="0" t="n">
        <v>75.308</v>
      </c>
      <c r="D149" s="0" t="n">
        <f aca="false">100*B149/SUM(B$2:B$202)</f>
        <v>0.0087650890653877</v>
      </c>
      <c r="E149" s="0" t="e">
        <f aca="false">D149+E148</f>
        <v>#VALUE!</v>
      </c>
    </row>
    <row r="150" customFormat="false" ht="13.8" hidden="false" customHeight="false" outlineLevel="0" collapsed="false">
      <c r="A150" s="0" t="n">
        <f aca="false">1+A149</f>
        <v>48</v>
      </c>
      <c r="B150" s="0" t="n">
        <v>9903</v>
      </c>
      <c r="C150" s="0" t="n">
        <v>75.1792</v>
      </c>
      <c r="D150" s="0" t="n">
        <f aca="false">100*B150/SUM(B$2:B$202)</f>
        <v>0.00835586032099869</v>
      </c>
      <c r="E150" s="0" t="e">
        <f aca="false">D150+E149</f>
        <v>#VALUE!</v>
      </c>
    </row>
    <row r="151" customFormat="false" ht="13.8" hidden="false" customHeight="false" outlineLevel="0" collapsed="false">
      <c r="A151" s="0" t="n">
        <f aca="false">1+A150</f>
        <v>49</v>
      </c>
      <c r="B151" s="0" t="n">
        <v>9170</v>
      </c>
      <c r="C151" s="0" t="n">
        <v>76.3141</v>
      </c>
      <c r="D151" s="0" t="n">
        <f aca="false">100*B151/SUM(B$2:B$202)</f>
        <v>0.00773737646607674</v>
      </c>
      <c r="E151" s="0" t="e">
        <f aca="false">D151+E150</f>
        <v>#VALUE!</v>
      </c>
    </row>
    <row r="152" customFormat="false" ht="13.8" hidden="false" customHeight="false" outlineLevel="0" collapsed="false">
      <c r="A152" s="0" t="n">
        <f aca="false">1+A151</f>
        <v>50</v>
      </c>
      <c r="B152" s="0" t="n">
        <v>8633</v>
      </c>
      <c r="C152" s="0" t="n">
        <v>77.3891</v>
      </c>
      <c r="D152" s="0" t="n">
        <f aca="false">100*B152/SUM(B$2:B$202)</f>
        <v>0.00728427165012438</v>
      </c>
      <c r="E152" s="0" t="e">
        <f aca="false">D152+E151</f>
        <v>#VALUE!</v>
      </c>
    </row>
    <row r="153" customFormat="false" ht="13.8" hidden="false" customHeight="false" outlineLevel="0" collapsed="false">
      <c r="A153" s="0" t="n">
        <f aca="false">1+A152</f>
        <v>51</v>
      </c>
      <c r="B153" s="0" t="n">
        <v>7775</v>
      </c>
      <c r="C153" s="0" t="n">
        <v>77.5563</v>
      </c>
      <c r="D153" s="0" t="n">
        <f aca="false">100*B153/SUM(B$2:B$202)</f>
        <v>0.00656031646932897</v>
      </c>
      <c r="E153" s="0" t="e">
        <f aca="false">D153+E152</f>
        <v>#VALUE!</v>
      </c>
    </row>
    <row r="154" customFormat="false" ht="13.8" hidden="false" customHeight="false" outlineLevel="0" collapsed="false">
      <c r="A154" s="0" t="n">
        <f aca="false">1+A153</f>
        <v>52</v>
      </c>
      <c r="B154" s="0" t="n">
        <v>7323</v>
      </c>
      <c r="C154" s="0" t="n">
        <v>78.3695</v>
      </c>
      <c r="D154" s="0" t="n">
        <f aca="false">100*B154/SUM(B$2:B$202)</f>
        <v>0.00617893215497055</v>
      </c>
      <c r="E154" s="0" t="e">
        <f aca="false">D154+E153</f>
        <v>#VALUE!</v>
      </c>
    </row>
    <row r="155" customFormat="false" ht="13.8" hidden="false" customHeight="false" outlineLevel="0" collapsed="false">
      <c r="A155" s="0" t="n">
        <f aca="false">1+A154</f>
        <v>53</v>
      </c>
      <c r="B155" s="0" t="n">
        <v>6995</v>
      </c>
      <c r="C155" s="0" t="n">
        <v>77.6984</v>
      </c>
      <c r="D155" s="0" t="n">
        <f aca="false">100*B155/SUM(B$2:B$202)</f>
        <v>0.00590217539587861</v>
      </c>
      <c r="E155" s="0" t="e">
        <f aca="false">D155+E154</f>
        <v>#VALUE!</v>
      </c>
    </row>
    <row r="156" customFormat="false" ht="13.8" hidden="false" customHeight="false" outlineLevel="0" collapsed="false">
      <c r="A156" s="0" t="n">
        <f aca="false">1+A155</f>
        <v>54</v>
      </c>
      <c r="B156" s="0" t="n">
        <v>6786</v>
      </c>
      <c r="C156" s="0" t="n">
        <v>79.1335</v>
      </c>
      <c r="D156" s="0" t="n">
        <f aca="false">100*B156/SUM(B$2:B$202)</f>
        <v>0.00572582733901819</v>
      </c>
      <c r="E156" s="0" t="e">
        <f aca="false">D156+E155</f>
        <v>#VALUE!</v>
      </c>
    </row>
    <row r="157" customFormat="false" ht="13.8" hidden="false" customHeight="false" outlineLevel="0" collapsed="false">
      <c r="A157" s="0" t="n">
        <f aca="false">1+A156</f>
        <v>55</v>
      </c>
      <c r="B157" s="0" t="n">
        <v>6388</v>
      </c>
      <c r="C157" s="0" t="n">
        <v>77.9587</v>
      </c>
      <c r="D157" s="0" t="n">
        <f aca="false">100*B157/SUM(B$2:B$202)</f>
        <v>0.0053900066374371</v>
      </c>
      <c r="E157" s="0" t="e">
        <f aca="false">D157+E156</f>
        <v>#VALUE!</v>
      </c>
    </row>
    <row r="158" customFormat="false" ht="13.8" hidden="false" customHeight="false" outlineLevel="0" collapsed="false">
      <c r="A158" s="0" t="n">
        <f aca="false">1+A157</f>
        <v>56</v>
      </c>
      <c r="B158" s="0" t="n">
        <v>5912</v>
      </c>
      <c r="C158" s="0" t="n">
        <v>78.8058</v>
      </c>
      <c r="D158" s="0" t="n">
        <f aca="false">100*B158/SUM(B$2:B$202)</f>
        <v>0.00498837182851098</v>
      </c>
      <c r="E158" s="0" t="e">
        <f aca="false">D158+E157</f>
        <v>#VALUE!</v>
      </c>
    </row>
    <row r="159" customFormat="false" ht="13.8" hidden="false" customHeight="false" outlineLevel="0" collapsed="false">
      <c r="A159" s="0" t="n">
        <f aca="false">1+A158</f>
        <v>57</v>
      </c>
      <c r="B159" s="0" t="n">
        <v>5622</v>
      </c>
      <c r="C159" s="0" t="n">
        <v>80.0071</v>
      </c>
      <c r="D159" s="0" t="n">
        <f aca="false">100*B159/SUM(B$2:B$202)</f>
        <v>0.00474367835248456</v>
      </c>
      <c r="E159" s="0" t="e">
        <f aca="false">D159+E158</f>
        <v>#VALUE!</v>
      </c>
    </row>
    <row r="160" customFormat="false" ht="13.8" hidden="false" customHeight="false" outlineLevel="0" collapsed="false">
      <c r="A160" s="0" t="n">
        <f aca="false">1+A159</f>
        <v>58</v>
      </c>
      <c r="B160" s="0" t="n">
        <v>5386</v>
      </c>
      <c r="C160" s="0" t="n">
        <v>79.0011</v>
      </c>
      <c r="D160" s="0" t="n">
        <f aca="false">100*B160/SUM(B$2:B$202)</f>
        <v>0.00454454848923548</v>
      </c>
      <c r="E160" s="0" t="e">
        <f aca="false">D160+E159</f>
        <v>#VALUE!</v>
      </c>
    </row>
    <row r="161" customFormat="false" ht="13.8" hidden="false" customHeight="false" outlineLevel="0" collapsed="false">
      <c r="A161" s="0" t="n">
        <f aca="false">1+A160</f>
        <v>59</v>
      </c>
      <c r="B161" s="0" t="n">
        <v>5046</v>
      </c>
      <c r="C161" s="0" t="n">
        <v>79.786</v>
      </c>
      <c r="D161" s="0" t="n">
        <f aca="false">100*B161/SUM(B$2:B$202)</f>
        <v>0.00425766648285968</v>
      </c>
      <c r="E161" s="0" t="e">
        <f aca="false">D161+E160</f>
        <v>#VALUE!</v>
      </c>
    </row>
    <row r="162" customFormat="false" ht="13.8" hidden="false" customHeight="false" outlineLevel="0" collapsed="false">
      <c r="A162" s="0" t="n">
        <f aca="false">1+A161</f>
        <v>60</v>
      </c>
      <c r="B162" s="0" t="n">
        <v>5037</v>
      </c>
      <c r="C162" s="0" t="n">
        <v>79.0153</v>
      </c>
      <c r="D162" s="0" t="n">
        <f aca="false">100*B162/SUM(B$2:B$202)</f>
        <v>0.00425007254739679</v>
      </c>
      <c r="E162" s="0" t="e">
        <f aca="false">D162+E161</f>
        <v>#VALUE!</v>
      </c>
    </row>
    <row r="163" customFormat="false" ht="13.8" hidden="false" customHeight="false" outlineLevel="0" collapsed="false">
      <c r="A163" s="0" t="n">
        <f aca="false">1+A162</f>
        <v>61</v>
      </c>
      <c r="B163" s="0" t="n">
        <v>4947</v>
      </c>
      <c r="C163" s="0" t="n">
        <v>78.1686</v>
      </c>
      <c r="D163" s="0" t="n">
        <f aca="false">100*B163/SUM(B$2:B$202)</f>
        <v>0.0041741331927679</v>
      </c>
      <c r="E163" s="0" t="e">
        <f aca="false">D163+E162</f>
        <v>#VALUE!</v>
      </c>
    </row>
    <row r="164" customFormat="false" ht="13.8" hidden="false" customHeight="false" outlineLevel="0" collapsed="false">
      <c r="A164" s="0" t="n">
        <f aca="false">1+A163</f>
        <v>62</v>
      </c>
      <c r="B164" s="0" t="n">
        <v>4296</v>
      </c>
      <c r="C164" s="0" t="n">
        <v>80.5168</v>
      </c>
      <c r="D164" s="0" t="n">
        <f aca="false">100*B164/SUM(B$2:B$202)</f>
        <v>0.00362483852761894</v>
      </c>
      <c r="E164" s="0" t="e">
        <f aca="false">D164+E163</f>
        <v>#VALUE!</v>
      </c>
    </row>
    <row r="165" customFormat="false" ht="13.8" hidden="false" customHeight="false" outlineLevel="0" collapsed="false">
      <c r="A165" s="0" t="n">
        <f aca="false">1+A164</f>
        <v>63</v>
      </c>
      <c r="B165" s="0" t="n">
        <v>4259</v>
      </c>
      <c r="C165" s="0" t="n">
        <v>81.6389</v>
      </c>
      <c r="D165" s="0" t="n">
        <f aca="false">100*B165/SUM(B$2:B$202)</f>
        <v>0.0035936190151604</v>
      </c>
      <c r="E165" s="0" t="e">
        <f aca="false">D165+E164</f>
        <v>#VALUE!</v>
      </c>
    </row>
    <row r="166" customFormat="false" ht="13.8" hidden="false" customHeight="false" outlineLevel="0" collapsed="false">
      <c r="A166" s="0" t="n">
        <f aca="false">1+A165</f>
        <v>64</v>
      </c>
      <c r="B166" s="0" t="n">
        <v>3962</v>
      </c>
      <c r="C166" s="0" t="n">
        <v>82.3069</v>
      </c>
      <c r="D166" s="0" t="n">
        <f aca="false">100*B166/SUM(B$2:B$202)</f>
        <v>0.00334301914488507</v>
      </c>
      <c r="E166" s="0" t="e">
        <f aca="false">D166+E165</f>
        <v>#VALUE!</v>
      </c>
    </row>
    <row r="167" customFormat="false" ht="13.8" hidden="false" customHeight="false" outlineLevel="0" collapsed="false">
      <c r="A167" s="0" t="n">
        <f aca="false">1+A166</f>
        <v>65</v>
      </c>
      <c r="B167" s="0" t="n">
        <v>3901</v>
      </c>
      <c r="C167" s="0" t="n">
        <v>80.7742</v>
      </c>
      <c r="D167" s="0" t="n">
        <f aca="false">100*B167/SUM(B$2:B$202)</f>
        <v>0.00329154913785882</v>
      </c>
      <c r="E167" s="0" t="e">
        <f aca="false">D167+E166</f>
        <v>#VALUE!</v>
      </c>
    </row>
    <row r="168" customFormat="false" ht="13.8" hidden="false" customHeight="false" outlineLevel="0" collapsed="false">
      <c r="A168" s="0" t="n">
        <f aca="false">1+A167</f>
        <v>66</v>
      </c>
      <c r="B168" s="0" t="n">
        <v>3618</v>
      </c>
      <c r="C168" s="0" t="n">
        <v>81.9237</v>
      </c>
      <c r="D168" s="0" t="n">
        <f aca="false">100*B168/SUM(B$2:B$202)</f>
        <v>0.00305276205608131</v>
      </c>
      <c r="E168" s="0" t="e">
        <f aca="false">D168+E167</f>
        <v>#VALUE!</v>
      </c>
    </row>
    <row r="169" customFormat="false" ht="13.8" hidden="false" customHeight="false" outlineLevel="0" collapsed="false">
      <c r="A169" s="0" t="n">
        <f aca="false">1+A168</f>
        <v>67</v>
      </c>
      <c r="B169" s="0" t="n">
        <v>3389</v>
      </c>
      <c r="C169" s="0" t="n">
        <v>82.4727</v>
      </c>
      <c r="D169" s="0" t="n">
        <f aca="false">100*B169/SUM(B$2:B$202)</f>
        <v>0.00285953858708114</v>
      </c>
      <c r="E169" s="0" t="e">
        <f aca="false">D169+E168</f>
        <v>#VALUE!</v>
      </c>
    </row>
    <row r="170" customFormat="false" ht="13.8" hidden="false" customHeight="false" outlineLevel="0" collapsed="false">
      <c r="A170" s="0" t="n">
        <f aca="false">1+A169</f>
        <v>68</v>
      </c>
      <c r="B170" s="0" t="n">
        <v>3240</v>
      </c>
      <c r="C170" s="0" t="n">
        <v>82.963</v>
      </c>
      <c r="D170" s="0" t="n">
        <f aca="false">100*B170/SUM(B$2:B$202)</f>
        <v>0.00273381676663998</v>
      </c>
      <c r="E170" s="0" t="e">
        <f aca="false">D170+E169</f>
        <v>#VALUE!</v>
      </c>
    </row>
    <row r="171" customFormat="false" ht="13.8" hidden="false" customHeight="false" outlineLevel="0" collapsed="false">
      <c r="A171" s="0" t="n">
        <f aca="false">1+A170</f>
        <v>69</v>
      </c>
      <c r="B171" s="0" t="n">
        <v>3046</v>
      </c>
      <c r="C171" s="0" t="n">
        <v>82.5673</v>
      </c>
      <c r="D171" s="0" t="n">
        <f aca="false">100*B171/SUM(B$2:B$202)</f>
        <v>0.00257012526888438</v>
      </c>
      <c r="E171" s="0" t="e">
        <f aca="false">D171+E170</f>
        <v>#VALUE!</v>
      </c>
    </row>
    <row r="172" customFormat="false" ht="13.8" hidden="false" customHeight="false" outlineLevel="0" collapsed="false">
      <c r="A172" s="0" t="n">
        <f aca="false">1+A171</f>
        <v>70</v>
      </c>
      <c r="B172" s="0" t="n">
        <v>2851</v>
      </c>
      <c r="C172" s="0" t="n">
        <v>81.2697</v>
      </c>
      <c r="D172" s="0" t="n">
        <f aca="false">100*B172/SUM(B$2:B$202)</f>
        <v>0.00240559000052179</v>
      </c>
      <c r="E172" s="0" t="e">
        <f aca="false">D172+E171</f>
        <v>#VALUE!</v>
      </c>
    </row>
    <row r="173" customFormat="false" ht="13.8" hidden="false" customHeight="false" outlineLevel="0" collapsed="false">
      <c r="A173" s="0" t="n">
        <f aca="false">1+A172</f>
        <v>71</v>
      </c>
      <c r="B173" s="0" t="n">
        <v>2724</v>
      </c>
      <c r="C173" s="0" t="n">
        <v>79.8091</v>
      </c>
      <c r="D173" s="0" t="n">
        <f aca="false">100*B173/SUM(B$2:B$202)</f>
        <v>0.00229843113343436</v>
      </c>
      <c r="E173" s="0" t="e">
        <f aca="false">D173+E172</f>
        <v>#VALUE!</v>
      </c>
    </row>
    <row r="174" customFormat="false" ht="13.8" hidden="false" customHeight="false" outlineLevel="0" collapsed="false">
      <c r="A174" s="0" t="n">
        <f aca="false">1+A173</f>
        <v>72</v>
      </c>
      <c r="B174" s="0" t="n">
        <v>2467</v>
      </c>
      <c r="C174" s="0" t="n">
        <v>82.6915</v>
      </c>
      <c r="D174" s="0" t="n">
        <f aca="false">100*B174/SUM(B$2:B$202)</f>
        <v>0.00208158208743853</v>
      </c>
      <c r="E174" s="0" t="e">
        <f aca="false">D174+E173</f>
        <v>#VALUE!</v>
      </c>
    </row>
    <row r="175" customFormat="false" ht="13.8" hidden="false" customHeight="false" outlineLevel="0" collapsed="false">
      <c r="A175" s="0" t="n">
        <f aca="false">1+A174</f>
        <v>73</v>
      </c>
      <c r="B175" s="0" t="n">
        <v>2308</v>
      </c>
      <c r="C175" s="0" t="n">
        <v>82.9723</v>
      </c>
      <c r="D175" s="0" t="n">
        <f aca="false">100*B175/SUM(B$2:B$202)</f>
        <v>0.00194742256092749</v>
      </c>
      <c r="E175" s="0" t="e">
        <f aca="false">D175+E174</f>
        <v>#VALUE!</v>
      </c>
    </row>
    <row r="176" customFormat="false" ht="13.8" hidden="false" customHeight="false" outlineLevel="0" collapsed="false">
      <c r="A176" s="0" t="n">
        <f aca="false">1+A175</f>
        <v>74</v>
      </c>
      <c r="B176" s="0" t="n">
        <v>2128</v>
      </c>
      <c r="C176" s="0" t="n">
        <v>83.5526</v>
      </c>
      <c r="D176" s="0" t="n">
        <f aca="false">100*B176/SUM(B$2:B$202)</f>
        <v>0.00179554385166972</v>
      </c>
      <c r="E176" s="0" t="e">
        <f aca="false">D176+E175</f>
        <v>#VALUE!</v>
      </c>
    </row>
    <row r="177" customFormat="false" ht="13.8" hidden="false" customHeight="false" outlineLevel="0" collapsed="false">
      <c r="A177" s="0" t="n">
        <f aca="false">1+A176</f>
        <v>75</v>
      </c>
      <c r="B177" s="0" t="n">
        <v>2169</v>
      </c>
      <c r="C177" s="0" t="n">
        <v>81.7888</v>
      </c>
      <c r="D177" s="0" t="n">
        <f aca="false">100*B177/SUM(B$2:B$202)</f>
        <v>0.00183013844655621</v>
      </c>
      <c r="E177" s="0" t="e">
        <f aca="false">D177+E176</f>
        <v>#VALUE!</v>
      </c>
    </row>
    <row r="178" customFormat="false" ht="13.8" hidden="false" customHeight="false" outlineLevel="0" collapsed="false">
      <c r="A178" s="0" t="n">
        <f aca="false">1+A177</f>
        <v>76</v>
      </c>
      <c r="B178" s="0" t="n">
        <v>2001</v>
      </c>
      <c r="C178" s="0" t="n">
        <v>82.5087</v>
      </c>
      <c r="D178" s="0" t="n">
        <f aca="false">100*B178/SUM(B$2:B$202)</f>
        <v>0.00168838498458229</v>
      </c>
      <c r="E178" s="0" t="e">
        <f aca="false">D178+E177</f>
        <v>#VALUE!</v>
      </c>
    </row>
    <row r="179" customFormat="false" ht="13.8" hidden="false" customHeight="false" outlineLevel="0" collapsed="false">
      <c r="A179" s="0" t="n">
        <f aca="false">1+A178</f>
        <v>77</v>
      </c>
      <c r="B179" s="0" t="n">
        <v>1859</v>
      </c>
      <c r="C179" s="0" t="n">
        <v>84.2388</v>
      </c>
      <c r="D179" s="0" t="n">
        <f aca="false">100*B179/SUM(B$2:B$202)</f>
        <v>0.00156856955839004</v>
      </c>
      <c r="E179" s="0" t="e">
        <f aca="false">D179+E178</f>
        <v>#VALUE!</v>
      </c>
    </row>
    <row r="180" customFormat="false" ht="13.8" hidden="false" customHeight="false" outlineLevel="0" collapsed="false">
      <c r="A180" s="0" t="n">
        <f aca="false">1+A179</f>
        <v>78</v>
      </c>
      <c r="B180" s="0" t="n">
        <v>1693</v>
      </c>
      <c r="C180" s="0" t="n">
        <v>83.6976</v>
      </c>
      <c r="D180" s="0" t="n">
        <f aca="false">100*B180/SUM(B$2:B$202)</f>
        <v>0.00142850363763009</v>
      </c>
      <c r="E180" s="0" t="e">
        <f aca="false">D180+E179</f>
        <v>#VALUE!</v>
      </c>
    </row>
    <row r="181" customFormat="false" ht="13.8" hidden="false" customHeight="false" outlineLevel="0" collapsed="false">
      <c r="A181" s="0" t="n">
        <f aca="false">1+A180</f>
        <v>79</v>
      </c>
      <c r="B181" s="0" t="n">
        <v>1453</v>
      </c>
      <c r="C181" s="0" t="n">
        <v>84.446</v>
      </c>
      <c r="D181" s="0" t="n">
        <f aca="false">100*B181/SUM(B$2:B$202)</f>
        <v>0.00122599869195305</v>
      </c>
      <c r="E181" s="0" t="e">
        <f aca="false">D181+E180</f>
        <v>#VALUE!</v>
      </c>
    </row>
    <row r="182" customFormat="false" ht="13.8" hidden="false" customHeight="false" outlineLevel="0" collapsed="false">
      <c r="A182" s="0" t="n">
        <f aca="false">1+A181</f>
        <v>80</v>
      </c>
      <c r="B182" s="0" t="n">
        <v>1519</v>
      </c>
      <c r="C182" s="0" t="n">
        <v>84.0685</v>
      </c>
      <c r="D182" s="0" t="n">
        <f aca="false">100*B182/SUM(B$2:B$202)</f>
        <v>0.00128168755201424</v>
      </c>
      <c r="E182" s="0" t="e">
        <f aca="false">D182+E181</f>
        <v>#VALUE!</v>
      </c>
    </row>
    <row r="183" customFormat="false" ht="13.8" hidden="false" customHeight="false" outlineLevel="0" collapsed="false">
      <c r="A183" s="0" t="n">
        <f aca="false">1+A182</f>
        <v>81</v>
      </c>
      <c r="B183" s="0" t="n">
        <v>1442</v>
      </c>
      <c r="C183" s="0" t="n">
        <v>83.0097</v>
      </c>
      <c r="D183" s="0" t="n">
        <f aca="false">100*B183/SUM(B$2:B$202)</f>
        <v>0.00121671721527619</v>
      </c>
      <c r="E183" s="0" t="e">
        <f aca="false">D183+E182</f>
        <v>#VALUE!</v>
      </c>
    </row>
    <row r="184" customFormat="false" ht="13.8" hidden="false" customHeight="false" outlineLevel="0" collapsed="false">
      <c r="A184" s="0" t="n">
        <f aca="false">1+A183</f>
        <v>82</v>
      </c>
      <c r="B184" s="0" t="n">
        <v>1347</v>
      </c>
      <c r="C184" s="0" t="n">
        <v>83.1477</v>
      </c>
      <c r="D184" s="0" t="n">
        <f aca="false">100*B184/SUM(B$2:B$202)</f>
        <v>0.00113655900761236</v>
      </c>
      <c r="E184" s="0" t="e">
        <f aca="false">D184+E183</f>
        <v>#VALUE!</v>
      </c>
    </row>
    <row r="185" customFormat="false" ht="13.8" hidden="false" customHeight="false" outlineLevel="0" collapsed="false">
      <c r="A185" s="0" t="n">
        <f aca="false">1+A184</f>
        <v>83</v>
      </c>
      <c r="B185" s="0" t="n">
        <v>1150</v>
      </c>
      <c r="C185" s="0" t="n">
        <v>85.0435</v>
      </c>
      <c r="D185" s="0" t="n">
        <f aca="false">100*B185/SUM(B$2:B$202)</f>
        <v>0.000970336198035797</v>
      </c>
      <c r="E185" s="0" t="e">
        <f aca="false">D185+E184</f>
        <v>#VALUE!</v>
      </c>
    </row>
    <row r="186" customFormat="false" ht="13.8" hidden="false" customHeight="false" outlineLevel="0" collapsed="false">
      <c r="A186" s="0" t="n">
        <f aca="false">1+A185</f>
        <v>84</v>
      </c>
      <c r="B186" s="0" t="n">
        <v>1216</v>
      </c>
      <c r="C186" s="0" t="n">
        <v>82.648</v>
      </c>
      <c r="D186" s="0" t="n">
        <f aca="false">100*B186/SUM(B$2:B$202)</f>
        <v>0.00102602505809698</v>
      </c>
      <c r="E186" s="0" t="e">
        <f aca="false">D186+E185</f>
        <v>#VALUE!</v>
      </c>
    </row>
    <row r="187" customFormat="false" ht="13.8" hidden="false" customHeight="false" outlineLevel="0" collapsed="false">
      <c r="A187" s="0" t="n">
        <f aca="false">1+A186</f>
        <v>85</v>
      </c>
      <c r="B187" s="0" t="n">
        <v>1090</v>
      </c>
      <c r="C187" s="0" t="n">
        <v>84.9541</v>
      </c>
      <c r="D187" s="0" t="n">
        <f aca="false">100*B187/SUM(B$2:B$202)</f>
        <v>0.000919709961616538</v>
      </c>
      <c r="E187" s="0" t="e">
        <f aca="false">D187+E186</f>
        <v>#VALUE!</v>
      </c>
    </row>
    <row r="188" customFormat="false" ht="13.8" hidden="false" customHeight="false" outlineLevel="0" collapsed="false">
      <c r="A188" s="0" t="n">
        <f aca="false">1+A187</f>
        <v>86</v>
      </c>
      <c r="B188" s="0" t="n">
        <v>1061</v>
      </c>
      <c r="C188" s="0" t="n">
        <v>84.3544</v>
      </c>
      <c r="D188" s="0" t="n">
        <f aca="false">100*B188/SUM(B$2:B$202)</f>
        <v>0.000895240614013896</v>
      </c>
      <c r="E188" s="0" t="e">
        <f aca="false">D188+E187</f>
        <v>#VALUE!</v>
      </c>
    </row>
    <row r="189" customFormat="false" ht="13.8" hidden="false" customHeight="false" outlineLevel="0" collapsed="false">
      <c r="A189" s="0" t="n">
        <f aca="false">1+A188</f>
        <v>87</v>
      </c>
      <c r="B189" s="0" t="n">
        <v>1031</v>
      </c>
      <c r="C189" s="0" t="n">
        <v>80.5044</v>
      </c>
      <c r="D189" s="0" t="n">
        <f aca="false">100*B189/SUM(B$2:B$202)</f>
        <v>0.000869927495804266</v>
      </c>
      <c r="E189" s="0" t="e">
        <f aca="false">D189+E188</f>
        <v>#VALUE!</v>
      </c>
    </row>
    <row r="190" customFormat="false" ht="13.8" hidden="false" customHeight="false" outlineLevel="0" collapsed="false">
      <c r="A190" s="0" t="n">
        <f aca="false">1+A189</f>
        <v>88</v>
      </c>
      <c r="B190" s="0" t="n">
        <v>869</v>
      </c>
      <c r="C190" s="0" t="n">
        <v>83.8895</v>
      </c>
      <c r="D190" s="0" t="n">
        <f aca="false">100*B190/SUM(B$2:B$202)</f>
        <v>0.000733236657472267</v>
      </c>
      <c r="E190" s="0" t="e">
        <f aca="false">D190+E189</f>
        <v>#VALUE!</v>
      </c>
    </row>
    <row r="191" customFormat="false" ht="13.8" hidden="false" customHeight="false" outlineLevel="0" collapsed="false">
      <c r="A191" s="0" t="n">
        <f aca="false">1+A190</f>
        <v>89</v>
      </c>
      <c r="B191" s="0" t="n">
        <v>859</v>
      </c>
      <c r="C191" s="0" t="n">
        <v>86.9616</v>
      </c>
      <c r="D191" s="0" t="n">
        <f aca="false">100*B191/SUM(B$2:B$202)</f>
        <v>0.000724798951402391</v>
      </c>
      <c r="E191" s="0" t="e">
        <f aca="false">D191+E190</f>
        <v>#VALUE!</v>
      </c>
    </row>
    <row r="192" customFormat="false" ht="13.8" hidden="false" customHeight="false" outlineLevel="0" collapsed="false">
      <c r="A192" s="0" t="n">
        <f aca="false">1+A191</f>
        <v>90</v>
      </c>
      <c r="B192" s="0" t="n">
        <v>796</v>
      </c>
      <c r="C192" s="0" t="n">
        <v>88.4422</v>
      </c>
      <c r="D192" s="0" t="n">
        <f aca="false">100*B192/SUM(B$2:B$202)</f>
        <v>0.000671641403162169</v>
      </c>
      <c r="E192" s="0" t="e">
        <f aca="false">D192+E191</f>
        <v>#VALUE!</v>
      </c>
    </row>
    <row r="193" customFormat="false" ht="13.8" hidden="false" customHeight="false" outlineLevel="0" collapsed="false">
      <c r="A193" s="0" t="n">
        <f aca="false">1+A192</f>
        <v>91</v>
      </c>
      <c r="B193" s="0" t="n">
        <v>698</v>
      </c>
      <c r="C193" s="0" t="n">
        <v>80.9456</v>
      </c>
      <c r="D193" s="0" t="n">
        <f aca="false">100*B193/SUM(B$2:B$202)</f>
        <v>0.000588951883677379</v>
      </c>
      <c r="E193" s="0" t="e">
        <f aca="false">D193+E192</f>
        <v>#VALUE!</v>
      </c>
    </row>
    <row r="194" customFormat="false" ht="13.8" hidden="false" customHeight="false" outlineLevel="0" collapsed="false">
      <c r="A194" s="0" t="n">
        <f aca="false">1+A193</f>
        <v>92</v>
      </c>
      <c r="B194" s="0" t="n">
        <v>579</v>
      </c>
      <c r="C194" s="0" t="n">
        <v>87.7375</v>
      </c>
      <c r="D194" s="0" t="n">
        <f aca="false">100*B194/SUM(B$2:B$202)</f>
        <v>0.000488543181445849</v>
      </c>
      <c r="E194" s="0" t="e">
        <f aca="false">D194+E193</f>
        <v>#VALUE!</v>
      </c>
    </row>
    <row r="195" customFormat="false" ht="13.8" hidden="false" customHeight="false" outlineLevel="0" collapsed="false">
      <c r="A195" s="0" t="n">
        <f aca="false">1+A194</f>
        <v>93</v>
      </c>
      <c r="B195" s="0" t="n">
        <v>591</v>
      </c>
      <c r="C195" s="0" t="n">
        <v>80.8799</v>
      </c>
      <c r="D195" s="0" t="n">
        <f aca="false">100*B195/SUM(B$2:B$202)</f>
        <v>0.000498668428729701</v>
      </c>
      <c r="E195" s="0" t="e">
        <f aca="false">D195+E194</f>
        <v>#VALUE!</v>
      </c>
    </row>
    <row r="196" customFormat="false" ht="13.8" hidden="false" customHeight="false" outlineLevel="0" collapsed="false">
      <c r="A196" s="0" t="n">
        <f aca="false">1+A195</f>
        <v>94</v>
      </c>
      <c r="B196" s="0" t="n">
        <v>491</v>
      </c>
      <c r="C196" s="0" t="n">
        <v>87.169</v>
      </c>
      <c r="D196" s="0" t="n">
        <f aca="false">100*B196/SUM(B$2:B$202)</f>
        <v>0.000414291368030936</v>
      </c>
      <c r="E196" s="0" t="e">
        <f aca="false">D196+E195</f>
        <v>#VALUE!</v>
      </c>
    </row>
    <row r="197" customFormat="false" ht="13.8" hidden="false" customHeight="false" outlineLevel="0" collapsed="false">
      <c r="A197" s="0" t="n">
        <f aca="false">1+A196</f>
        <v>95</v>
      </c>
      <c r="B197" s="0" t="n">
        <v>491</v>
      </c>
      <c r="C197" s="0" t="n">
        <v>81.8737</v>
      </c>
      <c r="D197" s="0" t="n">
        <f aca="false">100*B197/SUM(B$2:B$202)</f>
        <v>0.000414291368030936</v>
      </c>
      <c r="E197" s="0" t="e">
        <f aca="false">D197+E196</f>
        <v>#VALUE!</v>
      </c>
    </row>
    <row r="198" customFormat="false" ht="13.8" hidden="false" customHeight="false" outlineLevel="0" collapsed="false">
      <c r="A198" s="0" t="n">
        <f aca="false">1+A197</f>
        <v>96</v>
      </c>
      <c r="B198" s="0" t="n">
        <v>472</v>
      </c>
      <c r="C198" s="0" t="n">
        <v>82.6271</v>
      </c>
      <c r="D198" s="0" t="n">
        <f aca="false">100*B198/SUM(B$2:B$202)</f>
        <v>0.00039825972649817</v>
      </c>
      <c r="E198" s="0" t="e">
        <f aca="false">D198+E197</f>
        <v>#VALUE!</v>
      </c>
    </row>
    <row r="199" customFormat="false" ht="13.8" hidden="false" customHeight="false" outlineLevel="0" collapsed="false">
      <c r="A199" s="0" t="n">
        <f aca="false">1+A198</f>
        <v>97</v>
      </c>
      <c r="B199" s="0" t="n">
        <v>415</v>
      </c>
      <c r="C199" s="0" t="n">
        <v>82.6506</v>
      </c>
      <c r="D199" s="0" t="n">
        <f aca="false">100*B199/SUM(B$2:B$202)</f>
        <v>0.000350164801899874</v>
      </c>
      <c r="E199" s="0" t="e">
        <f aca="false">D199+E198</f>
        <v>#VALUE!</v>
      </c>
    </row>
    <row r="200" customFormat="false" ht="13.8" hidden="false" customHeight="false" outlineLevel="0" collapsed="false">
      <c r="A200" s="0" t="n">
        <f aca="false">1+A199</f>
        <v>98</v>
      </c>
      <c r="B200" s="0" t="n">
        <v>485</v>
      </c>
      <c r="C200" s="0" t="n">
        <v>73.4021</v>
      </c>
      <c r="D200" s="0" t="n">
        <f aca="false">100*B200/SUM(B$2:B$202)</f>
        <v>0.00040922874438901</v>
      </c>
      <c r="E200" s="0" t="e">
        <f aca="false">D200+E199</f>
        <v>#VALUE!</v>
      </c>
    </row>
    <row r="201" customFormat="false" ht="13.8" hidden="false" customHeight="false" outlineLevel="0" collapsed="false">
      <c r="A201" s="0" t="n">
        <f aca="false">1+A200</f>
        <v>99</v>
      </c>
      <c r="B201" s="0" t="n">
        <v>346</v>
      </c>
      <c r="C201" s="0" t="n">
        <v>88.1503</v>
      </c>
      <c r="D201" s="0" t="n">
        <f aca="false">100*B201/SUM(B$2:B$202)</f>
        <v>0.000291944630017727</v>
      </c>
      <c r="E201" s="0" t="e">
        <f aca="false">D201+E200</f>
        <v>#VALUE!</v>
      </c>
    </row>
    <row r="202" customFormat="false" ht="13.8" hidden="false" customHeight="false" outlineLevel="0" collapsed="false">
      <c r="A202" s="0" t="n">
        <f aca="false">1+A201</f>
        <v>100</v>
      </c>
      <c r="B202" s="0" t="n">
        <v>6730</v>
      </c>
      <c r="C202" s="0" t="n">
        <v>80.7281</v>
      </c>
      <c r="D202" s="0" t="n">
        <f aca="false">100*B202/SUM(B$2:B$202)</f>
        <v>0.00567857618502688</v>
      </c>
      <c r="E202" s="0" t="e">
        <f aca="false">D202+E201</f>
        <v>#VALUE!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2.75" customHeight="false" zeroHeight="false" outlineLevelRow="0" outlineLevelCol="0"/>
  <cols>
    <col collapsed="false" customWidth="true" hidden="false" outlineLevel="0" max="13" min="1" style="0" width="12.15"/>
    <col collapsed="false" customWidth="true" hidden="false" outlineLevel="0" max="14" min="14" style="0" width="11.43"/>
  </cols>
  <sheetData>
    <row r="1" customFormat="false" ht="13.8" hidden="false" customHeight="false" outlineLevel="0" collapsed="false">
      <c r="A1" s="0" t="s">
        <v>23</v>
      </c>
      <c r="B1" s="0" t="n">
        <v>537780</v>
      </c>
      <c r="C1" s="0" t="n">
        <v>5.28525</v>
      </c>
      <c r="D1" s="1" t="n">
        <f aca="false">B1/B$1</f>
        <v>1</v>
      </c>
      <c r="F1" s="0" t="s">
        <v>23</v>
      </c>
      <c r="G1" s="0" t="n">
        <v>5.28525</v>
      </c>
      <c r="H1" s="0" t="n">
        <v>5.40855</v>
      </c>
      <c r="I1" s="0" t="n">
        <v>0.1233</v>
      </c>
      <c r="J1" s="0" t="n">
        <v>0.221400000000001</v>
      </c>
      <c r="K1" s="1" t="n">
        <v>0.252175079223808</v>
      </c>
      <c r="L1" s="1" t="n">
        <v>0.254021754401015</v>
      </c>
      <c r="M1" s="0" t="s">
        <v>24</v>
      </c>
    </row>
    <row r="2" customFormat="false" ht="13.8" hidden="false" customHeight="false" outlineLevel="0" collapsed="false">
      <c r="A2" s="0" t="s">
        <v>25</v>
      </c>
      <c r="B2" s="0" t="n">
        <v>226973</v>
      </c>
      <c r="C2" s="0" t="n">
        <v>5.82008</v>
      </c>
      <c r="D2" s="1" t="n">
        <f aca="false">B2/B$1</f>
        <v>0.422055487374019</v>
      </c>
      <c r="F2" s="0" t="s">
        <v>25</v>
      </c>
      <c r="G2" s="0" t="n">
        <v>5.82008</v>
      </c>
      <c r="H2" s="0" t="n">
        <v>5.6165</v>
      </c>
      <c r="I2" s="0" t="n">
        <v>-0.20358</v>
      </c>
      <c r="J2" s="0" t="n">
        <v>-0.105479999999999</v>
      </c>
      <c r="K2" s="1" t="n">
        <v>0.106431875965386</v>
      </c>
      <c r="L2" s="1" t="n">
        <v>0.105605443381251</v>
      </c>
      <c r="M2" s="0" t="s">
        <v>24</v>
      </c>
    </row>
    <row r="3" customFormat="false" ht="13.8" hidden="false" customHeight="false" outlineLevel="0" collapsed="false">
      <c r="A3" s="0" t="s">
        <v>26</v>
      </c>
      <c r="B3" s="0" t="n">
        <v>485829</v>
      </c>
      <c r="C3" s="0" t="n">
        <v>5.89117</v>
      </c>
      <c r="D3" s="1" t="n">
        <f aca="false">B3/B$1</f>
        <v>0.903397300011157</v>
      </c>
      <c r="F3" s="0" t="s">
        <v>26</v>
      </c>
      <c r="G3" s="0" t="n">
        <v>5.89117</v>
      </c>
      <c r="H3" s="0" t="n">
        <v>5.93367</v>
      </c>
      <c r="I3" s="0" t="n">
        <v>0.0425000000000004</v>
      </c>
      <c r="J3" s="0" t="n">
        <v>0.140600000000001</v>
      </c>
      <c r="K3" s="1" t="n">
        <v>0.227814285700888</v>
      </c>
      <c r="L3" s="1" t="n">
        <v>0.23215424197942</v>
      </c>
    </row>
    <row r="4" customFormat="false" ht="13.8" hidden="false" customHeight="false" outlineLevel="0" collapsed="false">
      <c r="A4" s="0" t="s">
        <v>27</v>
      </c>
      <c r="B4" s="0" t="n">
        <v>175601</v>
      </c>
      <c r="C4" s="0" t="n">
        <v>6.24996</v>
      </c>
      <c r="D4" s="1" t="n">
        <f aca="false">B4/B$1</f>
        <v>0.326529435828778</v>
      </c>
      <c r="F4" s="0" t="s">
        <v>27</v>
      </c>
      <c r="G4" s="0" t="n">
        <v>6.24996</v>
      </c>
      <c r="H4" s="0" t="n">
        <v>6.11913</v>
      </c>
      <c r="I4" s="0" t="n">
        <v>-0.13083</v>
      </c>
      <c r="J4" s="0" t="n">
        <v>-0.032729999999999</v>
      </c>
      <c r="K4" s="1" t="n">
        <v>0.0823425863490274</v>
      </c>
      <c r="L4" s="1" t="n">
        <v>0.0640234391576481</v>
      </c>
    </row>
    <row r="5" customFormat="false" ht="13.8" hidden="false" customHeight="false" outlineLevel="0" collapsed="false">
      <c r="A5" s="0" t="s">
        <v>28</v>
      </c>
      <c r="B5" s="0" t="n">
        <v>1129948</v>
      </c>
      <c r="C5" s="0" t="n">
        <v>6.83713</v>
      </c>
      <c r="D5" s="1" t="n">
        <f aca="false">B5/B$1</f>
        <v>2.1011342928335</v>
      </c>
      <c r="F5" s="0" t="s">
        <v>28</v>
      </c>
      <c r="G5" s="0" t="n">
        <v>6.83713</v>
      </c>
      <c r="H5" s="0" t="n">
        <v>6.79555</v>
      </c>
      <c r="I5" s="0" t="n">
        <v>-0.0415799999999997</v>
      </c>
      <c r="J5" s="0" t="n">
        <v>0.0565200000000008</v>
      </c>
      <c r="K5" s="1" t="n">
        <v>0.529853706755149</v>
      </c>
      <c r="L5" s="1" t="n">
        <v>0.527468960653201</v>
      </c>
    </row>
    <row r="6" customFormat="false" ht="13.8" hidden="false" customHeight="false" outlineLevel="0" collapsed="false">
      <c r="A6" s="0" t="s">
        <v>29</v>
      </c>
      <c r="B6" s="0" t="n">
        <v>575648</v>
      </c>
      <c r="C6" s="0" t="n">
        <v>6.89571</v>
      </c>
      <c r="D6" s="1" t="n">
        <f aca="false">B6/B$1</f>
        <v>1.07041541150656</v>
      </c>
      <c r="F6" s="0" t="s">
        <v>29</v>
      </c>
      <c r="G6" s="0" t="n">
        <v>6.89571</v>
      </c>
      <c r="H6" s="0" t="n">
        <v>7.12441</v>
      </c>
      <c r="I6" s="0" t="n">
        <v>0.2287</v>
      </c>
      <c r="J6" s="0" t="n">
        <v>0.3268</v>
      </c>
      <c r="K6" s="1" t="n">
        <v>0.269932091199053</v>
      </c>
      <c r="L6" s="1" t="n">
        <v>0.248628657279383</v>
      </c>
    </row>
    <row r="7" customFormat="false" ht="13.8" hidden="false" customHeight="false" outlineLevel="0" collapsed="false">
      <c r="A7" s="0" t="s">
        <v>30</v>
      </c>
      <c r="B7" s="0" t="n">
        <v>698033</v>
      </c>
      <c r="C7" s="0" t="n">
        <v>8.134</v>
      </c>
      <c r="D7" s="1" t="n">
        <f aca="false">B7/B$1</f>
        <v>1.29798988433932</v>
      </c>
      <c r="F7" s="0" t="s">
        <v>30</v>
      </c>
      <c r="G7" s="0" t="n">
        <v>8.134</v>
      </c>
      <c r="H7" s="0" t="n">
        <v>8.10973</v>
      </c>
      <c r="I7" s="0" t="n">
        <v>-0.0242699999999996</v>
      </c>
      <c r="J7" s="0" t="n">
        <v>0.073830000000001</v>
      </c>
      <c r="K7" s="1" t="n">
        <v>0.32732070191497</v>
      </c>
      <c r="L7" s="1" t="n">
        <v>0.294219145213398</v>
      </c>
    </row>
    <row r="8" customFormat="false" ht="13.8" hidden="false" customHeight="false" outlineLevel="0" collapsed="false">
      <c r="A8" s="0" t="s">
        <v>31</v>
      </c>
      <c r="B8" s="0" t="n">
        <v>854161</v>
      </c>
      <c r="C8" s="0" t="n">
        <v>9.26711</v>
      </c>
      <c r="D8" s="1" t="n">
        <f aca="false">B8/B$1</f>
        <v>1.58830934582915</v>
      </c>
      <c r="F8" s="0" t="s">
        <v>31</v>
      </c>
      <c r="G8" s="0" t="n">
        <v>9.26711</v>
      </c>
      <c r="H8" s="0" t="n">
        <v>9.28458</v>
      </c>
      <c r="I8" s="0" t="n">
        <v>0.0174699999999994</v>
      </c>
      <c r="J8" s="0" t="n">
        <v>0.11557</v>
      </c>
      <c r="K8" s="1" t="n">
        <v>0.400532035116381</v>
      </c>
      <c r="L8" s="1" t="n">
        <v>0.397257451448412</v>
      </c>
    </row>
    <row r="9" customFormat="false" ht="13.8" hidden="false" customHeight="false" outlineLevel="0" collapsed="false">
      <c r="A9" s="0" t="s">
        <v>32</v>
      </c>
      <c r="B9" s="0" t="n">
        <v>182593</v>
      </c>
      <c r="C9" s="0" t="n">
        <v>10.4221</v>
      </c>
      <c r="D9" s="1" t="n">
        <f aca="false">B9/B$1</f>
        <v>0.339531034995723</v>
      </c>
      <c r="F9" s="0" t="s">
        <v>32</v>
      </c>
      <c r="G9" s="0" t="n">
        <v>10.4221</v>
      </c>
      <c r="H9" s="0" t="n">
        <v>10.3803</v>
      </c>
      <c r="I9" s="0" t="n">
        <v>-0.0418000000000003</v>
      </c>
      <c r="J9" s="0" t="n">
        <v>0.0563000000000002</v>
      </c>
      <c r="K9" s="1" t="n">
        <v>0.0856212656489881</v>
      </c>
      <c r="L9" s="1" t="n">
        <v>0.0863305194399267</v>
      </c>
    </row>
    <row r="10" customFormat="false" ht="13.8" hidden="false" customHeight="false" outlineLevel="0" collapsed="false">
      <c r="A10" s="0" t="s">
        <v>33</v>
      </c>
      <c r="B10" s="0" t="n">
        <v>1854053</v>
      </c>
      <c r="C10" s="0" t="n">
        <v>10.8</v>
      </c>
      <c r="D10" s="1" t="n">
        <f aca="false">B10/B$1</f>
        <v>3.44760496857451</v>
      </c>
      <c r="F10" s="0" t="s">
        <v>33</v>
      </c>
      <c r="G10" s="0" t="n">
        <v>10.8</v>
      </c>
      <c r="H10" s="0" t="n">
        <v>10.8352</v>
      </c>
      <c r="I10" s="0" t="n">
        <v>0.0351999999999997</v>
      </c>
      <c r="J10" s="0" t="n">
        <v>0.1333</v>
      </c>
      <c r="K10" s="1" t="n">
        <v>0.869400056082672</v>
      </c>
      <c r="L10" s="1" t="n">
        <v>0.851371205830972</v>
      </c>
    </row>
    <row r="11" customFormat="false" ht="13.8" hidden="false" customHeight="false" outlineLevel="0" collapsed="false">
      <c r="A11" s="0" t="s">
        <v>34</v>
      </c>
      <c r="B11" s="0" t="n">
        <v>1897382</v>
      </c>
      <c r="C11" s="0" t="n">
        <v>11.1999</v>
      </c>
      <c r="D11" s="1" t="n">
        <f aca="false">B11/B$1</f>
        <v>3.52817509018558</v>
      </c>
      <c r="F11" s="0" t="s">
        <v>34</v>
      </c>
      <c r="G11" s="0" t="n">
        <v>11.1999</v>
      </c>
      <c r="H11" s="0" t="n">
        <v>11.0928</v>
      </c>
      <c r="I11" s="0" t="n">
        <v>-0.107099999999999</v>
      </c>
      <c r="J11" s="0" t="n">
        <v>-0.00899999999999857</v>
      </c>
      <c r="K11" s="1" t="n">
        <v>0.889717832883015</v>
      </c>
      <c r="L11" s="1" t="n">
        <v>0.893967511625607</v>
      </c>
    </row>
    <row r="12" customFormat="false" ht="13.8" hidden="false" customHeight="false" outlineLevel="0" collapsed="false">
      <c r="A12" s="0" t="s">
        <v>35</v>
      </c>
      <c r="B12" s="0" t="n">
        <v>2114851</v>
      </c>
      <c r="C12" s="0" t="n">
        <v>11.2367</v>
      </c>
      <c r="D12" s="1" t="n">
        <f aca="false">B12/B$1</f>
        <v>3.93255792331437</v>
      </c>
      <c r="F12" s="0" t="s">
        <v>35</v>
      </c>
      <c r="G12" s="0" t="n">
        <v>11.2367</v>
      </c>
      <c r="H12" s="0" t="n">
        <v>11.1381</v>
      </c>
      <c r="I12" s="0" t="n">
        <v>-0.0986000000000011</v>
      </c>
      <c r="J12" s="0" t="n">
        <v>-0.000500000000000611</v>
      </c>
      <c r="K12" s="1" t="n">
        <v>0.991693105864016</v>
      </c>
      <c r="L12" s="1" t="n">
        <v>0.993627077217979</v>
      </c>
    </row>
    <row r="13" customFormat="false" ht="13.8" hidden="false" customHeight="false" outlineLevel="0" collapsed="false">
      <c r="A13" s="0" t="s">
        <v>36</v>
      </c>
      <c r="B13" s="0" t="n">
        <v>2132566</v>
      </c>
      <c r="C13" s="0" t="n">
        <v>11.2399</v>
      </c>
      <c r="D13" s="1" t="n">
        <f aca="false">B13/B$1</f>
        <v>3.9654989028971</v>
      </c>
      <c r="F13" s="0" t="s">
        <v>36</v>
      </c>
      <c r="G13" s="0" t="n">
        <v>11.2399</v>
      </c>
      <c r="H13" s="0" t="n">
        <v>11.1418</v>
      </c>
      <c r="I13" s="0" t="n">
        <v>-0.0981000000000005</v>
      </c>
      <c r="J13" s="0" t="n">
        <v>0</v>
      </c>
      <c r="K13" s="1" t="n">
        <v>1</v>
      </c>
      <c r="L13" s="1" t="n">
        <v>1</v>
      </c>
    </row>
    <row r="14" customFormat="false" ht="13.8" hidden="false" customHeight="false" outlineLevel="0" collapsed="false">
      <c r="A14" s="0" t="s">
        <v>37</v>
      </c>
      <c r="B14" s="0" t="n">
        <v>2132566</v>
      </c>
      <c r="C14" s="0" t="n">
        <v>11.2399</v>
      </c>
      <c r="D14" s="1" t="n">
        <f aca="false">B14/B$1</f>
        <v>3.9654989028971</v>
      </c>
      <c r="F14" s="0" t="s">
        <v>37</v>
      </c>
      <c r="G14" s="0" t="n">
        <v>11.2399</v>
      </c>
      <c r="H14" s="0" t="n">
        <v>11.1418</v>
      </c>
      <c r="I14" s="0" t="n">
        <v>-0.0981000000000005</v>
      </c>
      <c r="J14" s="0" t="n">
        <v>0</v>
      </c>
      <c r="K14" s="1" t="n">
        <v>1</v>
      </c>
      <c r="L14" s="1" t="n">
        <v>1</v>
      </c>
    </row>
    <row r="15" customFormat="false" ht="13.8" hidden="false" customHeight="false" outlineLevel="0" collapsed="false">
      <c r="A15" s="0" t="s">
        <v>38</v>
      </c>
      <c r="B15" s="0" t="n">
        <v>1949973</v>
      </c>
      <c r="C15" s="0" t="n">
        <v>11.3165</v>
      </c>
      <c r="D15" s="1" t="n">
        <f aca="false">B15/B$1</f>
        <v>3.62596786790137</v>
      </c>
      <c r="F15" s="0" t="s">
        <v>38</v>
      </c>
      <c r="G15" s="0" t="n">
        <v>11.3165</v>
      </c>
      <c r="H15" s="0" t="n">
        <v>11.2138</v>
      </c>
      <c r="I15" s="0" t="n">
        <v>-0.102699999999999</v>
      </c>
      <c r="J15" s="0" t="n">
        <v>-0.00459999999999816</v>
      </c>
      <c r="K15" s="1" t="n">
        <v>0.914378734351012</v>
      </c>
      <c r="L15" s="1" t="n">
        <v>0.913669480560073</v>
      </c>
    </row>
    <row r="16" customFormat="false" ht="13.8" hidden="false" customHeight="false" outlineLevel="0" collapsed="false">
      <c r="A16" s="0" t="s">
        <v>39</v>
      </c>
      <c r="B16" s="0" t="n">
        <v>1956965</v>
      </c>
      <c r="C16" s="0" t="n">
        <v>11.6876</v>
      </c>
      <c r="D16" s="1" t="n">
        <f aca="false">B16/B$1</f>
        <v>3.63896946706832</v>
      </c>
      <c r="F16" s="0" t="s">
        <v>39</v>
      </c>
      <c r="G16" s="0" t="n">
        <v>11.6876</v>
      </c>
      <c r="H16" s="0" t="n">
        <v>11.4854</v>
      </c>
      <c r="I16" s="0" t="n">
        <v>-0.2022</v>
      </c>
      <c r="J16" s="0" t="n">
        <v>-0.104099999999999</v>
      </c>
      <c r="K16" s="1" t="n">
        <v>0.917657413650973</v>
      </c>
      <c r="L16" s="1" t="n">
        <v>0.935976560842352</v>
      </c>
    </row>
    <row r="17" customFormat="false" ht="13.8" hidden="false" customHeight="false" outlineLevel="0" collapsed="false">
      <c r="A17" s="0" t="s">
        <v>40</v>
      </c>
      <c r="B17" s="0" t="n">
        <v>235184</v>
      </c>
      <c r="C17" s="0" t="n">
        <v>11.5624</v>
      </c>
      <c r="D17" s="1" t="n">
        <f aca="false">B17/B$1</f>
        <v>0.437323812711518</v>
      </c>
      <c r="F17" s="0" t="s">
        <v>40</v>
      </c>
      <c r="G17" s="0" t="n">
        <v>11.5624</v>
      </c>
      <c r="H17" s="0" t="n">
        <v>11.5549</v>
      </c>
      <c r="I17" s="0" t="n">
        <v>-0.00750000000000028</v>
      </c>
      <c r="J17" s="0" t="n">
        <v>0.0906000000000002</v>
      </c>
      <c r="K17" s="1" t="n">
        <v>0.110282167116985</v>
      </c>
      <c r="L17" s="1" t="n">
        <v>0.106032488374393</v>
      </c>
    </row>
    <row r="18" customFormat="false" ht="13.8" hidden="false" customHeight="false" outlineLevel="0" collapsed="false">
      <c r="A18" s="0" t="s">
        <v>41</v>
      </c>
      <c r="B18" s="0" t="n">
        <v>17715</v>
      </c>
      <c r="C18" s="0" t="n">
        <v>11.6173</v>
      </c>
      <c r="D18" s="1" t="n">
        <f aca="false">B18/B$1</f>
        <v>0.032940979582729</v>
      </c>
      <c r="F18" s="0" t="s">
        <v>41</v>
      </c>
      <c r="G18" s="0" t="n">
        <v>11.6173</v>
      </c>
      <c r="H18" s="0" t="n">
        <v>11.7161</v>
      </c>
      <c r="I18" s="0" t="n">
        <v>0.0988000000000007</v>
      </c>
      <c r="J18" s="0" t="n">
        <v>0.196900000000001</v>
      </c>
      <c r="K18" s="1" t="n">
        <v>0.00830689413598454</v>
      </c>
      <c r="L18" s="1" t="n">
        <v>0.00637292278202144</v>
      </c>
    </row>
    <row r="19" customFormat="false" ht="13.8" hidden="false" customHeight="false" outlineLevel="0" collapsed="false">
      <c r="A19" s="0" t="s">
        <v>42</v>
      </c>
      <c r="B19" s="0" t="n">
        <v>1905593</v>
      </c>
      <c r="C19" s="0" t="n">
        <v>11.8854</v>
      </c>
      <c r="D19" s="1" t="n">
        <f aca="false">B19/B$1</f>
        <v>3.54344341552308</v>
      </c>
      <c r="F19" s="0" t="s">
        <v>42</v>
      </c>
      <c r="G19" s="0" t="n">
        <v>11.8854</v>
      </c>
      <c r="H19" s="0" t="n">
        <v>11.7942</v>
      </c>
      <c r="I19" s="0" t="n">
        <v>-0.0912000000000006</v>
      </c>
      <c r="J19" s="0" t="n">
        <v>0.00689999999999991</v>
      </c>
      <c r="K19" s="1" t="n">
        <v>0.893568124034614</v>
      </c>
      <c r="L19" s="1" t="n">
        <v>0.894394556618749</v>
      </c>
    </row>
    <row r="20" customFormat="false" ht="13.8" hidden="false" customHeight="false" outlineLevel="0" collapsed="false">
      <c r="A20" s="0" t="s">
        <v>43</v>
      </c>
      <c r="B20" s="0" t="n">
        <v>1278405</v>
      </c>
      <c r="C20" s="0" t="n">
        <v>12.558</v>
      </c>
      <c r="D20" s="1" t="n">
        <f aca="false">B20/B$1</f>
        <v>2.37718955706795</v>
      </c>
      <c r="F20" s="0" t="s">
        <v>43</v>
      </c>
      <c r="G20" s="0" t="n">
        <v>12.558</v>
      </c>
      <c r="H20" s="0" t="n">
        <v>12.3659</v>
      </c>
      <c r="I20" s="0" t="n">
        <v>-0.1921</v>
      </c>
      <c r="J20" s="0" t="n">
        <v>-0.0939999999999994</v>
      </c>
      <c r="K20" s="1" t="n">
        <v>0.599467964883619</v>
      </c>
      <c r="L20" s="1" t="n">
        <v>0.602742548551588</v>
      </c>
    </row>
    <row r="21" customFormat="false" ht="13.8" hidden="false" customHeight="false" outlineLevel="0" collapsed="false">
      <c r="A21" s="0" t="s">
        <v>44</v>
      </c>
      <c r="B21" s="0" t="n">
        <v>1434533</v>
      </c>
      <c r="C21" s="0" t="n">
        <v>12.7512</v>
      </c>
      <c r="D21" s="1" t="n">
        <f aca="false">B21/B$1</f>
        <v>2.66750901855777</v>
      </c>
      <c r="F21" s="0" t="s">
        <v>44</v>
      </c>
      <c r="G21" s="0" t="n">
        <v>12.7512</v>
      </c>
      <c r="H21" s="0" t="n">
        <v>12.4058</v>
      </c>
      <c r="I21" s="0" t="n">
        <v>-0.345400000000002</v>
      </c>
      <c r="J21" s="0" t="n">
        <v>-0.247300000000001</v>
      </c>
      <c r="K21" s="1" t="n">
        <v>0.67267929808503</v>
      </c>
      <c r="L21" s="1" t="n">
        <v>0.705780854786603</v>
      </c>
      <c r="M21" s="0" t="s">
        <v>24</v>
      </c>
    </row>
    <row r="22" customFormat="false" ht="13.8" hidden="false" customHeight="false" outlineLevel="0" collapsed="false">
      <c r="A22" s="0" t="s">
        <v>45</v>
      </c>
      <c r="B22" s="0" t="n">
        <v>1556918</v>
      </c>
      <c r="C22" s="0" t="n">
        <v>12.8461</v>
      </c>
      <c r="D22" s="1" t="n">
        <f aca="false">B22/B$1</f>
        <v>2.89508349139053</v>
      </c>
      <c r="F22" s="0" t="s">
        <v>45</v>
      </c>
      <c r="G22" s="0" t="n">
        <v>12.8461</v>
      </c>
      <c r="H22" s="0" t="n">
        <v>12.4712</v>
      </c>
      <c r="I22" s="0" t="n">
        <v>-0.3749</v>
      </c>
      <c r="J22" s="0" t="n">
        <v>-0.2768</v>
      </c>
      <c r="K22" s="1" t="n">
        <v>0.730067908800947</v>
      </c>
      <c r="L22" s="1" t="n">
        <v>0.751371342720617</v>
      </c>
      <c r="M22" s="0" t="s">
        <v>24</v>
      </c>
    </row>
    <row r="23" customFormat="false" ht="13.8" hidden="false" customHeight="false" outlineLevel="0" collapsed="false">
      <c r="A23" s="0" t="s">
        <v>46</v>
      </c>
      <c r="B23" s="0" t="n">
        <v>1646737</v>
      </c>
      <c r="C23" s="0" t="n">
        <v>12.8179</v>
      </c>
      <c r="D23" s="1" t="n">
        <f aca="false">B23/B$1</f>
        <v>3.06210160288594</v>
      </c>
      <c r="F23" s="0" t="s">
        <v>46</v>
      </c>
      <c r="G23" s="0" t="n">
        <v>12.8179</v>
      </c>
      <c r="H23" s="0" t="n">
        <v>12.7165</v>
      </c>
      <c r="I23" s="0" t="n">
        <v>-0.1014</v>
      </c>
      <c r="J23" s="0" t="n">
        <v>-0.00329999999999941</v>
      </c>
      <c r="K23" s="1" t="n">
        <v>0.772185714299112</v>
      </c>
      <c r="L23" s="1" t="n">
        <v>0.76784575802058</v>
      </c>
    </row>
    <row r="24" customFormat="false" ht="13.8" hidden="false" customHeight="false" outlineLevel="0" collapsed="false">
      <c r="A24" s="0" t="s">
        <v>47</v>
      </c>
      <c r="B24" s="0" t="n">
        <v>278513</v>
      </c>
      <c r="C24" s="0" t="n">
        <v>14.1685</v>
      </c>
      <c r="D24" s="1" t="n">
        <f aca="false">B24/B$1</f>
        <v>0.517893934322586</v>
      </c>
      <c r="F24" s="0" t="s">
        <v>47</v>
      </c>
      <c r="G24" s="0" t="n">
        <v>14.1685</v>
      </c>
      <c r="H24" s="0" t="n">
        <v>12.8982</v>
      </c>
      <c r="I24" s="0" t="n">
        <v>-1.2703</v>
      </c>
      <c r="J24" s="0" t="n">
        <v>-1.1722</v>
      </c>
      <c r="K24" s="1" t="n">
        <v>0.130599943917328</v>
      </c>
      <c r="L24" s="1" t="n">
        <v>0.148628794169028</v>
      </c>
      <c r="M24" s="0" t="s">
        <v>24</v>
      </c>
    </row>
    <row r="25" customFormat="false" ht="13.8" hidden="false" customHeight="false" outlineLevel="0" collapsed="false">
      <c r="A25" s="0" t="s">
        <v>48</v>
      </c>
      <c r="B25" s="0" t="n">
        <v>1594786</v>
      </c>
      <c r="C25" s="0" t="n">
        <v>13.2479</v>
      </c>
      <c r="D25" s="1" t="n">
        <f aca="false">B25/B$1</f>
        <v>2.9654989028971</v>
      </c>
      <c r="F25" s="0" t="s">
        <v>48</v>
      </c>
      <c r="G25" s="0" t="n">
        <v>13.2479</v>
      </c>
      <c r="H25" s="0" t="n">
        <v>13.0941</v>
      </c>
      <c r="I25" s="0" t="n">
        <v>-0.1538</v>
      </c>
      <c r="J25" s="0" t="n">
        <v>-0.0556999999999999</v>
      </c>
      <c r="K25" s="1" t="n">
        <v>0.747824920776192</v>
      </c>
      <c r="L25" s="1" t="n">
        <v>0.745978245598985</v>
      </c>
    </row>
    <row r="26" customFormat="false" ht="13.8" hidden="false" customHeight="false" outlineLevel="0" collapsed="false">
      <c r="A26" s="0" t="s">
        <v>49</v>
      </c>
      <c r="B26" s="0" t="n">
        <v>1002618</v>
      </c>
      <c r="C26" s="0" t="n">
        <v>16.2018</v>
      </c>
      <c r="D26" s="1" t="n">
        <f aca="false">B26/B$1</f>
        <v>1.86436461006359</v>
      </c>
      <c r="F26" s="0" t="s">
        <v>49</v>
      </c>
      <c r="G26" s="0" t="n">
        <v>16.2018</v>
      </c>
      <c r="H26" s="0" t="n">
        <v>15.9934</v>
      </c>
      <c r="I26" s="0" t="n">
        <v>-0.208399999999999</v>
      </c>
      <c r="J26" s="0" t="n">
        <v>-0.110299999999999</v>
      </c>
      <c r="K26" s="1" t="n">
        <v>0.470146293244852</v>
      </c>
      <c r="L26" s="1" t="n">
        <v>0.472531039346799</v>
      </c>
    </row>
    <row r="27" customFormat="false" ht="13.8" hidden="false" customHeight="false" outlineLevel="0" collapsed="false">
      <c r="A27" s="0" t="s">
        <v>50</v>
      </c>
      <c r="B27" s="0" t="n">
        <v>19723917</v>
      </c>
      <c r="C27" s="0" t="n">
        <v>11.1418</v>
      </c>
      <c r="D27" s="1" t="n">
        <f aca="false">B27/B$2</f>
        <v>86.899838306759</v>
      </c>
      <c r="F27" s="0" t="s">
        <v>50</v>
      </c>
    </row>
    <row r="28" customFormat="false" ht="13.8" hidden="false" customHeight="false" outlineLevel="0" collapsed="false">
      <c r="A28" s="0" t="s">
        <v>51</v>
      </c>
      <c r="B28" s="0" t="n">
        <v>4578991</v>
      </c>
      <c r="C28" s="0" t="n">
        <v>5.93367</v>
      </c>
      <c r="D28" s="1" t="n">
        <f aca="false">B28/B$2</f>
        <v>20.1741660902398</v>
      </c>
      <c r="F28" s="0" t="s">
        <v>51</v>
      </c>
    </row>
    <row r="29" customFormat="false" ht="13.8" hidden="false" customHeight="false" outlineLevel="0" collapsed="false">
      <c r="A29" s="0" t="s">
        <v>52</v>
      </c>
      <c r="B29" s="0" t="n">
        <v>15144926</v>
      </c>
      <c r="C29" s="0" t="n">
        <v>12.7165</v>
      </c>
      <c r="D29" s="1" t="n">
        <f aca="false">B29/B$2</f>
        <v>66.7256722165191</v>
      </c>
      <c r="F29" s="0" t="s">
        <v>52</v>
      </c>
    </row>
    <row r="30" customFormat="false" ht="13.8" hidden="false" customHeight="false" outlineLevel="0" collapsed="false">
      <c r="A30" s="0" t="s">
        <v>53</v>
      </c>
      <c r="B30" s="0" t="n">
        <v>2091376</v>
      </c>
      <c r="C30" s="0" t="n">
        <v>11.5549</v>
      </c>
      <c r="D30" s="1" t="n">
        <f aca="false">B30/B$2</f>
        <v>9.21420609499808</v>
      </c>
      <c r="F30" s="0" t="s">
        <v>53</v>
      </c>
    </row>
    <row r="31" customFormat="false" ht="13.8" hidden="false" customHeight="false" outlineLevel="0" collapsed="false">
      <c r="A31" s="0" t="s">
        <v>54</v>
      </c>
      <c r="B31" s="0" t="n">
        <v>17632541</v>
      </c>
      <c r="C31" s="0" t="n">
        <v>11.0928</v>
      </c>
      <c r="D31" s="1" t="n">
        <f aca="false">B31/B$2</f>
        <v>77.6856322117609</v>
      </c>
      <c r="F31" s="0" t="s">
        <v>54</v>
      </c>
    </row>
    <row r="32" customFormat="false" ht="13.8" hidden="false" customHeight="false" outlineLevel="0" collapsed="false">
      <c r="A32" s="0" t="s">
        <v>55</v>
      </c>
      <c r="B32" s="0" t="n">
        <v>2082953</v>
      </c>
      <c r="C32" s="0" t="n">
        <v>5.6165</v>
      </c>
      <c r="D32" s="1" t="n">
        <f aca="false">B32/B$2</f>
        <v>9.17709595414433</v>
      </c>
      <c r="F32" s="0" t="s">
        <v>55</v>
      </c>
    </row>
    <row r="33" customFormat="false" ht="13.8" hidden="false" customHeight="false" outlineLevel="0" collapsed="false">
      <c r="A33" s="0" t="s">
        <v>56</v>
      </c>
      <c r="B33" s="0" t="n">
        <v>17640964</v>
      </c>
      <c r="C33" s="0" t="n">
        <v>11.7942</v>
      </c>
      <c r="D33" s="1" t="n">
        <f aca="false">B33/B$2</f>
        <v>77.7227423526146</v>
      </c>
      <c r="F33" s="0" t="s">
        <v>56</v>
      </c>
    </row>
    <row r="34" customFormat="false" ht="13.8" hidden="false" customHeight="false" outlineLevel="0" collapsed="false">
      <c r="A34" s="0" t="s">
        <v>57</v>
      </c>
      <c r="B34" s="0" t="n">
        <v>5010304</v>
      </c>
      <c r="C34" s="0" t="n">
        <v>5.40855</v>
      </c>
      <c r="D34" s="1" t="n">
        <f aca="false">B34/B$2</f>
        <v>22.0744493838474</v>
      </c>
      <c r="F34" s="0" t="s">
        <v>57</v>
      </c>
    </row>
    <row r="35" customFormat="false" ht="13.8" hidden="false" customHeight="false" outlineLevel="0" collapsed="false">
      <c r="A35" s="0" t="s">
        <v>58</v>
      </c>
      <c r="B35" s="0" t="n">
        <v>14713613</v>
      </c>
      <c r="C35" s="0" t="n">
        <v>13.0941</v>
      </c>
      <c r="D35" s="1" t="n">
        <f aca="false">B35/B$2</f>
        <v>64.8253889229115</v>
      </c>
      <c r="F35" s="0" t="s">
        <v>58</v>
      </c>
    </row>
    <row r="36" customFormat="false" ht="13.8" hidden="false" customHeight="false" outlineLevel="0" collapsed="false">
      <c r="A36" s="0" t="s">
        <v>59</v>
      </c>
      <c r="B36" s="0" t="n">
        <v>9320163</v>
      </c>
      <c r="C36" s="0" t="n">
        <v>15.9934</v>
      </c>
      <c r="D36" s="1" t="n">
        <f aca="false">B36/B$2</f>
        <v>41.0628709141616</v>
      </c>
      <c r="F36" s="0" t="s">
        <v>59</v>
      </c>
    </row>
    <row r="37" customFormat="false" ht="13.8" hidden="false" customHeight="false" outlineLevel="0" collapsed="false">
      <c r="A37" s="0" t="s">
        <v>60</v>
      </c>
      <c r="B37" s="0" t="n">
        <v>10403754</v>
      </c>
      <c r="C37" s="0" t="n">
        <v>6.79555</v>
      </c>
      <c r="D37" s="1" t="n">
        <f aca="false">B37/B$2</f>
        <v>45.8369673925974</v>
      </c>
      <c r="F37" s="0" t="s">
        <v>60</v>
      </c>
    </row>
    <row r="38" customFormat="false" ht="13.8" hidden="false" customHeight="false" outlineLevel="0" collapsed="false">
      <c r="A38" s="0" t="s">
        <v>61</v>
      </c>
      <c r="B38" s="0" t="n">
        <v>125699</v>
      </c>
      <c r="C38" s="0" t="n">
        <v>11.7161</v>
      </c>
      <c r="D38" s="1" t="n">
        <f aca="false">B38/B$2</f>
        <v>0.553805959299124</v>
      </c>
      <c r="F38" s="0" t="s">
        <v>61</v>
      </c>
    </row>
    <row r="39" customFormat="false" ht="13.8" hidden="false" customHeight="false" outlineLevel="0" collapsed="false">
      <c r="A39" s="0" t="s">
        <v>62</v>
      </c>
      <c r="B39" s="0" t="n">
        <v>19598218</v>
      </c>
      <c r="C39" s="0" t="n">
        <v>11.1381</v>
      </c>
      <c r="D39" s="1" t="n">
        <f aca="false">B39/B$2</f>
        <v>86.3460323474598</v>
      </c>
      <c r="F39" s="0" t="s">
        <v>62</v>
      </c>
    </row>
    <row r="40" customFormat="false" ht="13.8" hidden="false" customHeight="false" outlineLevel="0" collapsed="false">
      <c r="A40" s="0" t="s">
        <v>63</v>
      </c>
      <c r="B40" s="0" t="n">
        <v>19723917</v>
      </c>
      <c r="C40" s="0" t="n">
        <v>11.1418</v>
      </c>
      <c r="D40" s="1" t="n">
        <f aca="false">B40/B$2</f>
        <v>86.899838306759</v>
      </c>
      <c r="F40" s="0" t="s">
        <v>63</v>
      </c>
    </row>
    <row r="41" customFormat="false" ht="13.8" hidden="false" customHeight="false" outlineLevel="0" collapsed="false">
      <c r="A41" s="0" t="s">
        <v>64</v>
      </c>
      <c r="B41" s="0" t="n">
        <v>1262793</v>
      </c>
      <c r="C41" s="0" t="n">
        <v>6.11913</v>
      </c>
      <c r="D41" s="1" t="n">
        <f aca="false">B41/B$2</f>
        <v>5.56362651064224</v>
      </c>
      <c r="F41" s="0" t="s">
        <v>64</v>
      </c>
    </row>
    <row r="42" customFormat="false" ht="13.8" hidden="false" customHeight="false" outlineLevel="0" collapsed="false">
      <c r="A42" s="0" t="s">
        <v>65</v>
      </c>
      <c r="B42" s="0" t="n">
        <v>18461124</v>
      </c>
      <c r="C42" s="0" t="n">
        <v>11.4854</v>
      </c>
      <c r="D42" s="1" t="n">
        <f aca="false">B42/B$2</f>
        <v>81.3362117961167</v>
      </c>
      <c r="F42" s="0" t="s">
        <v>65</v>
      </c>
    </row>
    <row r="43" customFormat="false" ht="13.8" hidden="false" customHeight="false" outlineLevel="0" collapsed="false">
      <c r="A43" s="0" t="s">
        <v>66</v>
      </c>
      <c r="B43" s="0" t="n">
        <v>1702776</v>
      </c>
      <c r="C43" s="0" t="n">
        <v>10.3803</v>
      </c>
      <c r="D43" s="1" t="n">
        <f aca="false">B43/B$2</f>
        <v>7.50210818026814</v>
      </c>
      <c r="F43" s="0" t="s">
        <v>66</v>
      </c>
    </row>
    <row r="44" customFormat="false" ht="13.8" hidden="false" customHeight="false" outlineLevel="0" collapsed="false">
      <c r="A44" s="0" t="s">
        <v>67</v>
      </c>
      <c r="B44" s="0" t="n">
        <v>18021141</v>
      </c>
      <c r="C44" s="0" t="n">
        <v>11.2138</v>
      </c>
      <c r="D44" s="1" t="n">
        <f aca="false">B44/B$2</f>
        <v>79.3977301264908</v>
      </c>
      <c r="F44" s="0" t="s">
        <v>67</v>
      </c>
    </row>
    <row r="45" customFormat="false" ht="13.8" hidden="false" customHeight="false" outlineLevel="0" collapsed="false">
      <c r="A45" s="0" t="s">
        <v>68</v>
      </c>
      <c r="B45" s="0" t="n">
        <v>4903931</v>
      </c>
      <c r="C45" s="0" t="n">
        <v>7.12441</v>
      </c>
      <c r="D45" s="1" t="n">
        <f aca="false">B45/B$2</f>
        <v>21.605790116005</v>
      </c>
      <c r="F45" s="0" t="s">
        <v>68</v>
      </c>
    </row>
    <row r="46" customFormat="false" ht="13.8" hidden="false" customHeight="false" outlineLevel="0" collapsed="false">
      <c r="A46" s="0" t="s">
        <v>69</v>
      </c>
      <c r="B46" s="0" t="n">
        <v>14819986</v>
      </c>
      <c r="C46" s="0" t="n">
        <v>12.4712</v>
      </c>
      <c r="D46" s="1" t="n">
        <f aca="false">B46/B$2</f>
        <v>65.294048190754</v>
      </c>
      <c r="F46" s="0" t="s">
        <v>69</v>
      </c>
    </row>
    <row r="47" customFormat="false" ht="13.8" hidden="false" customHeight="false" outlineLevel="0" collapsed="false">
      <c r="A47" s="0" t="s">
        <v>70</v>
      </c>
      <c r="B47" s="0" t="n">
        <v>2931542</v>
      </c>
      <c r="C47" s="0" t="n">
        <v>12.8982</v>
      </c>
      <c r="D47" s="1" t="n">
        <f aca="false">B47/B$2</f>
        <v>12.9158181810171</v>
      </c>
      <c r="F47" s="0" t="s">
        <v>70</v>
      </c>
    </row>
    <row r="48" customFormat="false" ht="13.8" hidden="false" customHeight="false" outlineLevel="0" collapsed="false">
      <c r="A48" s="0" t="s">
        <v>71</v>
      </c>
      <c r="B48" s="0" t="n">
        <v>16792375</v>
      </c>
      <c r="C48" s="0" t="n">
        <v>10.8352</v>
      </c>
      <c r="D48" s="1" t="n">
        <f aca="false">B48/B$2</f>
        <v>73.9840201257418</v>
      </c>
      <c r="F48" s="0" t="s">
        <v>71</v>
      </c>
    </row>
    <row r="49" customFormat="false" ht="13.8" hidden="false" customHeight="false" outlineLevel="0" collapsed="false">
      <c r="A49" s="0" t="s">
        <v>72</v>
      </c>
      <c r="B49" s="0" t="n">
        <v>11888444</v>
      </c>
      <c r="C49" s="0" t="n">
        <v>12.3659</v>
      </c>
      <c r="D49" s="1" t="n">
        <f aca="false">B49/B$2</f>
        <v>52.3782300097368</v>
      </c>
      <c r="F49" s="0" t="s">
        <v>72</v>
      </c>
    </row>
    <row r="50" customFormat="false" ht="13.8" hidden="false" customHeight="false" outlineLevel="0" collapsed="false">
      <c r="A50" s="0" t="s">
        <v>73</v>
      </c>
      <c r="B50" s="0" t="n">
        <v>7835473</v>
      </c>
      <c r="C50" s="0" t="n">
        <v>9.28458</v>
      </c>
      <c r="D50" s="1" t="n">
        <f aca="false">B50/B$2</f>
        <v>34.5216082970221</v>
      </c>
      <c r="F50" s="0" t="s">
        <v>73</v>
      </c>
    </row>
    <row r="51" customFormat="false" ht="13.8" hidden="false" customHeight="false" outlineLevel="0" collapsed="false">
      <c r="A51" s="0" t="s">
        <v>74</v>
      </c>
      <c r="B51" s="0" t="n">
        <v>13920763</v>
      </c>
      <c r="C51" s="0" t="n">
        <v>12.4058</v>
      </c>
      <c r="D51" s="1" t="n">
        <f aca="false">B51/B$2</f>
        <v>61.3322421609619</v>
      </c>
      <c r="F51" s="0" t="s">
        <v>74</v>
      </c>
    </row>
    <row r="52" customFormat="false" ht="13.8" hidden="false" customHeight="false" outlineLevel="0" collapsed="false">
      <c r="A52" s="0" t="s">
        <v>75</v>
      </c>
      <c r="B52" s="0" t="n">
        <v>5803154</v>
      </c>
      <c r="C52" s="0" t="n">
        <v>8.10973</v>
      </c>
      <c r="D52" s="1" t="n">
        <f aca="false">B52/B$2</f>
        <v>25.5675961457971</v>
      </c>
      <c r="F52" s="0" t="s">
        <v>75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2.75" customHeight="false" zeroHeight="false" outlineLevelRow="0" outlineLevelCol="0"/>
  <cols>
    <col collapsed="false" customWidth="true" hidden="false" outlineLevel="0" max="3" min="1" style="0" width="12.15"/>
    <col collapsed="false" customWidth="true" hidden="false" outlineLevel="0" max="4" min="4" style="0" width="11.43"/>
  </cols>
  <sheetData>
    <row r="1" customFormat="false" ht="13.8" hidden="false" customHeight="false" outlineLevel="0" collapsed="false">
      <c r="A1" s="0" t="n">
        <v>0</v>
      </c>
      <c r="B1" s="0" t="n">
        <v>13.3811</v>
      </c>
    </row>
    <row r="2" customFormat="false" ht="13.8" hidden="false" customHeight="false" outlineLevel="0" collapsed="false">
      <c r="A2" s="0" t="n">
        <f aca="false">1+A1</f>
        <v>1</v>
      </c>
      <c r="B2" s="0" t="n">
        <v>13.2765</v>
      </c>
    </row>
    <row r="3" customFormat="false" ht="13.8" hidden="false" customHeight="false" outlineLevel="0" collapsed="false">
      <c r="A3" s="0" t="n">
        <f aca="false">1+A2</f>
        <v>2</v>
      </c>
      <c r="B3" s="0" t="n">
        <v>13.1761</v>
      </c>
    </row>
    <row r="4" customFormat="false" ht="13.8" hidden="false" customHeight="false" outlineLevel="0" collapsed="false">
      <c r="A4" s="0" t="n">
        <f aca="false">1+A3</f>
        <v>3</v>
      </c>
      <c r="B4" s="0" t="n">
        <v>13.0792</v>
      </c>
    </row>
    <row r="5" customFormat="false" ht="13.8" hidden="false" customHeight="false" outlineLevel="0" collapsed="false">
      <c r="A5" s="0" t="n">
        <f aca="false">1+A4</f>
        <v>4</v>
      </c>
      <c r="B5" s="0" t="n">
        <v>12.9739</v>
      </c>
    </row>
    <row r="6" customFormat="false" ht="13.8" hidden="false" customHeight="false" outlineLevel="0" collapsed="false">
      <c r="A6" s="0" t="n">
        <f aca="false">1+A5</f>
        <v>5</v>
      </c>
      <c r="B6" s="0" t="n">
        <v>12.8667</v>
      </c>
    </row>
    <row r="7" customFormat="false" ht="13.8" hidden="false" customHeight="false" outlineLevel="0" collapsed="false">
      <c r="A7" s="0" t="n">
        <f aca="false">1+A6</f>
        <v>6</v>
      </c>
      <c r="B7" s="0" t="n">
        <v>12.764</v>
      </c>
    </row>
    <row r="8" customFormat="false" ht="13.8" hidden="false" customHeight="false" outlineLevel="0" collapsed="false">
      <c r="A8" s="0" t="n">
        <f aca="false">1+A7</f>
        <v>7</v>
      </c>
      <c r="B8" s="0" t="n">
        <v>12.6629</v>
      </c>
    </row>
    <row r="9" customFormat="false" ht="13.8" hidden="false" customHeight="false" outlineLevel="0" collapsed="false">
      <c r="A9" s="0" t="n">
        <f aca="false">1+A8</f>
        <v>8</v>
      </c>
      <c r="B9" s="0" t="n">
        <v>12.5667</v>
      </c>
    </row>
    <row r="10" customFormat="false" ht="13.8" hidden="false" customHeight="false" outlineLevel="0" collapsed="false">
      <c r="A10" s="0" t="n">
        <f aca="false">1+A9</f>
        <v>9</v>
      </c>
      <c r="B10" s="0" t="n">
        <v>12.4691</v>
      </c>
    </row>
    <row r="11" customFormat="false" ht="13.8" hidden="false" customHeight="false" outlineLevel="0" collapsed="false">
      <c r="A11" s="0" t="n">
        <f aca="false">1+A10</f>
        <v>10</v>
      </c>
      <c r="B11" s="0" t="n">
        <v>12.372</v>
      </c>
    </row>
    <row r="12" customFormat="false" ht="13.8" hidden="false" customHeight="false" outlineLevel="0" collapsed="false">
      <c r="A12" s="0" t="n">
        <f aca="false">1+A11</f>
        <v>11</v>
      </c>
      <c r="B12" s="0" t="n">
        <v>12.2775</v>
      </c>
    </row>
    <row r="13" customFormat="false" ht="13.8" hidden="false" customHeight="false" outlineLevel="0" collapsed="false">
      <c r="A13" s="0" t="n">
        <f aca="false">1+A12</f>
        <v>12</v>
      </c>
      <c r="B13" s="0" t="n">
        <v>12.1858</v>
      </c>
    </row>
    <row r="14" customFormat="false" ht="13.8" hidden="false" customHeight="false" outlineLevel="0" collapsed="false">
      <c r="A14" s="0" t="n">
        <f aca="false">1+A13</f>
        <v>13</v>
      </c>
      <c r="B14" s="0" t="n">
        <v>12.0945</v>
      </c>
    </row>
    <row r="15" customFormat="false" ht="13.8" hidden="false" customHeight="false" outlineLevel="0" collapsed="false">
      <c r="A15" s="0" t="n">
        <f aca="false">1+A14</f>
        <v>14</v>
      </c>
      <c r="B15" s="0" t="n">
        <v>12.0032</v>
      </c>
    </row>
    <row r="16" customFormat="false" ht="13.8" hidden="false" customHeight="false" outlineLevel="0" collapsed="false">
      <c r="A16" s="0" t="n">
        <f aca="false">1+A15</f>
        <v>15</v>
      </c>
      <c r="B16" s="0" t="n">
        <v>11.9176</v>
      </c>
    </row>
    <row r="17" customFormat="false" ht="13.8" hidden="false" customHeight="false" outlineLevel="0" collapsed="false">
      <c r="A17" s="0" t="n">
        <f aca="false">1+A16</f>
        <v>16</v>
      </c>
      <c r="B17" s="0" t="n">
        <v>11.8289</v>
      </c>
    </row>
    <row r="18" customFormat="false" ht="13.8" hidden="false" customHeight="false" outlineLevel="0" collapsed="false">
      <c r="A18" s="0" t="n">
        <f aca="false">1+A17</f>
        <v>17</v>
      </c>
      <c r="B18" s="0" t="n">
        <v>11.7412</v>
      </c>
    </row>
    <row r="19" customFormat="false" ht="13.8" hidden="false" customHeight="false" outlineLevel="0" collapsed="false">
      <c r="A19" s="0" t="n">
        <f aca="false">1+A18</f>
        <v>18</v>
      </c>
      <c r="B19" s="0" t="n">
        <v>11.6587</v>
      </c>
    </row>
    <row r="20" customFormat="false" ht="13.8" hidden="false" customHeight="false" outlineLevel="0" collapsed="false">
      <c r="A20" s="0" t="n">
        <f aca="false">1+A19</f>
        <v>19</v>
      </c>
      <c r="B20" s="0" t="n">
        <v>11.5748</v>
      </c>
    </row>
    <row r="21" customFormat="false" ht="13.8" hidden="false" customHeight="false" outlineLevel="0" collapsed="false">
      <c r="A21" s="0" t="n">
        <f aca="false">1+A20</f>
        <v>20</v>
      </c>
      <c r="B21" s="0" t="n">
        <v>11.498</v>
      </c>
    </row>
    <row r="22" customFormat="false" ht="13.8" hidden="false" customHeight="false" outlineLevel="0" collapsed="false">
      <c r="A22" s="0" t="n">
        <f aca="false">1+A21</f>
        <v>21</v>
      </c>
      <c r="B22" s="0" t="n">
        <v>11.42</v>
      </c>
    </row>
    <row r="23" customFormat="false" ht="13.8" hidden="false" customHeight="false" outlineLevel="0" collapsed="false">
      <c r="A23" s="0" t="n">
        <f aca="false">1+A22</f>
        <v>22</v>
      </c>
      <c r="B23" s="0" t="n">
        <v>11.3388</v>
      </c>
    </row>
    <row r="24" customFormat="false" ht="13.8" hidden="false" customHeight="false" outlineLevel="0" collapsed="false">
      <c r="A24" s="0" t="n">
        <f aca="false">1+A23</f>
        <v>23</v>
      </c>
      <c r="B24" s="0" t="n">
        <v>11.265</v>
      </c>
    </row>
    <row r="25" customFormat="false" ht="13.8" hidden="false" customHeight="false" outlineLevel="0" collapsed="false">
      <c r="A25" s="0" t="n">
        <f aca="false">1+A24</f>
        <v>24</v>
      </c>
      <c r="B25" s="0" t="n">
        <v>11.192</v>
      </c>
    </row>
    <row r="26" customFormat="false" ht="13.8" hidden="false" customHeight="false" outlineLevel="0" collapsed="false">
      <c r="A26" s="0" t="n">
        <f aca="false">1+A25</f>
        <v>25</v>
      </c>
      <c r="B26" s="0" t="n">
        <v>11.116</v>
      </c>
    </row>
    <row r="27" customFormat="false" ht="13.8" hidden="false" customHeight="false" outlineLevel="0" collapsed="false">
      <c r="A27" s="0" t="n">
        <f aca="false">1+A26</f>
        <v>26</v>
      </c>
      <c r="B27" s="0" t="n">
        <v>11.0445</v>
      </c>
    </row>
    <row r="28" customFormat="false" ht="13.8" hidden="false" customHeight="false" outlineLevel="0" collapsed="false">
      <c r="A28" s="0" t="n">
        <f aca="false">1+A27</f>
        <v>27</v>
      </c>
      <c r="B28" s="0" t="n">
        <v>10.9753</v>
      </c>
    </row>
    <row r="29" customFormat="false" ht="13.8" hidden="false" customHeight="false" outlineLevel="0" collapsed="false">
      <c r="A29" s="0" t="n">
        <f aca="false">1+A28</f>
        <v>28</v>
      </c>
      <c r="B29" s="0" t="n">
        <v>10.9045</v>
      </c>
    </row>
    <row r="30" customFormat="false" ht="13.8" hidden="false" customHeight="false" outlineLevel="0" collapsed="false">
      <c r="A30" s="0" t="n">
        <f aca="false">1+A29</f>
        <v>29</v>
      </c>
      <c r="B30" s="0" t="n">
        <v>10.8382</v>
      </c>
    </row>
    <row r="31" customFormat="false" ht="13.8" hidden="false" customHeight="false" outlineLevel="0" collapsed="false">
      <c r="A31" s="0" t="n">
        <f aca="false">1+A30</f>
        <v>30</v>
      </c>
      <c r="B31" s="0" t="n">
        <v>10.7666</v>
      </c>
    </row>
    <row r="32" customFormat="false" ht="13.8" hidden="false" customHeight="false" outlineLevel="0" collapsed="false">
      <c r="A32" s="0" t="n">
        <f aca="false">1+A31</f>
        <v>31</v>
      </c>
      <c r="B32" s="0" t="n">
        <v>10.696</v>
      </c>
    </row>
    <row r="33" customFormat="false" ht="13.8" hidden="false" customHeight="false" outlineLevel="0" collapsed="false">
      <c r="A33" s="0" t="n">
        <f aca="false">1+A32</f>
        <v>32</v>
      </c>
      <c r="B33" s="0" t="n">
        <v>10.6263</v>
      </c>
    </row>
    <row r="34" customFormat="false" ht="13.8" hidden="false" customHeight="false" outlineLevel="0" collapsed="false">
      <c r="A34" s="0" t="n">
        <f aca="false">1+A33</f>
        <v>33</v>
      </c>
      <c r="B34" s="0" t="n">
        <v>10.5611</v>
      </c>
    </row>
    <row r="35" customFormat="false" ht="13.8" hidden="false" customHeight="false" outlineLevel="0" collapsed="false">
      <c r="A35" s="0" t="n">
        <f aca="false">1+A34</f>
        <v>34</v>
      </c>
      <c r="B35" s="0" t="n">
        <v>10.4967</v>
      </c>
    </row>
    <row r="36" customFormat="false" ht="13.8" hidden="false" customHeight="false" outlineLevel="0" collapsed="false">
      <c r="A36" s="0" t="n">
        <f aca="false">1+A35</f>
        <v>35</v>
      </c>
      <c r="B36" s="0" t="n">
        <v>10.4339</v>
      </c>
    </row>
    <row r="37" customFormat="false" ht="13.8" hidden="false" customHeight="false" outlineLevel="0" collapsed="false">
      <c r="A37" s="0" t="n">
        <f aca="false">1+A36</f>
        <v>36</v>
      </c>
      <c r="B37" s="0" t="n">
        <v>10.3729</v>
      </c>
    </row>
    <row r="38" customFormat="false" ht="13.8" hidden="false" customHeight="false" outlineLevel="0" collapsed="false">
      <c r="A38" s="0" t="n">
        <f aca="false">1+A37</f>
        <v>37</v>
      </c>
      <c r="B38" s="0" t="n">
        <v>10.3119</v>
      </c>
    </row>
    <row r="39" customFormat="false" ht="13.8" hidden="false" customHeight="false" outlineLevel="0" collapsed="false">
      <c r="A39" s="0" t="n">
        <f aca="false">1+A38</f>
        <v>38</v>
      </c>
      <c r="B39" s="0" t="n">
        <v>10.2556</v>
      </c>
    </row>
    <row r="40" customFormat="false" ht="13.8" hidden="false" customHeight="false" outlineLevel="0" collapsed="false">
      <c r="A40" s="0" t="n">
        <f aca="false">1+A39</f>
        <v>39</v>
      </c>
      <c r="B40" s="0" t="n">
        <v>10.1928</v>
      </c>
    </row>
    <row r="41" customFormat="false" ht="13.8" hidden="false" customHeight="false" outlineLevel="0" collapsed="false">
      <c r="A41" s="0" t="n">
        <f aca="false">1+A40</f>
        <v>40</v>
      </c>
      <c r="B41" s="0" t="n">
        <v>10.1292</v>
      </c>
    </row>
    <row r="42" customFormat="false" ht="13.8" hidden="false" customHeight="false" outlineLevel="0" collapsed="false">
      <c r="A42" s="0" t="n">
        <f aca="false">1+A41</f>
        <v>41</v>
      </c>
      <c r="B42" s="0" t="n">
        <v>10.0707</v>
      </c>
    </row>
    <row r="43" customFormat="false" ht="13.8" hidden="false" customHeight="false" outlineLevel="0" collapsed="false">
      <c r="A43" s="0" t="n">
        <f aca="false">1+A42</f>
        <v>42</v>
      </c>
      <c r="B43" s="0" t="n">
        <v>10.0182</v>
      </c>
    </row>
    <row r="44" customFormat="false" ht="13.8" hidden="false" customHeight="false" outlineLevel="0" collapsed="false">
      <c r="A44" s="0" t="n">
        <f aca="false">1+A43</f>
        <v>43</v>
      </c>
      <c r="B44" s="0" t="n">
        <v>9.96087</v>
      </c>
    </row>
    <row r="45" customFormat="false" ht="13.8" hidden="false" customHeight="false" outlineLevel="0" collapsed="false">
      <c r="A45" s="0" t="n">
        <f aca="false">1+A44</f>
        <v>44</v>
      </c>
      <c r="B45" s="0" t="n">
        <v>9.90538</v>
      </c>
    </row>
    <row r="46" customFormat="false" ht="13.8" hidden="false" customHeight="false" outlineLevel="0" collapsed="false">
      <c r="A46" s="0" t="n">
        <f aca="false">1+A45</f>
        <v>45</v>
      </c>
      <c r="B46" s="0" t="n">
        <v>9.8462</v>
      </c>
    </row>
    <row r="47" customFormat="false" ht="13.8" hidden="false" customHeight="false" outlineLevel="0" collapsed="false">
      <c r="A47" s="0" t="n">
        <f aca="false">1+A46</f>
        <v>46</v>
      </c>
      <c r="B47" s="0" t="n">
        <v>9.79274</v>
      </c>
    </row>
    <row r="48" customFormat="false" ht="13.8" hidden="false" customHeight="false" outlineLevel="0" collapsed="false">
      <c r="A48" s="0" t="n">
        <f aca="false">1+A47</f>
        <v>47</v>
      </c>
      <c r="B48" s="0" t="n">
        <v>9.73933</v>
      </c>
    </row>
    <row r="49" customFormat="false" ht="13.8" hidden="false" customHeight="false" outlineLevel="0" collapsed="false">
      <c r="A49" s="0" t="n">
        <f aca="false">1+A48</f>
        <v>48</v>
      </c>
      <c r="B49" s="0" t="n">
        <v>9.68246</v>
      </c>
    </row>
    <row r="50" customFormat="false" ht="13.8" hidden="false" customHeight="false" outlineLevel="0" collapsed="false">
      <c r="A50" s="0" t="n">
        <f aca="false">1+A49</f>
        <v>49</v>
      </c>
      <c r="B50" s="0" t="n">
        <v>9.63096</v>
      </c>
    </row>
    <row r="51" customFormat="false" ht="13.8" hidden="false" customHeight="false" outlineLevel="0" collapsed="false">
      <c r="A51" s="0" t="n">
        <f aca="false">1+A50</f>
        <v>50</v>
      </c>
      <c r="B51" s="0" t="n">
        <v>9.57679</v>
      </c>
    </row>
    <row r="52" customFormat="false" ht="13.8" hidden="false" customHeight="false" outlineLevel="0" collapsed="false">
      <c r="A52" s="0" t="n">
        <f aca="false">1+A51</f>
        <v>51</v>
      </c>
      <c r="B52" s="0" t="n">
        <v>9.52488</v>
      </c>
    </row>
    <row r="53" customFormat="false" ht="13.8" hidden="false" customHeight="false" outlineLevel="0" collapsed="false">
      <c r="A53" s="0" t="n">
        <f aca="false">1+A52</f>
        <v>52</v>
      </c>
      <c r="B53" s="0" t="n">
        <v>9.47363</v>
      </c>
    </row>
    <row r="54" customFormat="false" ht="13.8" hidden="false" customHeight="false" outlineLevel="0" collapsed="false">
      <c r="A54" s="0" t="n">
        <f aca="false">1+A53</f>
        <v>53</v>
      </c>
      <c r="B54" s="0" t="n">
        <v>9.42122</v>
      </c>
    </row>
    <row r="55" customFormat="false" ht="13.8" hidden="false" customHeight="false" outlineLevel="0" collapsed="false">
      <c r="A55" s="0" t="n">
        <f aca="false">1+A54</f>
        <v>54</v>
      </c>
      <c r="B55" s="0" t="n">
        <v>9.36942</v>
      </c>
    </row>
    <row r="56" customFormat="false" ht="13.8" hidden="false" customHeight="false" outlineLevel="0" collapsed="false">
      <c r="A56" s="0" t="n">
        <f aca="false">1+A55</f>
        <v>55</v>
      </c>
      <c r="B56" s="0" t="n">
        <v>9.32503</v>
      </c>
    </row>
    <row r="57" customFormat="false" ht="13.8" hidden="false" customHeight="false" outlineLevel="0" collapsed="false">
      <c r="A57" s="0" t="n">
        <f aca="false">1+A56</f>
        <v>56</v>
      </c>
      <c r="B57" s="0" t="n">
        <v>9.27966</v>
      </c>
    </row>
    <row r="58" customFormat="false" ht="13.8" hidden="false" customHeight="false" outlineLevel="0" collapsed="false">
      <c r="A58" s="0" t="n">
        <f aca="false">1+A57</f>
        <v>57</v>
      </c>
      <c r="B58" s="0" t="n">
        <v>9.23124</v>
      </c>
    </row>
    <row r="59" customFormat="false" ht="13.8" hidden="false" customHeight="false" outlineLevel="0" collapsed="false">
      <c r="A59" s="0" t="n">
        <f aca="false">1+A58</f>
        <v>58</v>
      </c>
      <c r="B59" s="0" t="n">
        <v>9.18702</v>
      </c>
    </row>
    <row r="60" customFormat="false" ht="13.8" hidden="false" customHeight="false" outlineLevel="0" collapsed="false">
      <c r="A60" s="0" t="n">
        <f aca="false">1+A59</f>
        <v>59</v>
      </c>
      <c r="B60" s="0" t="n">
        <v>9.14174</v>
      </c>
    </row>
    <row r="61" customFormat="false" ht="13.8" hidden="false" customHeight="false" outlineLevel="0" collapsed="false">
      <c r="A61" s="0" t="n">
        <f aca="false">1+A60</f>
        <v>60</v>
      </c>
      <c r="B61" s="0" t="n">
        <v>9.09197</v>
      </c>
    </row>
    <row r="62" customFormat="false" ht="13.8" hidden="false" customHeight="false" outlineLevel="0" collapsed="false">
      <c r="A62" s="0" t="n">
        <f aca="false">1+A61</f>
        <v>61</v>
      </c>
      <c r="B62" s="0" t="n">
        <v>9.04862</v>
      </c>
    </row>
    <row r="63" customFormat="false" ht="13.8" hidden="false" customHeight="false" outlineLevel="0" collapsed="false">
      <c r="A63" s="0" t="n">
        <f aca="false">1+A62</f>
        <v>62</v>
      </c>
      <c r="B63" s="0" t="n">
        <v>9.00207</v>
      </c>
    </row>
    <row r="64" customFormat="false" ht="13.8" hidden="false" customHeight="false" outlineLevel="0" collapsed="false">
      <c r="A64" s="0" t="n">
        <f aca="false">1+A63</f>
        <v>63</v>
      </c>
      <c r="B64" s="0" t="n">
        <v>8.95531</v>
      </c>
    </row>
    <row r="65" customFormat="false" ht="13.8" hidden="false" customHeight="false" outlineLevel="0" collapsed="false">
      <c r="A65" s="0" t="n">
        <f aca="false">1+A64</f>
        <v>64</v>
      </c>
      <c r="B65" s="0" t="n">
        <v>8.91044</v>
      </c>
    </row>
    <row r="66" customFormat="false" ht="13.8" hidden="false" customHeight="false" outlineLevel="0" collapsed="false">
      <c r="A66" s="0" t="n">
        <f aca="false">1+A65</f>
        <v>65</v>
      </c>
      <c r="B66" s="0" t="n">
        <v>8.86668</v>
      </c>
    </row>
    <row r="67" customFormat="false" ht="13.8" hidden="false" customHeight="false" outlineLevel="0" collapsed="false">
      <c r="A67" s="0" t="n">
        <f aca="false">1+A66</f>
        <v>66</v>
      </c>
      <c r="B67" s="0" t="n">
        <v>8.82143</v>
      </c>
    </row>
    <row r="68" customFormat="false" ht="13.8" hidden="false" customHeight="false" outlineLevel="0" collapsed="false">
      <c r="A68" s="0" t="n">
        <f aca="false">1+A67</f>
        <v>67</v>
      </c>
      <c r="B68" s="0" t="n">
        <v>8.77653</v>
      </c>
    </row>
    <row r="69" customFormat="false" ht="13.8" hidden="false" customHeight="false" outlineLevel="0" collapsed="false">
      <c r="A69" s="0" t="n">
        <f aca="false">1+A68</f>
        <v>68</v>
      </c>
      <c r="B69" s="0" t="n">
        <v>8.73488</v>
      </c>
    </row>
    <row r="70" customFormat="false" ht="13.8" hidden="false" customHeight="false" outlineLevel="0" collapsed="false">
      <c r="A70" s="0" t="n">
        <f aca="false">1+A69</f>
        <v>69</v>
      </c>
      <c r="B70" s="0" t="n">
        <v>8.6908</v>
      </c>
    </row>
    <row r="71" customFormat="false" ht="13.8" hidden="false" customHeight="false" outlineLevel="0" collapsed="false">
      <c r="A71" s="0" t="n">
        <f aca="false">1+A70</f>
        <v>70</v>
      </c>
      <c r="B71" s="0" t="n">
        <v>8.64604</v>
      </c>
    </row>
    <row r="72" customFormat="false" ht="13.8" hidden="false" customHeight="false" outlineLevel="0" collapsed="false">
      <c r="A72" s="0" t="n">
        <f aca="false">1+A71</f>
        <v>71</v>
      </c>
      <c r="B72" s="0" t="n">
        <v>8.60527</v>
      </c>
    </row>
    <row r="73" customFormat="false" ht="13.8" hidden="false" customHeight="false" outlineLevel="0" collapsed="false">
      <c r="A73" s="0" t="n">
        <f aca="false">1+A72</f>
        <v>72</v>
      </c>
      <c r="B73" s="0" t="n">
        <v>8.56006</v>
      </c>
    </row>
    <row r="74" customFormat="false" ht="13.8" hidden="false" customHeight="false" outlineLevel="0" collapsed="false">
      <c r="A74" s="0" t="n">
        <f aca="false">1+A73</f>
        <v>73</v>
      </c>
      <c r="B74" s="0" t="n">
        <v>8.51556</v>
      </c>
    </row>
    <row r="75" customFormat="false" ht="13.8" hidden="false" customHeight="false" outlineLevel="0" collapsed="false">
      <c r="A75" s="0" t="n">
        <f aca="false">1+A74</f>
        <v>74</v>
      </c>
      <c r="B75" s="0" t="n">
        <v>8.46834</v>
      </c>
    </row>
    <row r="76" customFormat="false" ht="13.8" hidden="false" customHeight="false" outlineLevel="0" collapsed="false">
      <c r="A76" s="0" t="n">
        <f aca="false">1+A75</f>
        <v>75</v>
      </c>
      <c r="B76" s="0" t="n">
        <v>8.42947</v>
      </c>
    </row>
    <row r="77" customFormat="false" ht="13.8" hidden="false" customHeight="false" outlineLevel="0" collapsed="false">
      <c r="A77" s="0" t="n">
        <f aca="false">1+A76</f>
        <v>76</v>
      </c>
      <c r="B77" s="0" t="n">
        <v>8.38979</v>
      </c>
    </row>
    <row r="78" customFormat="false" ht="13.8" hidden="false" customHeight="false" outlineLevel="0" collapsed="false">
      <c r="A78" s="0" t="n">
        <f aca="false">1+A77</f>
        <v>77</v>
      </c>
      <c r="B78" s="0" t="n">
        <v>8.34864</v>
      </c>
    </row>
    <row r="79" customFormat="false" ht="13.8" hidden="false" customHeight="false" outlineLevel="0" collapsed="false">
      <c r="A79" s="0" t="n">
        <f aca="false">1+A78</f>
        <v>78</v>
      </c>
      <c r="B79" s="0" t="n">
        <v>8.30678</v>
      </c>
    </row>
    <row r="80" customFormat="false" ht="13.8" hidden="false" customHeight="false" outlineLevel="0" collapsed="false">
      <c r="A80" s="0" t="n">
        <f aca="false">1+A79</f>
        <v>79</v>
      </c>
      <c r="B80" s="0" t="n">
        <v>8.26512</v>
      </c>
    </row>
    <row r="81" customFormat="false" ht="13.8" hidden="false" customHeight="false" outlineLevel="0" collapsed="false">
      <c r="A81" s="0" t="n">
        <f aca="false">1+A80</f>
        <v>80</v>
      </c>
      <c r="B81" s="0" t="n">
        <v>8.22347</v>
      </c>
    </row>
    <row r="82" customFormat="false" ht="13.8" hidden="false" customHeight="false" outlineLevel="0" collapsed="false">
      <c r="A82" s="0" t="n">
        <f aca="false">1+A81</f>
        <v>81</v>
      </c>
      <c r="B82" s="0" t="n">
        <v>8.17685</v>
      </c>
    </row>
    <row r="83" customFormat="false" ht="13.8" hidden="false" customHeight="false" outlineLevel="0" collapsed="false">
      <c r="A83" s="0" t="n">
        <f aca="false">1+A82</f>
        <v>82</v>
      </c>
      <c r="B83" s="0" t="n">
        <v>8.144</v>
      </c>
    </row>
    <row r="84" customFormat="false" ht="13.8" hidden="false" customHeight="false" outlineLevel="0" collapsed="false">
      <c r="A84" s="0" t="n">
        <f aca="false">1+A83</f>
        <v>83</v>
      </c>
      <c r="B84" s="0" t="n">
        <v>8.10569</v>
      </c>
    </row>
    <row r="85" customFormat="false" ht="13.8" hidden="false" customHeight="false" outlineLevel="0" collapsed="false">
      <c r="A85" s="0" t="n">
        <f aca="false">1+A84</f>
        <v>84</v>
      </c>
      <c r="B85" s="0" t="n">
        <v>8.06644</v>
      </c>
    </row>
    <row r="86" customFormat="false" ht="13.8" hidden="false" customHeight="false" outlineLevel="0" collapsed="false">
      <c r="A86" s="0" t="n">
        <f aca="false">1+A85</f>
        <v>85</v>
      </c>
      <c r="B86" s="0" t="n">
        <v>8.02578</v>
      </c>
    </row>
    <row r="87" customFormat="false" ht="13.8" hidden="false" customHeight="false" outlineLevel="0" collapsed="false">
      <c r="A87" s="0" t="n">
        <f aca="false">1+A86</f>
        <v>86</v>
      </c>
      <c r="B87" s="0" t="n">
        <v>7.98701</v>
      </c>
    </row>
    <row r="88" customFormat="false" ht="13.8" hidden="false" customHeight="false" outlineLevel="0" collapsed="false">
      <c r="A88" s="0" t="n">
        <f aca="false">1+A87</f>
        <v>87</v>
      </c>
      <c r="B88" s="0" t="n">
        <v>7.94903</v>
      </c>
    </row>
    <row r="89" customFormat="false" ht="13.8" hidden="false" customHeight="false" outlineLevel="0" collapsed="false">
      <c r="A89" s="0" t="n">
        <f aca="false">1+A88</f>
        <v>88</v>
      </c>
      <c r="B89" s="0" t="n">
        <v>7.90812</v>
      </c>
    </row>
    <row r="90" customFormat="false" ht="13.8" hidden="false" customHeight="false" outlineLevel="0" collapsed="false">
      <c r="A90" s="0" t="n">
        <f aca="false">1+A89</f>
        <v>89</v>
      </c>
      <c r="B90" s="0" t="n">
        <v>7.87252</v>
      </c>
    </row>
    <row r="91" customFormat="false" ht="13.8" hidden="false" customHeight="false" outlineLevel="0" collapsed="false">
      <c r="A91" s="0" t="n">
        <f aca="false">1+A90</f>
        <v>90</v>
      </c>
      <c r="B91" s="0" t="n">
        <v>7.83087</v>
      </c>
    </row>
    <row r="92" customFormat="false" ht="13.8" hidden="false" customHeight="false" outlineLevel="0" collapsed="false">
      <c r="A92" s="0" t="n">
        <f aca="false">1+A91</f>
        <v>91</v>
      </c>
      <c r="B92" s="0" t="n">
        <v>7.79566</v>
      </c>
    </row>
    <row r="93" customFormat="false" ht="13.8" hidden="false" customHeight="false" outlineLevel="0" collapsed="false">
      <c r="A93" s="0" t="n">
        <f aca="false">1+A92</f>
        <v>92</v>
      </c>
      <c r="B93" s="0" t="n">
        <v>7.75562</v>
      </c>
    </row>
    <row r="94" customFormat="false" ht="13.8" hidden="false" customHeight="false" outlineLevel="0" collapsed="false">
      <c r="A94" s="0" t="n">
        <f aca="false">1+A93</f>
        <v>93</v>
      </c>
      <c r="B94" s="0" t="n">
        <v>7.71872</v>
      </c>
    </row>
    <row r="95" customFormat="false" ht="13.8" hidden="false" customHeight="false" outlineLevel="0" collapsed="false">
      <c r="A95" s="0" t="n">
        <f aca="false">1+A94</f>
        <v>94</v>
      </c>
      <c r="B95" s="0" t="n">
        <v>7.68084</v>
      </c>
    </row>
    <row r="96" customFormat="false" ht="13.8" hidden="false" customHeight="false" outlineLevel="0" collapsed="false">
      <c r="A96" s="0" t="n">
        <f aca="false">1+A95</f>
        <v>95</v>
      </c>
      <c r="B96" s="0" t="n">
        <v>7.64381</v>
      </c>
    </row>
    <row r="97" customFormat="false" ht="13.8" hidden="false" customHeight="false" outlineLevel="0" collapsed="false">
      <c r="A97" s="0" t="n">
        <f aca="false">1+A96</f>
        <v>96</v>
      </c>
      <c r="B97" s="0" t="n">
        <v>7.60948</v>
      </c>
    </row>
    <row r="98" customFormat="false" ht="13.8" hidden="false" customHeight="false" outlineLevel="0" collapsed="false">
      <c r="A98" s="0" t="n">
        <f aca="false">1+A97</f>
        <v>97</v>
      </c>
      <c r="B98" s="0" t="n">
        <v>7.57401</v>
      </c>
    </row>
    <row r="99" customFormat="false" ht="13.8" hidden="false" customHeight="false" outlineLevel="0" collapsed="false">
      <c r="A99" s="0" t="n">
        <f aca="false">1+A98</f>
        <v>98</v>
      </c>
      <c r="B99" s="0" t="n">
        <v>7.54293</v>
      </c>
    </row>
    <row r="100" customFormat="false" ht="13.8" hidden="false" customHeight="false" outlineLevel="0" collapsed="false">
      <c r="A100" s="0" t="n">
        <f aca="false">1+A99</f>
        <v>99</v>
      </c>
      <c r="B100" s="0" t="n">
        <v>7.5062</v>
      </c>
    </row>
    <row r="101" customFormat="false" ht="13.8" hidden="false" customHeight="false" outlineLevel="0" collapsed="false">
      <c r="A101" s="0" t="n">
        <f aca="false">1+A100</f>
        <v>100</v>
      </c>
      <c r="B101" s="0" t="n">
        <v>7.47203</v>
      </c>
    </row>
    <row r="102" customFormat="false" ht="13.8" hidden="false" customHeight="false" outlineLevel="0" collapsed="false">
      <c r="A102" s="0" t="n">
        <f aca="false">1+A101</f>
        <v>101</v>
      </c>
      <c r="B102" s="0" t="n">
        <v>7.43904</v>
      </c>
    </row>
    <row r="103" customFormat="false" ht="13.8" hidden="false" customHeight="false" outlineLevel="0" collapsed="false">
      <c r="A103" s="0" t="n">
        <f aca="false">1+A102</f>
        <v>102</v>
      </c>
      <c r="B103" s="0" t="n">
        <v>7.4068</v>
      </c>
    </row>
    <row r="104" customFormat="false" ht="13.8" hidden="false" customHeight="false" outlineLevel="0" collapsed="false">
      <c r="A104" s="0" t="n">
        <f aca="false">1+A103</f>
        <v>103</v>
      </c>
      <c r="B104" s="0" t="n">
        <v>7.37067</v>
      </c>
    </row>
    <row r="105" customFormat="false" ht="13.8" hidden="false" customHeight="false" outlineLevel="0" collapsed="false">
      <c r="A105" s="0" t="n">
        <f aca="false">1+A104</f>
        <v>104</v>
      </c>
      <c r="B105" s="0" t="n">
        <v>7.33831</v>
      </c>
    </row>
    <row r="106" customFormat="false" ht="13.8" hidden="false" customHeight="false" outlineLevel="0" collapsed="false">
      <c r="A106" s="0" t="n">
        <f aca="false">1+A105</f>
        <v>105</v>
      </c>
      <c r="B106" s="0" t="n">
        <v>7.30625</v>
      </c>
    </row>
    <row r="107" customFormat="false" ht="13.8" hidden="false" customHeight="false" outlineLevel="0" collapsed="false">
      <c r="A107" s="0" t="n">
        <f aca="false">1+A106</f>
        <v>106</v>
      </c>
      <c r="B107" s="0" t="n">
        <v>7.27347</v>
      </c>
    </row>
    <row r="108" customFormat="false" ht="13.8" hidden="false" customHeight="false" outlineLevel="0" collapsed="false">
      <c r="A108" s="0" t="n">
        <f aca="false">1+A107</f>
        <v>107</v>
      </c>
      <c r="B108" s="0" t="n">
        <v>7.2398</v>
      </c>
    </row>
    <row r="109" customFormat="false" ht="13.8" hidden="false" customHeight="false" outlineLevel="0" collapsed="false">
      <c r="A109" s="0" t="n">
        <f aca="false">1+A108</f>
        <v>108</v>
      </c>
      <c r="B109" s="0" t="n">
        <v>7.20962</v>
      </c>
    </row>
    <row r="110" customFormat="false" ht="13.8" hidden="false" customHeight="false" outlineLevel="0" collapsed="false">
      <c r="A110" s="0" t="n">
        <f aca="false">1+A109</f>
        <v>109</v>
      </c>
      <c r="B110" s="0" t="n">
        <v>7.17628</v>
      </c>
    </row>
    <row r="111" customFormat="false" ht="13.8" hidden="false" customHeight="false" outlineLevel="0" collapsed="false">
      <c r="A111" s="0" t="n">
        <f aca="false">1+A110</f>
        <v>110</v>
      </c>
      <c r="B111" s="0" t="n">
        <v>7.14379</v>
      </c>
    </row>
    <row r="112" customFormat="false" ht="13.8" hidden="false" customHeight="false" outlineLevel="0" collapsed="false">
      <c r="A112" s="0" t="n">
        <f aca="false">1+A111</f>
        <v>111</v>
      </c>
      <c r="B112" s="0" t="n">
        <v>7.10859</v>
      </c>
    </row>
    <row r="113" customFormat="false" ht="13.8" hidden="false" customHeight="false" outlineLevel="0" collapsed="false">
      <c r="A113" s="0" t="n">
        <f aca="false">1+A112</f>
        <v>112</v>
      </c>
      <c r="B113" s="0" t="n">
        <v>7.08111</v>
      </c>
    </row>
    <row r="114" customFormat="false" ht="13.8" hidden="false" customHeight="false" outlineLevel="0" collapsed="false">
      <c r="A114" s="0" t="n">
        <f aca="false">1+A113</f>
        <v>113</v>
      </c>
      <c r="B114" s="0" t="n">
        <v>7.04747</v>
      </c>
    </row>
    <row r="115" customFormat="false" ht="13.8" hidden="false" customHeight="false" outlineLevel="0" collapsed="false">
      <c r="A115" s="0" t="n">
        <f aca="false">1+A114</f>
        <v>114</v>
      </c>
      <c r="B115" s="0" t="n">
        <v>7.01519</v>
      </c>
    </row>
    <row r="116" customFormat="false" ht="13.8" hidden="false" customHeight="false" outlineLevel="0" collapsed="false">
      <c r="A116" s="0" t="n">
        <f aca="false">1+A115</f>
        <v>115</v>
      </c>
      <c r="B116" s="0" t="n">
        <v>6.98408</v>
      </c>
    </row>
    <row r="117" customFormat="false" ht="13.8" hidden="false" customHeight="false" outlineLevel="0" collapsed="false">
      <c r="A117" s="0" t="n">
        <f aca="false">1+A116</f>
        <v>116</v>
      </c>
      <c r="B117" s="0" t="n">
        <v>6.94756</v>
      </c>
    </row>
    <row r="118" customFormat="false" ht="13.8" hidden="false" customHeight="false" outlineLevel="0" collapsed="false">
      <c r="A118" s="0" t="n">
        <f aca="false">1+A117</f>
        <v>117</v>
      </c>
      <c r="B118" s="0" t="n">
        <v>6.91711</v>
      </c>
    </row>
    <row r="119" customFormat="false" ht="13.8" hidden="false" customHeight="false" outlineLevel="0" collapsed="false">
      <c r="A119" s="0" t="n">
        <f aca="false">1+A118</f>
        <v>118</v>
      </c>
      <c r="B119" s="0" t="n">
        <v>6.8871</v>
      </c>
    </row>
    <row r="120" customFormat="false" ht="13.8" hidden="false" customHeight="false" outlineLevel="0" collapsed="false">
      <c r="A120" s="0" t="n">
        <f aca="false">1+A119</f>
        <v>119</v>
      </c>
      <c r="B120" s="0" t="n">
        <v>6.85186</v>
      </c>
    </row>
    <row r="121" customFormat="false" ht="13.8" hidden="false" customHeight="false" outlineLevel="0" collapsed="false">
      <c r="A121" s="0" t="n">
        <f aca="false">1+A120</f>
        <v>120</v>
      </c>
      <c r="B121" s="0" t="n">
        <v>6.81789</v>
      </c>
    </row>
    <row r="122" customFormat="false" ht="13.8" hidden="false" customHeight="false" outlineLevel="0" collapsed="false">
      <c r="A122" s="0" t="n">
        <f aca="false">1+A121</f>
        <v>121</v>
      </c>
      <c r="B122" s="0" t="n">
        <v>6.78657</v>
      </c>
    </row>
    <row r="123" customFormat="false" ht="13.8" hidden="false" customHeight="false" outlineLevel="0" collapsed="false">
      <c r="A123" s="0" t="n">
        <f aca="false">1+A122</f>
        <v>122</v>
      </c>
      <c r="B123" s="0" t="n">
        <v>6.75704</v>
      </c>
    </row>
    <row r="124" customFormat="false" ht="13.8" hidden="false" customHeight="false" outlineLevel="0" collapsed="false">
      <c r="A124" s="0" t="n">
        <f aca="false">1+A123</f>
        <v>123</v>
      </c>
      <c r="B124" s="0" t="n">
        <v>6.72592</v>
      </c>
    </row>
    <row r="125" customFormat="false" ht="13.8" hidden="false" customHeight="false" outlineLevel="0" collapsed="false">
      <c r="A125" s="0" t="n">
        <f aca="false">1+A124</f>
        <v>124</v>
      </c>
      <c r="B125" s="0" t="n">
        <v>6.69688</v>
      </c>
    </row>
    <row r="126" customFormat="false" ht="13.8" hidden="false" customHeight="false" outlineLevel="0" collapsed="false">
      <c r="A126" s="0" t="n">
        <f aca="false">1+A125</f>
        <v>125</v>
      </c>
      <c r="B126" s="0" t="n">
        <v>6.66805</v>
      </c>
    </row>
    <row r="127" customFormat="false" ht="13.8" hidden="false" customHeight="false" outlineLevel="0" collapsed="false">
      <c r="A127" s="0" t="n">
        <f aca="false">1+A126</f>
        <v>126</v>
      </c>
      <c r="B127" s="0" t="n">
        <v>6.64143</v>
      </c>
    </row>
    <row r="128" customFormat="false" ht="13.8" hidden="false" customHeight="false" outlineLevel="0" collapsed="false">
      <c r="A128" s="0" t="n">
        <f aca="false">1+A127</f>
        <v>127</v>
      </c>
      <c r="B128" s="0" t="n">
        <v>6.61387</v>
      </c>
    </row>
    <row r="129" customFormat="false" ht="13.8" hidden="false" customHeight="false" outlineLevel="0" collapsed="false">
      <c r="A129" s="0" t="n">
        <f aca="false">1+A128</f>
        <v>128</v>
      </c>
      <c r="B129" s="0" t="n">
        <v>6.58458</v>
      </c>
    </row>
    <row r="130" customFormat="false" ht="13.8" hidden="false" customHeight="false" outlineLevel="0" collapsed="false">
      <c r="A130" s="0" t="n">
        <f aca="false">1+A129</f>
        <v>129</v>
      </c>
      <c r="B130" s="0" t="n">
        <v>6.55609</v>
      </c>
    </row>
    <row r="131" customFormat="false" ht="13.8" hidden="false" customHeight="false" outlineLevel="0" collapsed="false">
      <c r="A131" s="0" t="n">
        <f aca="false">1+A130</f>
        <v>130</v>
      </c>
      <c r="B131" s="0" t="n">
        <v>6.52643</v>
      </c>
    </row>
    <row r="132" customFormat="false" ht="13.8" hidden="false" customHeight="false" outlineLevel="0" collapsed="false">
      <c r="A132" s="0" t="n">
        <f aca="false">1+A131</f>
        <v>131</v>
      </c>
      <c r="B132" s="0" t="n">
        <v>6.50052</v>
      </c>
    </row>
    <row r="133" customFormat="false" ht="13.8" hidden="false" customHeight="false" outlineLevel="0" collapsed="false">
      <c r="A133" s="0" t="n">
        <f aca="false">1+A132</f>
        <v>132</v>
      </c>
      <c r="B133" s="0" t="n">
        <v>6.47011</v>
      </c>
    </row>
    <row r="134" customFormat="false" ht="13.8" hidden="false" customHeight="false" outlineLevel="0" collapsed="false">
      <c r="A134" s="0" t="n">
        <f aca="false">1+A133</f>
        <v>133</v>
      </c>
      <c r="B134" s="0" t="n">
        <v>6.442</v>
      </c>
    </row>
    <row r="135" customFormat="false" ht="13.8" hidden="false" customHeight="false" outlineLevel="0" collapsed="false">
      <c r="A135" s="0" t="n">
        <f aca="false">1+A134</f>
        <v>134</v>
      </c>
      <c r="B135" s="0" t="n">
        <v>6.41451</v>
      </c>
    </row>
    <row r="136" customFormat="false" ht="13.8" hidden="false" customHeight="false" outlineLevel="0" collapsed="false">
      <c r="A136" s="0" t="n">
        <f aca="false">1+A135</f>
        <v>135</v>
      </c>
      <c r="B136" s="0" t="n">
        <v>6.38831</v>
      </c>
    </row>
    <row r="137" customFormat="false" ht="13.8" hidden="false" customHeight="false" outlineLevel="0" collapsed="false">
      <c r="A137" s="0" t="n">
        <f aca="false">1+A136</f>
        <v>136</v>
      </c>
      <c r="B137" s="0" t="n">
        <v>6.3571</v>
      </c>
    </row>
    <row r="138" customFormat="false" ht="13.8" hidden="false" customHeight="false" outlineLevel="0" collapsed="false">
      <c r="A138" s="0" t="n">
        <f aca="false">1+A137</f>
        <v>137</v>
      </c>
      <c r="B138" s="0" t="n">
        <v>6.32832</v>
      </c>
    </row>
    <row r="139" customFormat="false" ht="13.8" hidden="false" customHeight="false" outlineLevel="0" collapsed="false">
      <c r="A139" s="0" t="n">
        <f aca="false">1+A138</f>
        <v>138</v>
      </c>
      <c r="B139" s="0" t="n">
        <v>6.29835</v>
      </c>
    </row>
    <row r="140" customFormat="false" ht="13.8" hidden="false" customHeight="false" outlineLevel="0" collapsed="false">
      <c r="A140" s="0" t="n">
        <f aca="false">1+A139</f>
        <v>139</v>
      </c>
      <c r="B140" s="0" t="n">
        <v>6.27077</v>
      </c>
    </row>
    <row r="141" customFormat="false" ht="13.8" hidden="false" customHeight="false" outlineLevel="0" collapsed="false">
      <c r="A141" s="0" t="n">
        <f aca="false">1+A140</f>
        <v>140</v>
      </c>
      <c r="B141" s="0" t="n">
        <v>6.24242</v>
      </c>
    </row>
    <row r="142" customFormat="false" ht="13.8" hidden="false" customHeight="false" outlineLevel="0" collapsed="false">
      <c r="A142" s="0" t="n">
        <f aca="false">1+A141</f>
        <v>141</v>
      </c>
      <c r="B142" s="0" t="n">
        <v>6.21676</v>
      </c>
    </row>
    <row r="143" customFormat="false" ht="13.8" hidden="false" customHeight="false" outlineLevel="0" collapsed="false">
      <c r="A143" s="0" t="n">
        <f aca="false">1+A142</f>
        <v>142</v>
      </c>
      <c r="B143" s="0" t="n">
        <v>6.1904</v>
      </c>
    </row>
    <row r="144" customFormat="false" ht="13.8" hidden="false" customHeight="false" outlineLevel="0" collapsed="false">
      <c r="A144" s="0" t="n">
        <f aca="false">1+A143</f>
        <v>143</v>
      </c>
      <c r="B144" s="0" t="n">
        <v>6.16727</v>
      </c>
    </row>
    <row r="145" customFormat="false" ht="13.8" hidden="false" customHeight="false" outlineLevel="0" collapsed="false">
      <c r="A145" s="0" t="n">
        <f aca="false">1+A144</f>
        <v>144</v>
      </c>
      <c r="B145" s="0" t="n">
        <v>6.14039</v>
      </c>
    </row>
    <row r="146" customFormat="false" ht="13.8" hidden="false" customHeight="false" outlineLevel="0" collapsed="false">
      <c r="A146" s="0" t="n">
        <f aca="false">1+A145</f>
        <v>145</v>
      </c>
      <c r="B146" s="0" t="n">
        <v>6.11511</v>
      </c>
    </row>
    <row r="147" customFormat="false" ht="13.8" hidden="false" customHeight="false" outlineLevel="0" collapsed="false">
      <c r="A147" s="0" t="n">
        <f aca="false">1+A146</f>
        <v>146</v>
      </c>
      <c r="B147" s="0" t="n">
        <v>6.08688</v>
      </c>
    </row>
    <row r="148" customFormat="false" ht="13.8" hidden="false" customHeight="false" outlineLevel="0" collapsed="false">
      <c r="A148" s="0" t="n">
        <f aca="false">1+A147</f>
        <v>147</v>
      </c>
      <c r="B148" s="0" t="n">
        <v>6.06482</v>
      </c>
    </row>
    <row r="149" customFormat="false" ht="13.8" hidden="false" customHeight="false" outlineLevel="0" collapsed="false">
      <c r="A149" s="0" t="n">
        <f aca="false">1+A148</f>
        <v>148</v>
      </c>
      <c r="B149" s="0" t="n">
        <v>6.03937</v>
      </c>
    </row>
    <row r="150" customFormat="false" ht="13.8" hidden="false" customHeight="false" outlineLevel="0" collapsed="false">
      <c r="A150" s="0" t="n">
        <f aca="false">1+A149</f>
        <v>149</v>
      </c>
      <c r="B150" s="0" t="n">
        <v>6.01043</v>
      </c>
    </row>
    <row r="151" customFormat="false" ht="13.8" hidden="false" customHeight="false" outlineLevel="0" collapsed="false">
      <c r="A151" s="0" t="n">
        <f aca="false">1+A150</f>
        <v>150</v>
      </c>
      <c r="B151" s="0" t="n">
        <v>5.98282</v>
      </c>
    </row>
    <row r="152" customFormat="false" ht="13.8" hidden="false" customHeight="false" outlineLevel="0" collapsed="false">
      <c r="A152" s="0" t="n">
        <f aca="false">1+A151</f>
        <v>151</v>
      </c>
      <c r="B152" s="0" t="n">
        <v>5.95139</v>
      </c>
    </row>
    <row r="153" customFormat="false" ht="13.8" hidden="false" customHeight="false" outlineLevel="0" collapsed="false">
      <c r="A153" s="0" t="n">
        <f aca="false">1+A152</f>
        <v>152</v>
      </c>
      <c r="B153" s="0" t="n">
        <v>5.92541</v>
      </c>
    </row>
    <row r="154" customFormat="false" ht="13.8" hidden="false" customHeight="false" outlineLevel="0" collapsed="false">
      <c r="A154" s="0" t="n">
        <f aca="false">1+A153</f>
        <v>153</v>
      </c>
      <c r="B154" s="0" t="n">
        <v>5.89911</v>
      </c>
    </row>
    <row r="155" customFormat="false" ht="13.8" hidden="false" customHeight="false" outlineLevel="0" collapsed="false">
      <c r="A155" s="0" t="n">
        <f aca="false">1+A154</f>
        <v>154</v>
      </c>
      <c r="B155" s="0" t="n">
        <v>5.8737</v>
      </c>
    </row>
    <row r="156" customFormat="false" ht="13.8" hidden="false" customHeight="false" outlineLevel="0" collapsed="false">
      <c r="A156" s="0" t="n">
        <f aca="false">1+A155</f>
        <v>155</v>
      </c>
      <c r="B156" s="0" t="n">
        <v>5.85059</v>
      </c>
    </row>
    <row r="157" customFormat="false" ht="13.8" hidden="false" customHeight="false" outlineLevel="0" collapsed="false">
      <c r="A157" s="0" t="n">
        <f aca="false">1+A156</f>
        <v>156</v>
      </c>
      <c r="B157" s="0" t="n">
        <v>5.82521</v>
      </c>
    </row>
    <row r="158" customFormat="false" ht="13.8" hidden="false" customHeight="false" outlineLevel="0" collapsed="false">
      <c r="A158" s="0" t="n">
        <f aca="false">1+A157</f>
        <v>157</v>
      </c>
      <c r="B158" s="0" t="n">
        <v>5.80033</v>
      </c>
    </row>
    <row r="159" customFormat="false" ht="13.8" hidden="false" customHeight="false" outlineLevel="0" collapsed="false">
      <c r="A159" s="0" t="n">
        <f aca="false">1+A158</f>
        <v>158</v>
      </c>
      <c r="B159" s="0" t="n">
        <v>5.77522</v>
      </c>
    </row>
    <row r="160" customFormat="false" ht="13.8" hidden="false" customHeight="false" outlineLevel="0" collapsed="false">
      <c r="A160" s="0" t="n">
        <f aca="false">1+A159</f>
        <v>159</v>
      </c>
      <c r="B160" s="0" t="n">
        <v>5.75068</v>
      </c>
    </row>
    <row r="161" customFormat="false" ht="13.8" hidden="false" customHeight="false" outlineLevel="0" collapsed="false">
      <c r="A161" s="0" t="n">
        <f aca="false">1+A160</f>
        <v>160</v>
      </c>
      <c r="B161" s="0" t="n">
        <v>5.72536</v>
      </c>
    </row>
    <row r="162" customFormat="false" ht="13.8" hidden="false" customHeight="false" outlineLevel="0" collapsed="false">
      <c r="A162" s="0" t="n">
        <f aca="false">1+A161</f>
        <v>161</v>
      </c>
      <c r="B162" s="0" t="n">
        <v>5.70041</v>
      </c>
    </row>
    <row r="163" customFormat="false" ht="13.8" hidden="false" customHeight="false" outlineLevel="0" collapsed="false">
      <c r="A163" s="0" t="n">
        <f aca="false">1+A162</f>
        <v>162</v>
      </c>
      <c r="B163" s="0" t="n">
        <v>5.67537</v>
      </c>
    </row>
    <row r="164" customFormat="false" ht="13.8" hidden="false" customHeight="false" outlineLevel="0" collapsed="false">
      <c r="A164" s="0" t="n">
        <f aca="false">1+A163</f>
        <v>163</v>
      </c>
      <c r="B164" s="0" t="n">
        <v>5.65179</v>
      </c>
    </row>
    <row r="165" customFormat="false" ht="13.8" hidden="false" customHeight="false" outlineLevel="0" collapsed="false">
      <c r="A165" s="0" t="n">
        <f aca="false">1+A164</f>
        <v>164</v>
      </c>
      <c r="B165" s="0" t="n">
        <v>5.62983</v>
      </c>
    </row>
    <row r="166" customFormat="false" ht="13.8" hidden="false" customHeight="false" outlineLevel="0" collapsed="false">
      <c r="A166" s="0" t="n">
        <f aca="false">1+A165</f>
        <v>165</v>
      </c>
      <c r="B166" s="0" t="n">
        <v>5.60709</v>
      </c>
    </row>
    <row r="167" customFormat="false" ht="13.8" hidden="false" customHeight="false" outlineLevel="0" collapsed="false">
      <c r="A167" s="0" t="n">
        <f aca="false">1+A166</f>
        <v>166</v>
      </c>
      <c r="B167" s="0" t="n">
        <v>5.58792</v>
      </c>
    </row>
    <row r="168" customFormat="false" ht="13.8" hidden="false" customHeight="false" outlineLevel="0" collapsed="false">
      <c r="A168" s="0" t="n">
        <f aca="false">1+A167</f>
        <v>167</v>
      </c>
      <c r="B168" s="0" t="n">
        <v>5.55962</v>
      </c>
    </row>
    <row r="169" customFormat="false" ht="13.8" hidden="false" customHeight="false" outlineLevel="0" collapsed="false">
      <c r="A169" s="0" t="n">
        <f aca="false">1+A168</f>
        <v>168</v>
      </c>
      <c r="B169" s="0" t="n">
        <v>5.54222</v>
      </c>
    </row>
    <row r="170" customFormat="false" ht="13.8" hidden="false" customHeight="false" outlineLevel="0" collapsed="false">
      <c r="A170" s="0" t="n">
        <f aca="false">1+A169</f>
        <v>169</v>
      </c>
      <c r="B170" s="0" t="n">
        <v>5.51948</v>
      </c>
    </row>
    <row r="171" customFormat="false" ht="13.8" hidden="false" customHeight="false" outlineLevel="0" collapsed="false">
      <c r="A171" s="0" t="n">
        <f aca="false">1+A170</f>
        <v>170</v>
      </c>
      <c r="B171" s="0" t="n">
        <v>5.4924</v>
      </c>
    </row>
    <row r="172" customFormat="false" ht="13.8" hidden="false" customHeight="false" outlineLevel="0" collapsed="false">
      <c r="A172" s="0" t="n">
        <f aca="false">1+A171</f>
        <v>171</v>
      </c>
      <c r="B172" s="0" t="n">
        <v>5.4707</v>
      </c>
    </row>
    <row r="173" customFormat="false" ht="13.8" hidden="false" customHeight="false" outlineLevel="0" collapsed="false">
      <c r="A173" s="0" t="n">
        <f aca="false">1+A172</f>
        <v>172</v>
      </c>
      <c r="B173" s="0" t="n">
        <v>5.44775</v>
      </c>
    </row>
    <row r="174" customFormat="false" ht="13.8" hidden="false" customHeight="false" outlineLevel="0" collapsed="false">
      <c r="A174" s="0" t="n">
        <f aca="false">1+A173</f>
        <v>173</v>
      </c>
      <c r="B174" s="0" t="n">
        <v>5.4251</v>
      </c>
    </row>
    <row r="175" customFormat="false" ht="13.8" hidden="false" customHeight="false" outlineLevel="0" collapsed="false">
      <c r="A175" s="0" t="n">
        <f aca="false">1+A174</f>
        <v>174</v>
      </c>
      <c r="B175" s="0" t="n">
        <v>5.40211</v>
      </c>
    </row>
    <row r="176" customFormat="false" ht="13.8" hidden="false" customHeight="false" outlineLevel="0" collapsed="false">
      <c r="A176" s="0" t="n">
        <f aca="false">1+A175</f>
        <v>175</v>
      </c>
      <c r="B176" s="0" t="n">
        <v>5.37638</v>
      </c>
    </row>
    <row r="177" customFormat="false" ht="13.8" hidden="false" customHeight="false" outlineLevel="0" collapsed="false">
      <c r="A177" s="0" t="n">
        <f aca="false">1+A176</f>
        <v>176</v>
      </c>
      <c r="B177" s="0" t="n">
        <v>5.35183</v>
      </c>
    </row>
    <row r="178" customFormat="false" ht="13.8" hidden="false" customHeight="false" outlineLevel="0" collapsed="false">
      <c r="A178" s="0" t="n">
        <f aca="false">1+A177</f>
        <v>177</v>
      </c>
      <c r="B178" s="0" t="n">
        <v>5.3322</v>
      </c>
    </row>
    <row r="179" customFormat="false" ht="13.8" hidden="false" customHeight="false" outlineLevel="0" collapsed="false">
      <c r="A179" s="0" t="n">
        <f aca="false">1+A178</f>
        <v>178</v>
      </c>
      <c r="B179" s="0" t="n">
        <v>5.30882</v>
      </c>
    </row>
    <row r="180" customFormat="false" ht="13.8" hidden="false" customHeight="false" outlineLevel="0" collapsed="false">
      <c r="A180" s="0" t="n">
        <f aca="false">1+A179</f>
        <v>179</v>
      </c>
      <c r="B180" s="0" t="n">
        <v>5.28694</v>
      </c>
    </row>
    <row r="181" customFormat="false" ht="13.8" hidden="false" customHeight="false" outlineLevel="0" collapsed="false">
      <c r="A181" s="0" t="n">
        <f aca="false">1+A180</f>
        <v>180</v>
      </c>
      <c r="B181" s="0" t="n">
        <v>5.26216</v>
      </c>
    </row>
    <row r="182" customFormat="false" ht="13.8" hidden="false" customHeight="false" outlineLevel="0" collapsed="false">
      <c r="A182" s="0" t="n">
        <f aca="false">1+A181</f>
        <v>181</v>
      </c>
      <c r="B182" s="0" t="n">
        <v>5.24219</v>
      </c>
    </row>
    <row r="183" customFormat="false" ht="13.8" hidden="false" customHeight="false" outlineLevel="0" collapsed="false">
      <c r="A183" s="0" t="n">
        <f aca="false">1+A182</f>
        <v>182</v>
      </c>
      <c r="B183" s="0" t="n">
        <v>5.21742</v>
      </c>
    </row>
    <row r="184" customFormat="false" ht="13.8" hidden="false" customHeight="false" outlineLevel="0" collapsed="false">
      <c r="A184" s="0" t="n">
        <f aca="false">1+A183</f>
        <v>183</v>
      </c>
      <c r="B184" s="0" t="n">
        <v>5.19298</v>
      </c>
    </row>
    <row r="185" customFormat="false" ht="13.8" hidden="false" customHeight="false" outlineLevel="0" collapsed="false">
      <c r="A185" s="0" t="n">
        <f aca="false">1+A184</f>
        <v>184</v>
      </c>
      <c r="B185" s="0" t="n">
        <v>5.16813</v>
      </c>
    </row>
    <row r="186" customFormat="false" ht="13.8" hidden="false" customHeight="false" outlineLevel="0" collapsed="false">
      <c r="A186" s="0" t="n">
        <f aca="false">1+A185</f>
        <v>185</v>
      </c>
      <c r="B186" s="0" t="n">
        <v>5.14739</v>
      </c>
    </row>
    <row r="187" customFormat="false" ht="13.8" hidden="false" customHeight="false" outlineLevel="0" collapsed="false">
      <c r="A187" s="0" t="n">
        <f aca="false">1+A186</f>
        <v>186</v>
      </c>
      <c r="B187" s="0" t="n">
        <v>5.12624</v>
      </c>
    </row>
    <row r="188" customFormat="false" ht="13.8" hidden="false" customHeight="false" outlineLevel="0" collapsed="false">
      <c r="A188" s="0" t="n">
        <f aca="false">1+A187</f>
        <v>187</v>
      </c>
      <c r="B188" s="0" t="n">
        <v>5.10736</v>
      </c>
    </row>
    <row r="189" customFormat="false" ht="13.8" hidden="false" customHeight="false" outlineLevel="0" collapsed="false">
      <c r="A189" s="0" t="n">
        <f aca="false">1+A188</f>
        <v>188</v>
      </c>
      <c r="B189" s="0" t="n">
        <v>5.08107</v>
      </c>
    </row>
    <row r="190" customFormat="false" ht="13.8" hidden="false" customHeight="false" outlineLevel="0" collapsed="false">
      <c r="A190" s="0" t="n">
        <f aca="false">1+A189</f>
        <v>189</v>
      </c>
      <c r="B190" s="0" t="n">
        <v>5.06156</v>
      </c>
    </row>
    <row r="191" customFormat="false" ht="13.8" hidden="false" customHeight="false" outlineLevel="0" collapsed="false">
      <c r="A191" s="0" t="n">
        <f aca="false">1+A190</f>
        <v>190</v>
      </c>
      <c r="B191" s="0" t="n">
        <v>5.04708</v>
      </c>
    </row>
    <row r="192" customFormat="false" ht="13.8" hidden="false" customHeight="false" outlineLevel="0" collapsed="false">
      <c r="A192" s="0" t="n">
        <f aca="false">1+A191</f>
        <v>191</v>
      </c>
      <c r="B192" s="0" t="n">
        <v>5.02214</v>
      </c>
    </row>
    <row r="193" customFormat="false" ht="13.8" hidden="false" customHeight="false" outlineLevel="0" collapsed="false">
      <c r="A193" s="0" t="n">
        <f aca="false">1+A192</f>
        <v>192</v>
      </c>
      <c r="B193" s="0" t="n">
        <v>5.00361</v>
      </c>
    </row>
    <row r="194" customFormat="false" ht="13.8" hidden="false" customHeight="false" outlineLevel="0" collapsed="false">
      <c r="A194" s="0" t="n">
        <f aca="false">1+A193</f>
        <v>193</v>
      </c>
      <c r="B194" s="0" t="n">
        <v>4.98195</v>
      </c>
    </row>
    <row r="195" customFormat="false" ht="13.8" hidden="false" customHeight="false" outlineLevel="0" collapsed="false">
      <c r="A195" s="0" t="n">
        <f aca="false">1+A194</f>
        <v>194</v>
      </c>
      <c r="B195" s="0" t="n">
        <v>4.96188</v>
      </c>
    </row>
    <row r="196" customFormat="false" ht="13.8" hidden="false" customHeight="false" outlineLevel="0" collapsed="false">
      <c r="A196" s="0" t="n">
        <f aca="false">1+A195</f>
        <v>195</v>
      </c>
      <c r="B196" s="0" t="n">
        <v>4.9487</v>
      </c>
    </row>
    <row r="197" customFormat="false" ht="13.8" hidden="false" customHeight="false" outlineLevel="0" collapsed="false">
      <c r="A197" s="0" t="n">
        <f aca="false">1+A196</f>
        <v>196</v>
      </c>
      <c r="B197" s="0" t="n">
        <v>4.9286</v>
      </c>
    </row>
    <row r="198" customFormat="false" ht="13.8" hidden="false" customHeight="false" outlineLevel="0" collapsed="false">
      <c r="A198" s="0" t="n">
        <f aca="false">1+A197</f>
        <v>197</v>
      </c>
      <c r="B198" s="0" t="n">
        <v>4.91193</v>
      </c>
    </row>
    <row r="199" customFormat="false" ht="13.8" hidden="false" customHeight="false" outlineLevel="0" collapsed="false">
      <c r="A199" s="0" t="n">
        <f aca="false">1+A198</f>
        <v>198</v>
      </c>
      <c r="B199" s="0" t="n">
        <v>4.88909</v>
      </c>
    </row>
    <row r="200" customFormat="false" ht="13.8" hidden="false" customHeight="false" outlineLevel="0" collapsed="false">
      <c r="A200" s="0" t="n">
        <f aca="false">1+A199</f>
        <v>199</v>
      </c>
      <c r="B200" s="0" t="n">
        <v>4.86574</v>
      </c>
    </row>
    <row r="201" customFormat="false" ht="13.8" hidden="false" customHeight="false" outlineLevel="0" collapsed="false">
      <c r="A201" s="0" t="n">
        <f aca="false">1+A200</f>
        <v>200</v>
      </c>
      <c r="B201" s="0" t="n">
        <v>4.84833</v>
      </c>
    </row>
    <row r="202" customFormat="false" ht="13.8" hidden="false" customHeight="false" outlineLevel="0" collapsed="false">
      <c r="A202" s="0" t="n">
        <f aca="false">1+A201</f>
        <v>201</v>
      </c>
      <c r="B202" s="0" t="n">
        <v>4.83286</v>
      </c>
    </row>
    <row r="203" customFormat="false" ht="13.8" hidden="false" customHeight="false" outlineLevel="0" collapsed="false">
      <c r="A203" s="0" t="n">
        <f aca="false">1+A202</f>
        <v>202</v>
      </c>
      <c r="B203" s="0" t="n">
        <v>4.81292</v>
      </c>
    </row>
    <row r="204" customFormat="false" ht="13.8" hidden="false" customHeight="false" outlineLevel="0" collapsed="false">
      <c r="A204" s="0" t="n">
        <f aca="false">1+A203</f>
        <v>203</v>
      </c>
      <c r="B204" s="0" t="n">
        <v>4.79762</v>
      </c>
    </row>
    <row r="205" customFormat="false" ht="13.8" hidden="false" customHeight="false" outlineLevel="0" collapsed="false">
      <c r="A205" s="0" t="n">
        <f aca="false">1+A204</f>
        <v>204</v>
      </c>
      <c r="B205" s="0" t="n">
        <v>4.77348</v>
      </c>
    </row>
    <row r="206" customFormat="false" ht="13.8" hidden="false" customHeight="false" outlineLevel="0" collapsed="false">
      <c r="A206" s="0" t="n">
        <f aca="false">1+A205</f>
        <v>205</v>
      </c>
      <c r="B206" s="0" t="n">
        <v>4.75297</v>
      </c>
    </row>
    <row r="207" customFormat="false" ht="13.8" hidden="false" customHeight="false" outlineLevel="0" collapsed="false">
      <c r="A207" s="0" t="n">
        <f aca="false">1+A206</f>
        <v>206</v>
      </c>
      <c r="B207" s="0" t="n">
        <v>4.73353</v>
      </c>
    </row>
    <row r="208" customFormat="false" ht="13.8" hidden="false" customHeight="false" outlineLevel="0" collapsed="false">
      <c r="A208" s="0" t="n">
        <f aca="false">1+A207</f>
        <v>207</v>
      </c>
      <c r="B208" s="0" t="n">
        <v>4.71807</v>
      </c>
    </row>
    <row r="209" customFormat="false" ht="13.8" hidden="false" customHeight="false" outlineLevel="0" collapsed="false">
      <c r="A209" s="0" t="n">
        <f aca="false">1+A208</f>
        <v>208</v>
      </c>
      <c r="B209" s="0" t="n">
        <v>4.69437</v>
      </c>
    </row>
    <row r="210" customFormat="false" ht="13.8" hidden="false" customHeight="false" outlineLevel="0" collapsed="false">
      <c r="A210" s="0" t="n">
        <f aca="false">1+A209</f>
        <v>209</v>
      </c>
      <c r="B210" s="0" t="n">
        <v>4.67553</v>
      </c>
    </row>
    <row r="211" customFormat="false" ht="13.8" hidden="false" customHeight="false" outlineLevel="0" collapsed="false">
      <c r="A211" s="0" t="n">
        <f aca="false">1+A210</f>
        <v>210</v>
      </c>
      <c r="B211" s="0" t="n">
        <v>4.65923</v>
      </c>
    </row>
    <row r="212" customFormat="false" ht="13.8" hidden="false" customHeight="false" outlineLevel="0" collapsed="false">
      <c r="A212" s="0" t="n">
        <f aca="false">1+A211</f>
        <v>211</v>
      </c>
      <c r="B212" s="0" t="n">
        <v>4.64254</v>
      </c>
    </row>
    <row r="213" customFormat="false" ht="13.8" hidden="false" customHeight="false" outlineLevel="0" collapsed="false">
      <c r="A213" s="0" t="n">
        <f aca="false">1+A212</f>
        <v>212</v>
      </c>
      <c r="B213" s="0" t="n">
        <v>4.62769</v>
      </c>
    </row>
    <row r="214" customFormat="false" ht="13.8" hidden="false" customHeight="false" outlineLevel="0" collapsed="false">
      <c r="A214" s="0" t="n">
        <f aca="false">1+A213</f>
        <v>213</v>
      </c>
      <c r="B214" s="0" t="n">
        <v>4.61356</v>
      </c>
    </row>
    <row r="215" customFormat="false" ht="13.8" hidden="false" customHeight="false" outlineLevel="0" collapsed="false">
      <c r="A215" s="0" t="n">
        <f aca="false">1+A214</f>
        <v>214</v>
      </c>
      <c r="B215" s="0" t="n">
        <v>4.59239</v>
      </c>
    </row>
    <row r="216" customFormat="false" ht="13.8" hidden="false" customHeight="false" outlineLevel="0" collapsed="false">
      <c r="A216" s="0" t="n">
        <f aca="false">1+A215</f>
        <v>215</v>
      </c>
      <c r="B216" s="0" t="n">
        <v>4.56993</v>
      </c>
    </row>
    <row r="217" customFormat="false" ht="13.8" hidden="false" customHeight="false" outlineLevel="0" collapsed="false">
      <c r="A217" s="0" t="n">
        <f aca="false">1+A216</f>
        <v>216</v>
      </c>
      <c r="B217" s="0" t="n">
        <v>4.5497</v>
      </c>
    </row>
    <row r="218" customFormat="false" ht="13.8" hidden="false" customHeight="false" outlineLevel="0" collapsed="false">
      <c r="A218" s="0" t="n">
        <f aca="false">1+A217</f>
        <v>217</v>
      </c>
      <c r="B218" s="0" t="n">
        <v>4.52994</v>
      </c>
    </row>
    <row r="219" customFormat="false" ht="13.8" hidden="false" customHeight="false" outlineLevel="0" collapsed="false">
      <c r="A219" s="0" t="n">
        <f aca="false">1+A218</f>
        <v>218</v>
      </c>
      <c r="B219" s="0" t="n">
        <v>4.51066</v>
      </c>
    </row>
    <row r="220" customFormat="false" ht="13.8" hidden="false" customHeight="false" outlineLevel="0" collapsed="false">
      <c r="A220" s="0" t="n">
        <f aca="false">1+A219</f>
        <v>219</v>
      </c>
      <c r="B220" s="0" t="n">
        <v>4.49375</v>
      </c>
    </row>
    <row r="221" customFormat="false" ht="13.8" hidden="false" customHeight="false" outlineLevel="0" collapsed="false">
      <c r="A221" s="0" t="n">
        <f aca="false">1+A220</f>
        <v>220</v>
      </c>
      <c r="B221" s="0" t="n">
        <v>4.47487</v>
      </c>
    </row>
    <row r="222" customFormat="false" ht="13.8" hidden="false" customHeight="false" outlineLevel="0" collapsed="false">
      <c r="A222" s="0" t="n">
        <f aca="false">1+A221</f>
        <v>221</v>
      </c>
      <c r="B222" s="0" t="n">
        <v>4.45858</v>
      </c>
    </row>
    <row r="223" customFormat="false" ht="13.8" hidden="false" customHeight="false" outlineLevel="0" collapsed="false">
      <c r="A223" s="0" t="n">
        <f aca="false">1+A222</f>
        <v>222</v>
      </c>
      <c r="B223" s="0" t="n">
        <v>4.43543</v>
      </c>
    </row>
    <row r="224" customFormat="false" ht="13.8" hidden="false" customHeight="false" outlineLevel="0" collapsed="false">
      <c r="A224" s="0" t="n">
        <f aca="false">1+A223</f>
        <v>223</v>
      </c>
      <c r="B224" s="0" t="n">
        <v>4.41361</v>
      </c>
    </row>
    <row r="225" customFormat="false" ht="13.8" hidden="false" customHeight="false" outlineLevel="0" collapsed="false">
      <c r="A225" s="0" t="n">
        <f aca="false">1+A224</f>
        <v>224</v>
      </c>
      <c r="B225" s="0" t="n">
        <v>4.39956</v>
      </c>
    </row>
    <row r="226" customFormat="false" ht="13.8" hidden="false" customHeight="false" outlineLevel="0" collapsed="false">
      <c r="A226" s="0" t="n">
        <f aca="false">1+A225</f>
        <v>225</v>
      </c>
      <c r="B226" s="0" t="n">
        <v>4.3847</v>
      </c>
    </row>
    <row r="227" customFormat="false" ht="13.8" hidden="false" customHeight="false" outlineLevel="0" collapsed="false">
      <c r="A227" s="0" t="n">
        <f aca="false">1+A226</f>
        <v>226</v>
      </c>
      <c r="B227" s="0" t="n">
        <v>4.36685</v>
      </c>
    </row>
    <row r="228" customFormat="false" ht="13.8" hidden="false" customHeight="false" outlineLevel="0" collapsed="false">
      <c r="A228" s="0" t="n">
        <f aca="false">1+A227</f>
        <v>227</v>
      </c>
      <c r="B228" s="0" t="n">
        <v>4.3488</v>
      </c>
    </row>
    <row r="229" customFormat="false" ht="13.8" hidden="false" customHeight="false" outlineLevel="0" collapsed="false">
      <c r="A229" s="0" t="n">
        <f aca="false">1+A228</f>
        <v>228</v>
      </c>
      <c r="B229" s="0" t="n">
        <v>4.33422</v>
      </c>
    </row>
    <row r="230" customFormat="false" ht="13.8" hidden="false" customHeight="false" outlineLevel="0" collapsed="false">
      <c r="A230" s="0" t="n">
        <f aca="false">1+A229</f>
        <v>229</v>
      </c>
      <c r="B230" s="0" t="n">
        <v>4.31713</v>
      </c>
    </row>
    <row r="231" customFormat="false" ht="13.8" hidden="false" customHeight="false" outlineLevel="0" collapsed="false">
      <c r="A231" s="0" t="n">
        <f aca="false">1+A230</f>
        <v>230</v>
      </c>
      <c r="B231" s="0" t="n">
        <v>4.30737</v>
      </c>
    </row>
    <row r="232" customFormat="false" ht="13.8" hidden="false" customHeight="false" outlineLevel="0" collapsed="false">
      <c r="A232" s="0" t="n">
        <f aca="false">1+A231</f>
        <v>231</v>
      </c>
      <c r="B232" s="0" t="n">
        <v>4.28828</v>
      </c>
    </row>
    <row r="233" customFormat="false" ht="13.8" hidden="false" customHeight="false" outlineLevel="0" collapsed="false">
      <c r="A233" s="0" t="n">
        <f aca="false">1+A232</f>
        <v>232</v>
      </c>
      <c r="B233" s="0" t="n">
        <v>4.26912</v>
      </c>
    </row>
    <row r="234" customFormat="false" ht="13.8" hidden="false" customHeight="false" outlineLevel="0" collapsed="false">
      <c r="A234" s="0" t="n">
        <f aca="false">1+A233</f>
        <v>233</v>
      </c>
      <c r="B234" s="0" t="n">
        <v>4.25845</v>
      </c>
    </row>
    <row r="235" customFormat="false" ht="13.8" hidden="false" customHeight="false" outlineLevel="0" collapsed="false">
      <c r="A235" s="0" t="n">
        <f aca="false">1+A234</f>
        <v>234</v>
      </c>
      <c r="B235" s="0" t="n">
        <v>4.23727</v>
      </c>
    </row>
    <row r="236" customFormat="false" ht="13.8" hidden="false" customHeight="false" outlineLevel="0" collapsed="false">
      <c r="A236" s="0" t="n">
        <f aca="false">1+A235</f>
        <v>235</v>
      </c>
      <c r="B236" s="0" t="n">
        <v>4.22183</v>
      </c>
    </row>
    <row r="237" customFormat="false" ht="13.8" hidden="false" customHeight="false" outlineLevel="0" collapsed="false">
      <c r="A237" s="0" t="n">
        <f aca="false">1+A236</f>
        <v>236</v>
      </c>
      <c r="B237" s="0" t="n">
        <v>4.20777</v>
      </c>
    </row>
    <row r="238" customFormat="false" ht="13.8" hidden="false" customHeight="false" outlineLevel="0" collapsed="false">
      <c r="A238" s="0" t="n">
        <f aca="false">1+A237</f>
        <v>237</v>
      </c>
      <c r="B238" s="0" t="n">
        <v>4.18972</v>
      </c>
    </row>
    <row r="239" customFormat="false" ht="13.8" hidden="false" customHeight="false" outlineLevel="0" collapsed="false">
      <c r="A239" s="0" t="n">
        <f aca="false">1+A238</f>
        <v>238</v>
      </c>
      <c r="B239" s="0" t="n">
        <v>4.17344</v>
      </c>
    </row>
    <row r="240" customFormat="false" ht="13.8" hidden="false" customHeight="false" outlineLevel="0" collapsed="false">
      <c r="A240" s="0" t="n">
        <f aca="false">1+A239</f>
        <v>239</v>
      </c>
      <c r="B240" s="0" t="n">
        <v>4.15183</v>
      </c>
    </row>
    <row r="241" customFormat="false" ht="13.8" hidden="false" customHeight="false" outlineLevel="0" collapsed="false">
      <c r="A241" s="0" t="n">
        <f aca="false">1+A240</f>
        <v>240</v>
      </c>
      <c r="B241" s="0" t="n">
        <v>4.13512</v>
      </c>
    </row>
    <row r="242" customFormat="false" ht="13.8" hidden="false" customHeight="false" outlineLevel="0" collapsed="false">
      <c r="A242" s="0" t="n">
        <f aca="false">1+A241</f>
        <v>241</v>
      </c>
      <c r="B242" s="0" t="n">
        <v>4.11612</v>
      </c>
    </row>
    <row r="243" customFormat="false" ht="13.8" hidden="false" customHeight="false" outlineLevel="0" collapsed="false">
      <c r="A243" s="0" t="n">
        <f aca="false">1+A242</f>
        <v>242</v>
      </c>
      <c r="B243" s="0" t="n">
        <v>4.09697</v>
      </c>
    </row>
    <row r="244" customFormat="false" ht="13.8" hidden="false" customHeight="false" outlineLevel="0" collapsed="false">
      <c r="A244" s="0" t="n">
        <f aca="false">1+A243</f>
        <v>243</v>
      </c>
      <c r="B244" s="0" t="n">
        <v>4.08049</v>
      </c>
    </row>
    <row r="245" customFormat="false" ht="13.8" hidden="false" customHeight="false" outlineLevel="0" collapsed="false">
      <c r="A245" s="0" t="n">
        <f aca="false">1+A244</f>
        <v>244</v>
      </c>
      <c r="B245" s="0" t="n">
        <v>4.06316</v>
      </c>
    </row>
    <row r="246" customFormat="false" ht="13.8" hidden="false" customHeight="false" outlineLevel="0" collapsed="false">
      <c r="A246" s="0" t="n">
        <f aca="false">1+A245</f>
        <v>245</v>
      </c>
      <c r="B246" s="0" t="n">
        <v>4.04647</v>
      </c>
    </row>
    <row r="247" customFormat="false" ht="13.8" hidden="false" customHeight="false" outlineLevel="0" collapsed="false">
      <c r="A247" s="0" t="n">
        <f aca="false">1+A246</f>
        <v>246</v>
      </c>
      <c r="B247" s="0" t="n">
        <v>4.02902</v>
      </c>
    </row>
    <row r="248" customFormat="false" ht="13.8" hidden="false" customHeight="false" outlineLevel="0" collapsed="false">
      <c r="A248" s="0" t="n">
        <f aca="false">1+A247</f>
        <v>247</v>
      </c>
      <c r="B248" s="0" t="n">
        <v>4.01422</v>
      </c>
    </row>
    <row r="249" customFormat="false" ht="13.8" hidden="false" customHeight="false" outlineLevel="0" collapsed="false">
      <c r="A249" s="0" t="n">
        <f aca="false">1+A248</f>
        <v>248</v>
      </c>
      <c r="B249" s="0" t="n">
        <v>4.00389</v>
      </c>
    </row>
    <row r="250" customFormat="false" ht="13.8" hidden="false" customHeight="false" outlineLevel="0" collapsed="false">
      <c r="A250" s="0" t="n">
        <f aca="false">1+A249</f>
        <v>249</v>
      </c>
      <c r="B250" s="0" t="n">
        <v>3.98835</v>
      </c>
    </row>
    <row r="251" customFormat="false" ht="13.8" hidden="false" customHeight="false" outlineLevel="0" collapsed="false">
      <c r="A251" s="0" t="n">
        <f aca="false">1+A250</f>
        <v>250</v>
      </c>
      <c r="B251" s="0" t="n">
        <v>3.97478</v>
      </c>
    </row>
    <row r="252" customFormat="false" ht="13.8" hidden="false" customHeight="false" outlineLevel="0" collapsed="false">
      <c r="A252" s="0" t="n">
        <f aca="false">1+A251</f>
        <v>251</v>
      </c>
      <c r="B252" s="0" t="n">
        <v>3.96178</v>
      </c>
    </row>
    <row r="253" customFormat="false" ht="13.8" hidden="false" customHeight="false" outlineLevel="0" collapsed="false">
      <c r="A253" s="0" t="n">
        <f aca="false">1+A252</f>
        <v>252</v>
      </c>
      <c r="B253" s="0" t="n">
        <v>3.94459</v>
      </c>
    </row>
    <row r="254" customFormat="false" ht="13.8" hidden="false" customHeight="false" outlineLevel="0" collapsed="false">
      <c r="A254" s="0" t="n">
        <f aca="false">1+A253</f>
        <v>253</v>
      </c>
      <c r="B254" s="0" t="n">
        <v>3.92654</v>
      </c>
    </row>
    <row r="255" customFormat="false" ht="13.8" hidden="false" customHeight="false" outlineLevel="0" collapsed="false">
      <c r="A255" s="0" t="n">
        <f aca="false">1+A254</f>
        <v>254</v>
      </c>
      <c r="B255" s="0" t="n">
        <v>3.9087</v>
      </c>
    </row>
    <row r="256" customFormat="false" ht="13.8" hidden="false" customHeight="false" outlineLevel="0" collapsed="false">
      <c r="A256" s="0" t="n">
        <f aca="false">1+A255</f>
        <v>255</v>
      </c>
      <c r="B256" s="0" t="n">
        <v>3.89492</v>
      </c>
    </row>
    <row r="257" customFormat="false" ht="13.8" hidden="false" customHeight="false" outlineLevel="0" collapsed="false">
      <c r="A257" s="0" t="n">
        <f aca="false">1+A256</f>
        <v>256</v>
      </c>
      <c r="B257" s="0" t="n">
        <v>3.88317</v>
      </c>
    </row>
    <row r="258" customFormat="false" ht="13.8" hidden="false" customHeight="false" outlineLevel="0" collapsed="false">
      <c r="A258" s="0" t="n">
        <f aca="false">1+A257</f>
        <v>257</v>
      </c>
      <c r="B258" s="0" t="n">
        <v>3.86568</v>
      </c>
    </row>
    <row r="259" customFormat="false" ht="13.8" hidden="false" customHeight="false" outlineLevel="0" collapsed="false">
      <c r="A259" s="0" t="n">
        <f aca="false">1+A258</f>
        <v>258</v>
      </c>
      <c r="B259" s="0" t="n">
        <v>3.85149</v>
      </c>
    </row>
    <row r="260" customFormat="false" ht="13.8" hidden="false" customHeight="false" outlineLevel="0" collapsed="false">
      <c r="A260" s="0" t="n">
        <f aca="false">1+A259</f>
        <v>259</v>
      </c>
      <c r="B260" s="0" t="n">
        <v>3.83747</v>
      </c>
    </row>
    <row r="261" customFormat="false" ht="13.8" hidden="false" customHeight="false" outlineLevel="0" collapsed="false">
      <c r="A261" s="0" t="n">
        <f aca="false">1+A260</f>
        <v>260</v>
      </c>
      <c r="B261" s="0" t="n">
        <v>3.82424</v>
      </c>
    </row>
    <row r="262" customFormat="false" ht="13.8" hidden="false" customHeight="false" outlineLevel="0" collapsed="false">
      <c r="A262" s="0" t="n">
        <f aca="false">1+A261</f>
        <v>261</v>
      </c>
      <c r="B262" s="0" t="n">
        <v>3.80569</v>
      </c>
    </row>
    <row r="263" customFormat="false" ht="13.8" hidden="false" customHeight="false" outlineLevel="0" collapsed="false">
      <c r="A263" s="0" t="n">
        <f aca="false">1+A262</f>
        <v>262</v>
      </c>
      <c r="B263" s="0" t="n">
        <v>3.78874</v>
      </c>
    </row>
    <row r="264" customFormat="false" ht="13.8" hidden="false" customHeight="false" outlineLevel="0" collapsed="false">
      <c r="A264" s="0" t="n">
        <f aca="false">1+A263</f>
        <v>263</v>
      </c>
      <c r="B264" s="0" t="n">
        <v>3.76927</v>
      </c>
    </row>
    <row r="265" customFormat="false" ht="13.8" hidden="false" customHeight="false" outlineLevel="0" collapsed="false">
      <c r="A265" s="0" t="n">
        <f aca="false">1+A264</f>
        <v>264</v>
      </c>
      <c r="B265" s="0" t="n">
        <v>3.75862</v>
      </c>
    </row>
    <row r="266" customFormat="false" ht="13.8" hidden="false" customHeight="false" outlineLevel="0" collapsed="false">
      <c r="A266" s="0" t="n">
        <f aca="false">1+A265</f>
        <v>265</v>
      </c>
      <c r="B266" s="0" t="n">
        <v>3.74445</v>
      </c>
    </row>
    <row r="267" customFormat="false" ht="13.8" hidden="false" customHeight="false" outlineLevel="0" collapsed="false">
      <c r="A267" s="0" t="n">
        <f aca="false">1+A266</f>
        <v>266</v>
      </c>
      <c r="B267" s="0" t="n">
        <v>3.73472</v>
      </c>
    </row>
    <row r="268" customFormat="false" ht="13.8" hidden="false" customHeight="false" outlineLevel="0" collapsed="false">
      <c r="A268" s="0" t="n">
        <f aca="false">1+A267</f>
        <v>267</v>
      </c>
      <c r="B268" s="0" t="n">
        <v>3.72079</v>
      </c>
    </row>
    <row r="269" customFormat="false" ht="13.8" hidden="false" customHeight="false" outlineLevel="0" collapsed="false">
      <c r="A269" s="0" t="n">
        <f aca="false">1+A268</f>
        <v>268</v>
      </c>
      <c r="B269" s="0" t="n">
        <v>3.704</v>
      </c>
    </row>
    <row r="270" customFormat="false" ht="13.8" hidden="false" customHeight="false" outlineLevel="0" collapsed="false">
      <c r="A270" s="0" t="n">
        <f aca="false">1+A269</f>
        <v>269</v>
      </c>
      <c r="B270" s="0" t="n">
        <v>3.69346</v>
      </c>
    </row>
    <row r="271" customFormat="false" ht="13.8" hidden="false" customHeight="false" outlineLevel="0" collapsed="false">
      <c r="A271" s="0" t="n">
        <f aca="false">1+A270</f>
        <v>270</v>
      </c>
      <c r="B271" s="0" t="n">
        <v>3.67877</v>
      </c>
    </row>
    <row r="272" customFormat="false" ht="13.8" hidden="false" customHeight="false" outlineLevel="0" collapsed="false">
      <c r="A272" s="0" t="n">
        <f aca="false">1+A271</f>
        <v>271</v>
      </c>
      <c r="B272" s="0" t="n">
        <v>3.66001</v>
      </c>
    </row>
    <row r="273" customFormat="false" ht="13.8" hidden="false" customHeight="false" outlineLevel="0" collapsed="false">
      <c r="A273" s="0" t="n">
        <f aca="false">1+A272</f>
        <v>272</v>
      </c>
      <c r="B273" s="0" t="n">
        <v>3.64466</v>
      </c>
    </row>
    <row r="274" customFormat="false" ht="13.8" hidden="false" customHeight="false" outlineLevel="0" collapsed="false">
      <c r="A274" s="0" t="n">
        <f aca="false">1+A273</f>
        <v>273</v>
      </c>
      <c r="B274" s="0" t="n">
        <v>3.63127</v>
      </c>
    </row>
    <row r="275" customFormat="false" ht="13.8" hidden="false" customHeight="false" outlineLevel="0" collapsed="false">
      <c r="A275" s="0" t="n">
        <f aca="false">1+A274</f>
        <v>274</v>
      </c>
      <c r="B275" s="0" t="n">
        <v>3.61691</v>
      </c>
    </row>
    <row r="276" customFormat="false" ht="13.8" hidden="false" customHeight="false" outlineLevel="0" collapsed="false">
      <c r="A276" s="0" t="n">
        <f aca="false">1+A275</f>
        <v>275</v>
      </c>
      <c r="B276" s="0" t="n">
        <v>3.60132</v>
      </c>
    </row>
    <row r="277" customFormat="false" ht="13.8" hidden="false" customHeight="false" outlineLevel="0" collapsed="false">
      <c r="A277" s="0" t="n">
        <f aca="false">1+A276</f>
        <v>276</v>
      </c>
      <c r="B277" s="0" t="n">
        <v>3.58653</v>
      </c>
    </row>
    <row r="278" customFormat="false" ht="13.8" hidden="false" customHeight="false" outlineLevel="0" collapsed="false">
      <c r="A278" s="0" t="n">
        <f aca="false">1+A277</f>
        <v>277</v>
      </c>
      <c r="B278" s="0" t="n">
        <v>3.57062</v>
      </c>
    </row>
    <row r="279" customFormat="false" ht="13.8" hidden="false" customHeight="false" outlineLevel="0" collapsed="false">
      <c r="A279" s="0" t="n">
        <f aca="false">1+A278</f>
        <v>278</v>
      </c>
      <c r="B279" s="0" t="n">
        <v>3.5518</v>
      </c>
    </row>
    <row r="280" customFormat="false" ht="13.8" hidden="false" customHeight="false" outlineLevel="0" collapsed="false">
      <c r="A280" s="0" t="n">
        <f aca="false">1+A279</f>
        <v>279</v>
      </c>
      <c r="B280" s="0" t="n">
        <v>3.53933</v>
      </c>
    </row>
    <row r="281" customFormat="false" ht="13.8" hidden="false" customHeight="false" outlineLevel="0" collapsed="false">
      <c r="A281" s="0" t="n">
        <f aca="false">1+A280</f>
        <v>280</v>
      </c>
      <c r="B281" s="0" t="n">
        <v>3.52625</v>
      </c>
    </row>
    <row r="282" customFormat="false" ht="13.8" hidden="false" customHeight="false" outlineLevel="0" collapsed="false">
      <c r="A282" s="0" t="n">
        <f aca="false">1+A281</f>
        <v>281</v>
      </c>
      <c r="B282" s="0" t="n">
        <v>3.50648</v>
      </c>
    </row>
    <row r="283" customFormat="false" ht="13.8" hidden="false" customHeight="false" outlineLevel="0" collapsed="false">
      <c r="A283" s="0" t="n">
        <f aca="false">1+A282</f>
        <v>282</v>
      </c>
      <c r="B283" s="0" t="n">
        <v>3.49578</v>
      </c>
    </row>
    <row r="284" customFormat="false" ht="13.8" hidden="false" customHeight="false" outlineLevel="0" collapsed="false">
      <c r="A284" s="0" t="n">
        <f aca="false">1+A283</f>
        <v>283</v>
      </c>
      <c r="B284" s="0" t="n">
        <v>3.47968</v>
      </c>
    </row>
    <row r="285" customFormat="false" ht="13.8" hidden="false" customHeight="false" outlineLevel="0" collapsed="false">
      <c r="A285" s="0" t="n">
        <f aca="false">1+A284</f>
        <v>284</v>
      </c>
      <c r="B285" s="0" t="n">
        <v>3.46655</v>
      </c>
    </row>
    <row r="286" customFormat="false" ht="13.8" hidden="false" customHeight="false" outlineLevel="0" collapsed="false">
      <c r="A286" s="0" t="n">
        <f aca="false">1+A285</f>
        <v>285</v>
      </c>
      <c r="B286" s="0" t="n">
        <v>3.45416</v>
      </c>
    </row>
    <row r="287" customFormat="false" ht="13.8" hidden="false" customHeight="false" outlineLevel="0" collapsed="false">
      <c r="A287" s="0" t="n">
        <f aca="false">1+A286</f>
        <v>286</v>
      </c>
      <c r="B287" s="0" t="n">
        <v>3.44285</v>
      </c>
    </row>
    <row r="288" customFormat="false" ht="13.8" hidden="false" customHeight="false" outlineLevel="0" collapsed="false">
      <c r="A288" s="0" t="n">
        <f aca="false">1+A287</f>
        <v>287</v>
      </c>
      <c r="B288" s="0" t="n">
        <v>3.43151</v>
      </c>
    </row>
    <row r="289" customFormat="false" ht="13.8" hidden="false" customHeight="false" outlineLevel="0" collapsed="false">
      <c r="A289" s="0" t="n">
        <f aca="false">1+A288</f>
        <v>288</v>
      </c>
      <c r="B289" s="0" t="n">
        <v>3.41944</v>
      </c>
    </row>
    <row r="290" customFormat="false" ht="13.8" hidden="false" customHeight="false" outlineLevel="0" collapsed="false">
      <c r="A290" s="0" t="n">
        <f aca="false">1+A289</f>
        <v>289</v>
      </c>
      <c r="B290" s="0" t="n">
        <v>3.40521</v>
      </c>
    </row>
    <row r="291" customFormat="false" ht="13.8" hidden="false" customHeight="false" outlineLevel="0" collapsed="false">
      <c r="A291" s="0" t="n">
        <f aca="false">1+A290</f>
        <v>290</v>
      </c>
      <c r="B291" s="0" t="n">
        <v>3.39575</v>
      </c>
    </row>
    <row r="292" customFormat="false" ht="13.8" hidden="false" customHeight="false" outlineLevel="0" collapsed="false">
      <c r="A292" s="0" t="n">
        <f aca="false">1+A291</f>
        <v>291</v>
      </c>
      <c r="B292" s="0" t="n">
        <v>3.37981</v>
      </c>
    </row>
    <row r="293" customFormat="false" ht="13.8" hidden="false" customHeight="false" outlineLevel="0" collapsed="false">
      <c r="A293" s="0" t="n">
        <f aca="false">1+A292</f>
        <v>292</v>
      </c>
      <c r="B293" s="0" t="n">
        <v>3.36019</v>
      </c>
    </row>
    <row r="294" customFormat="false" ht="13.8" hidden="false" customHeight="false" outlineLevel="0" collapsed="false">
      <c r="A294" s="0" t="n">
        <f aca="false">1+A293</f>
        <v>293</v>
      </c>
      <c r="B294" s="0" t="n">
        <v>3.34957</v>
      </c>
    </row>
    <row r="295" customFormat="false" ht="13.8" hidden="false" customHeight="false" outlineLevel="0" collapsed="false">
      <c r="A295" s="0" t="n">
        <f aca="false">1+A294</f>
        <v>294</v>
      </c>
      <c r="B295" s="0" t="n">
        <v>3.33787</v>
      </c>
    </row>
    <row r="296" customFormat="false" ht="13.8" hidden="false" customHeight="false" outlineLevel="0" collapsed="false">
      <c r="A296" s="0" t="n">
        <f aca="false">1+A295</f>
        <v>295</v>
      </c>
      <c r="B296" s="0" t="n">
        <v>3.32333</v>
      </c>
    </row>
    <row r="297" customFormat="false" ht="13.8" hidden="false" customHeight="false" outlineLevel="0" collapsed="false">
      <c r="A297" s="0" t="n">
        <f aca="false">1+A296</f>
        <v>296</v>
      </c>
      <c r="B297" s="0" t="n">
        <v>3.31229</v>
      </c>
    </row>
    <row r="298" customFormat="false" ht="13.8" hidden="false" customHeight="false" outlineLevel="0" collapsed="false">
      <c r="A298" s="0" t="n">
        <f aca="false">1+A297</f>
        <v>297</v>
      </c>
      <c r="B298" s="0" t="n">
        <v>3.30194</v>
      </c>
    </row>
    <row r="299" customFormat="false" ht="13.8" hidden="false" customHeight="false" outlineLevel="0" collapsed="false">
      <c r="A299" s="0" t="n">
        <f aca="false">1+A298</f>
        <v>298</v>
      </c>
      <c r="B299" s="0" t="n">
        <v>3.2848</v>
      </c>
    </row>
    <row r="300" customFormat="false" ht="13.8" hidden="false" customHeight="false" outlineLevel="0" collapsed="false">
      <c r="A300" s="0" t="n">
        <f aca="false">1+A299</f>
        <v>299</v>
      </c>
      <c r="B300" s="0" t="n">
        <v>3.27646</v>
      </c>
    </row>
    <row r="301" customFormat="false" ht="13.8" hidden="false" customHeight="false" outlineLevel="0" collapsed="false">
      <c r="A301" s="0" t="n">
        <f aca="false">1+A300</f>
        <v>300</v>
      </c>
      <c r="B301" s="0" t="n">
        <v>3.26415</v>
      </c>
    </row>
    <row r="302" customFormat="false" ht="13.8" hidden="false" customHeight="false" outlineLevel="0" collapsed="false">
      <c r="A302" s="0" t="n">
        <f aca="false">1+A301</f>
        <v>301</v>
      </c>
      <c r="B302" s="0" t="n">
        <v>3.25213</v>
      </c>
    </row>
    <row r="303" customFormat="false" ht="13.8" hidden="false" customHeight="false" outlineLevel="0" collapsed="false">
      <c r="A303" s="0" t="n">
        <f aca="false">1+A302</f>
        <v>302</v>
      </c>
      <c r="B303" s="0" t="n">
        <v>3.23406</v>
      </c>
    </row>
    <row r="304" customFormat="false" ht="13.8" hidden="false" customHeight="false" outlineLevel="0" collapsed="false">
      <c r="A304" s="0" t="n">
        <f aca="false">1+A303</f>
        <v>303</v>
      </c>
      <c r="B304" s="0" t="n">
        <v>3.21682</v>
      </c>
    </row>
    <row r="305" customFormat="false" ht="13.8" hidden="false" customHeight="false" outlineLevel="0" collapsed="false">
      <c r="A305" s="0" t="n">
        <f aca="false">1+A304</f>
        <v>304</v>
      </c>
      <c r="B305" s="0" t="n">
        <v>3.20849</v>
      </c>
    </row>
    <row r="306" customFormat="false" ht="13.8" hidden="false" customHeight="false" outlineLevel="0" collapsed="false">
      <c r="A306" s="0" t="n">
        <f aca="false">1+A305</f>
        <v>305</v>
      </c>
      <c r="B306" s="0" t="n">
        <v>3.18996</v>
      </c>
    </row>
    <row r="307" customFormat="false" ht="13.8" hidden="false" customHeight="false" outlineLevel="0" collapsed="false">
      <c r="A307" s="0" t="n">
        <f aca="false">1+A306</f>
        <v>306</v>
      </c>
      <c r="B307" s="0" t="n">
        <v>3.17349</v>
      </c>
    </row>
    <row r="308" customFormat="false" ht="13.8" hidden="false" customHeight="false" outlineLevel="0" collapsed="false">
      <c r="A308" s="0" t="n">
        <f aca="false">1+A307</f>
        <v>307</v>
      </c>
      <c r="B308" s="0" t="n">
        <v>3.16468</v>
      </c>
    </row>
    <row r="309" customFormat="false" ht="13.8" hidden="false" customHeight="false" outlineLevel="0" collapsed="false">
      <c r="A309" s="0" t="n">
        <f aca="false">1+A308</f>
        <v>308</v>
      </c>
      <c r="B309" s="0" t="n">
        <v>3.15559</v>
      </c>
    </row>
    <row r="310" customFormat="false" ht="13.8" hidden="false" customHeight="false" outlineLevel="0" collapsed="false">
      <c r="A310" s="0" t="n">
        <f aca="false">1+A309</f>
        <v>309</v>
      </c>
      <c r="B310" s="0" t="n">
        <v>3.13128</v>
      </c>
    </row>
    <row r="311" customFormat="false" ht="13.8" hidden="false" customHeight="false" outlineLevel="0" collapsed="false">
      <c r="A311" s="0" t="n">
        <f aca="false">1+A310</f>
        <v>310</v>
      </c>
      <c r="B311" s="0" t="n">
        <v>3.11522</v>
      </c>
    </row>
    <row r="312" customFormat="false" ht="13.8" hidden="false" customHeight="false" outlineLevel="0" collapsed="false">
      <c r="A312" s="0" t="n">
        <f aca="false">1+A311</f>
        <v>311</v>
      </c>
      <c r="B312" s="0" t="n">
        <v>3.09908</v>
      </c>
    </row>
    <row r="313" customFormat="false" ht="13.8" hidden="false" customHeight="false" outlineLevel="0" collapsed="false">
      <c r="A313" s="0" t="n">
        <f aca="false">1+A312</f>
        <v>312</v>
      </c>
      <c r="B313" s="0" t="n">
        <v>3.08592</v>
      </c>
    </row>
    <row r="314" customFormat="false" ht="13.8" hidden="false" customHeight="false" outlineLevel="0" collapsed="false">
      <c r="A314" s="0" t="n">
        <f aca="false">1+A313</f>
        <v>313</v>
      </c>
      <c r="B314" s="0" t="n">
        <v>3.06906</v>
      </c>
    </row>
    <row r="315" customFormat="false" ht="13.8" hidden="false" customHeight="false" outlineLevel="0" collapsed="false">
      <c r="A315" s="0" t="n">
        <f aca="false">1+A314</f>
        <v>314</v>
      </c>
      <c r="B315" s="0" t="n">
        <v>3.06232</v>
      </c>
    </row>
    <row r="316" customFormat="false" ht="13.8" hidden="false" customHeight="false" outlineLevel="0" collapsed="false">
      <c r="A316" s="0" t="n">
        <f aca="false">1+A315</f>
        <v>315</v>
      </c>
      <c r="B316" s="0" t="n">
        <v>3.04972</v>
      </c>
    </row>
    <row r="317" customFormat="false" ht="13.8" hidden="false" customHeight="false" outlineLevel="0" collapsed="false">
      <c r="A317" s="0" t="n">
        <f aca="false">1+A316</f>
        <v>316</v>
      </c>
      <c r="B317" s="0" t="n">
        <v>3.03265</v>
      </c>
    </row>
    <row r="318" customFormat="false" ht="13.8" hidden="false" customHeight="false" outlineLevel="0" collapsed="false">
      <c r="A318" s="0" t="n">
        <f aca="false">1+A317</f>
        <v>317</v>
      </c>
      <c r="B318" s="0" t="n">
        <v>3.02114</v>
      </c>
    </row>
    <row r="319" customFormat="false" ht="13.8" hidden="false" customHeight="false" outlineLevel="0" collapsed="false">
      <c r="A319" s="0" t="n">
        <f aca="false">1+A318</f>
        <v>318</v>
      </c>
      <c r="B319" s="0" t="n">
        <v>3.00461</v>
      </c>
    </row>
    <row r="320" customFormat="false" ht="13.8" hidden="false" customHeight="false" outlineLevel="0" collapsed="false">
      <c r="A320" s="0" t="n">
        <f aca="false">1+A319</f>
        <v>319</v>
      </c>
      <c r="B320" s="0" t="n">
        <v>2.99313</v>
      </c>
    </row>
    <row r="321" customFormat="false" ht="13.8" hidden="false" customHeight="false" outlineLevel="0" collapsed="false">
      <c r="A321" s="0" t="n">
        <f aca="false">1+A320</f>
        <v>320</v>
      </c>
      <c r="B321" s="0" t="n">
        <v>2.97341</v>
      </c>
    </row>
    <row r="322" customFormat="false" ht="13.8" hidden="false" customHeight="false" outlineLevel="0" collapsed="false">
      <c r="A322" s="0" t="n">
        <f aca="false">1+A321</f>
        <v>321</v>
      </c>
      <c r="B322" s="0" t="n">
        <v>2.96126</v>
      </c>
    </row>
    <row r="323" customFormat="false" ht="13.8" hidden="false" customHeight="false" outlineLevel="0" collapsed="false">
      <c r="A323" s="0" t="n">
        <f aca="false">1+A322</f>
        <v>322</v>
      </c>
      <c r="B323" s="0" t="n">
        <v>2.9496</v>
      </c>
    </row>
    <row r="324" customFormat="false" ht="13.8" hidden="false" customHeight="false" outlineLevel="0" collapsed="false">
      <c r="A324" s="0" t="n">
        <f aca="false">1+A323</f>
        <v>323</v>
      </c>
      <c r="B324" s="0" t="n">
        <v>2.94119</v>
      </c>
    </row>
    <row r="325" customFormat="false" ht="13.8" hidden="false" customHeight="false" outlineLevel="0" collapsed="false">
      <c r="A325" s="0" t="n">
        <f aca="false">1+A324</f>
        <v>324</v>
      </c>
      <c r="B325" s="0" t="n">
        <v>2.92999</v>
      </c>
    </row>
    <row r="326" customFormat="false" ht="13.8" hidden="false" customHeight="false" outlineLevel="0" collapsed="false">
      <c r="A326" s="0" t="n">
        <f aca="false">1+A325</f>
        <v>325</v>
      </c>
      <c r="B326" s="0" t="n">
        <v>2.91687</v>
      </c>
    </row>
    <row r="327" customFormat="false" ht="13.8" hidden="false" customHeight="false" outlineLevel="0" collapsed="false">
      <c r="A327" s="0" t="n">
        <f aca="false">1+A326</f>
        <v>326</v>
      </c>
      <c r="B327" s="0" t="n">
        <v>2.90509</v>
      </c>
    </row>
    <row r="328" customFormat="false" ht="13.8" hidden="false" customHeight="false" outlineLevel="0" collapsed="false">
      <c r="A328" s="0" t="n">
        <f aca="false">1+A327</f>
        <v>327</v>
      </c>
      <c r="B328" s="0" t="n">
        <v>2.89373</v>
      </c>
    </row>
    <row r="329" customFormat="false" ht="13.8" hidden="false" customHeight="false" outlineLevel="0" collapsed="false">
      <c r="A329" s="0" t="n">
        <f aca="false">1+A328</f>
        <v>328</v>
      </c>
      <c r="B329" s="0" t="n">
        <v>2.88252</v>
      </c>
    </row>
    <row r="330" customFormat="false" ht="13.8" hidden="false" customHeight="false" outlineLevel="0" collapsed="false">
      <c r="A330" s="0" t="n">
        <f aca="false">1+A329</f>
        <v>329</v>
      </c>
      <c r="B330" s="0" t="n">
        <v>2.87265</v>
      </c>
    </row>
    <row r="331" customFormat="false" ht="13.8" hidden="false" customHeight="false" outlineLevel="0" collapsed="false">
      <c r="A331" s="0" t="n">
        <f aca="false">1+A330</f>
        <v>330</v>
      </c>
      <c r="B331" s="0" t="n">
        <v>2.85904</v>
      </c>
    </row>
    <row r="332" customFormat="false" ht="13.8" hidden="false" customHeight="false" outlineLevel="0" collapsed="false">
      <c r="A332" s="0" t="n">
        <f aca="false">1+A331</f>
        <v>331</v>
      </c>
      <c r="B332" s="0" t="n">
        <v>2.84452</v>
      </c>
    </row>
    <row r="333" customFormat="false" ht="13.8" hidden="false" customHeight="false" outlineLevel="0" collapsed="false">
      <c r="A333" s="0" t="n">
        <f aca="false">1+A332</f>
        <v>332</v>
      </c>
      <c r="B333" s="0" t="n">
        <v>2.83394</v>
      </c>
    </row>
    <row r="334" customFormat="false" ht="13.8" hidden="false" customHeight="false" outlineLevel="0" collapsed="false">
      <c r="A334" s="0" t="n">
        <f aca="false">1+A333</f>
        <v>333</v>
      </c>
      <c r="B334" s="0" t="n">
        <v>2.82894</v>
      </c>
    </row>
    <row r="335" customFormat="false" ht="13.8" hidden="false" customHeight="false" outlineLevel="0" collapsed="false">
      <c r="A335" s="0" t="n">
        <f aca="false">1+A334</f>
        <v>334</v>
      </c>
      <c r="B335" s="0" t="n">
        <v>2.81969</v>
      </c>
    </row>
    <row r="336" customFormat="false" ht="13.8" hidden="false" customHeight="false" outlineLevel="0" collapsed="false">
      <c r="A336" s="0" t="n">
        <f aca="false">1+A335</f>
        <v>335</v>
      </c>
      <c r="B336" s="0" t="n">
        <v>2.81558</v>
      </c>
    </row>
    <row r="337" customFormat="false" ht="13.8" hidden="false" customHeight="false" outlineLevel="0" collapsed="false">
      <c r="A337" s="0" t="n">
        <f aca="false">1+A336</f>
        <v>336</v>
      </c>
      <c r="B337" s="0" t="n">
        <v>2.80231</v>
      </c>
    </row>
    <row r="338" customFormat="false" ht="13.8" hidden="false" customHeight="false" outlineLevel="0" collapsed="false">
      <c r="A338" s="0" t="n">
        <f aca="false">1+A337</f>
        <v>337</v>
      </c>
      <c r="B338" s="0" t="n">
        <v>2.78515</v>
      </c>
    </row>
    <row r="339" customFormat="false" ht="13.8" hidden="false" customHeight="false" outlineLevel="0" collapsed="false">
      <c r="A339" s="0" t="n">
        <f aca="false">1+A338</f>
        <v>338</v>
      </c>
      <c r="B339" s="0" t="n">
        <v>2.77109</v>
      </c>
    </row>
    <row r="340" customFormat="false" ht="13.8" hidden="false" customHeight="false" outlineLevel="0" collapsed="false">
      <c r="A340" s="0" t="n">
        <f aca="false">1+A339</f>
        <v>339</v>
      </c>
      <c r="B340" s="0" t="n">
        <v>2.76222</v>
      </c>
    </row>
    <row r="341" customFormat="false" ht="13.8" hidden="false" customHeight="false" outlineLevel="0" collapsed="false">
      <c r="A341" s="0" t="n">
        <f aca="false">1+A340</f>
        <v>340</v>
      </c>
      <c r="B341" s="0" t="n">
        <v>2.75562</v>
      </c>
    </row>
    <row r="342" customFormat="false" ht="13.8" hidden="false" customHeight="false" outlineLevel="0" collapsed="false">
      <c r="A342" s="0" t="n">
        <f aca="false">1+A341</f>
        <v>341</v>
      </c>
      <c r="B342" s="0" t="n">
        <v>2.7473</v>
      </c>
    </row>
    <row r="343" customFormat="false" ht="13.8" hidden="false" customHeight="false" outlineLevel="0" collapsed="false">
      <c r="A343" s="0" t="n">
        <f aca="false">1+A342</f>
        <v>342</v>
      </c>
      <c r="B343" s="0" t="n">
        <v>2.73624</v>
      </c>
    </row>
    <row r="344" customFormat="false" ht="13.8" hidden="false" customHeight="false" outlineLevel="0" collapsed="false">
      <c r="A344" s="0" t="n">
        <f aca="false">1+A343</f>
        <v>343</v>
      </c>
      <c r="B344" s="0" t="n">
        <v>2.72356</v>
      </c>
    </row>
    <row r="345" customFormat="false" ht="13.8" hidden="false" customHeight="false" outlineLevel="0" collapsed="false">
      <c r="A345" s="0" t="n">
        <f aca="false">1+A344</f>
        <v>344</v>
      </c>
      <c r="B345" s="0" t="n">
        <v>2.71813</v>
      </c>
    </row>
    <row r="346" customFormat="false" ht="13.8" hidden="false" customHeight="false" outlineLevel="0" collapsed="false">
      <c r="A346" s="0" t="n">
        <f aca="false">1+A345</f>
        <v>345</v>
      </c>
      <c r="B346" s="0" t="n">
        <v>2.71028</v>
      </c>
    </row>
    <row r="347" customFormat="false" ht="13.8" hidden="false" customHeight="false" outlineLevel="0" collapsed="false">
      <c r="A347" s="0" t="n">
        <f aca="false">1+A346</f>
        <v>346</v>
      </c>
      <c r="B347" s="0" t="n">
        <v>2.69883</v>
      </c>
    </row>
    <row r="348" customFormat="false" ht="13.8" hidden="false" customHeight="false" outlineLevel="0" collapsed="false">
      <c r="A348" s="0" t="n">
        <f aca="false">1+A347</f>
        <v>347</v>
      </c>
      <c r="B348" s="0" t="n">
        <v>2.68696</v>
      </c>
    </row>
    <row r="349" customFormat="false" ht="13.8" hidden="false" customHeight="false" outlineLevel="0" collapsed="false">
      <c r="A349" s="0" t="n">
        <f aca="false">1+A348</f>
        <v>348</v>
      </c>
      <c r="B349" s="0" t="n">
        <v>2.67942</v>
      </c>
    </row>
    <row r="350" customFormat="false" ht="13.8" hidden="false" customHeight="false" outlineLevel="0" collapsed="false">
      <c r="A350" s="0" t="n">
        <f aca="false">1+A349</f>
        <v>349</v>
      </c>
      <c r="B350" s="0" t="n">
        <v>2.6717</v>
      </c>
    </row>
    <row r="351" customFormat="false" ht="13.8" hidden="false" customHeight="false" outlineLevel="0" collapsed="false">
      <c r="A351" s="0" t="n">
        <f aca="false">1+A350</f>
        <v>350</v>
      </c>
      <c r="B351" s="0" t="n">
        <v>2.66103</v>
      </c>
    </row>
    <row r="352" customFormat="false" ht="13.8" hidden="false" customHeight="false" outlineLevel="0" collapsed="false">
      <c r="A352" s="0" t="n">
        <f aca="false">1+A351</f>
        <v>351</v>
      </c>
      <c r="B352" s="0" t="n">
        <v>2.64734</v>
      </c>
    </row>
    <row r="353" customFormat="false" ht="13.8" hidden="false" customHeight="false" outlineLevel="0" collapsed="false">
      <c r="A353" s="0" t="n">
        <f aca="false">1+A352</f>
        <v>352</v>
      </c>
      <c r="B353" s="0" t="n">
        <v>2.63601</v>
      </c>
    </row>
    <row r="354" customFormat="false" ht="13.8" hidden="false" customHeight="false" outlineLevel="0" collapsed="false">
      <c r="A354" s="0" t="n">
        <f aca="false">1+A353</f>
        <v>353</v>
      </c>
      <c r="B354" s="0" t="n">
        <v>2.62062</v>
      </c>
    </row>
    <row r="355" customFormat="false" ht="13.8" hidden="false" customHeight="false" outlineLevel="0" collapsed="false">
      <c r="A355" s="0" t="n">
        <f aca="false">1+A354</f>
        <v>354</v>
      </c>
      <c r="B355" s="0" t="n">
        <v>2.60649</v>
      </c>
    </row>
    <row r="356" customFormat="false" ht="13.8" hidden="false" customHeight="false" outlineLevel="0" collapsed="false">
      <c r="A356" s="0" t="n">
        <f aca="false">1+A355</f>
        <v>355</v>
      </c>
      <c r="B356" s="0" t="n">
        <v>2.60091</v>
      </c>
    </row>
    <row r="357" customFormat="false" ht="13.8" hidden="false" customHeight="false" outlineLevel="0" collapsed="false">
      <c r="A357" s="0" t="n">
        <f aca="false">1+A356</f>
        <v>356</v>
      </c>
      <c r="B357" s="0" t="n">
        <v>2.59195</v>
      </c>
    </row>
    <row r="358" customFormat="false" ht="13.8" hidden="false" customHeight="false" outlineLevel="0" collapsed="false">
      <c r="A358" s="0" t="n">
        <f aca="false">1+A357</f>
        <v>357</v>
      </c>
      <c r="B358" s="0" t="n">
        <v>2.58052</v>
      </c>
    </row>
    <row r="359" customFormat="false" ht="13.8" hidden="false" customHeight="false" outlineLevel="0" collapsed="false">
      <c r="A359" s="0" t="n">
        <f aca="false">1+A358</f>
        <v>358</v>
      </c>
      <c r="B359" s="0" t="n">
        <v>2.57425</v>
      </c>
    </row>
    <row r="360" customFormat="false" ht="13.8" hidden="false" customHeight="false" outlineLevel="0" collapsed="false">
      <c r="A360" s="0" t="n">
        <f aca="false">1+A359</f>
        <v>359</v>
      </c>
      <c r="B360" s="0" t="n">
        <v>2.57101</v>
      </c>
    </row>
    <row r="361" customFormat="false" ht="13.8" hidden="false" customHeight="false" outlineLevel="0" collapsed="false">
      <c r="A361" s="0" t="n">
        <f aca="false">1+A360</f>
        <v>360</v>
      </c>
      <c r="B361" s="0" t="n">
        <v>2.56013</v>
      </c>
    </row>
    <row r="362" customFormat="false" ht="13.8" hidden="false" customHeight="false" outlineLevel="0" collapsed="false">
      <c r="A362" s="0" t="n">
        <f aca="false">1+A361</f>
        <v>361</v>
      </c>
      <c r="B362" s="0" t="n">
        <v>2.55335</v>
      </c>
    </row>
    <row r="363" customFormat="false" ht="13.8" hidden="false" customHeight="false" outlineLevel="0" collapsed="false">
      <c r="A363" s="0" t="n">
        <f aca="false">1+A362</f>
        <v>362</v>
      </c>
      <c r="B363" s="0" t="n">
        <v>2.54644</v>
      </c>
    </row>
    <row r="364" customFormat="false" ht="13.8" hidden="false" customHeight="false" outlineLevel="0" collapsed="false">
      <c r="A364" s="0" t="n">
        <f aca="false">1+A363</f>
        <v>363</v>
      </c>
      <c r="B364" s="0" t="n">
        <v>2.53543</v>
      </c>
    </row>
    <row r="365" customFormat="false" ht="13.8" hidden="false" customHeight="false" outlineLevel="0" collapsed="false">
      <c r="A365" s="0" t="n">
        <f aca="false">1+A364</f>
        <v>364</v>
      </c>
      <c r="B365" s="0" t="n">
        <v>2.52634</v>
      </c>
    </row>
    <row r="366" customFormat="false" ht="13.8" hidden="false" customHeight="false" outlineLevel="0" collapsed="false">
      <c r="A366" s="0" t="n">
        <f aca="false">1+A365</f>
        <v>365</v>
      </c>
      <c r="B366" s="0" t="n">
        <v>2.51828</v>
      </c>
    </row>
    <row r="367" customFormat="false" ht="13.8" hidden="false" customHeight="false" outlineLevel="0" collapsed="false">
      <c r="A367" s="0" t="n">
        <f aca="false">1+A366</f>
        <v>366</v>
      </c>
      <c r="B367" s="0" t="n">
        <v>2.50418</v>
      </c>
    </row>
    <row r="368" customFormat="false" ht="13.8" hidden="false" customHeight="false" outlineLevel="0" collapsed="false">
      <c r="A368" s="0" t="n">
        <f aca="false">1+A367</f>
        <v>367</v>
      </c>
      <c r="B368" s="0" t="n">
        <v>2.49468</v>
      </c>
    </row>
    <row r="369" customFormat="false" ht="13.8" hidden="false" customHeight="false" outlineLevel="0" collapsed="false">
      <c r="A369" s="0" t="n">
        <f aca="false">1+A368</f>
        <v>368</v>
      </c>
      <c r="B369" s="0" t="n">
        <v>2.48152</v>
      </c>
    </row>
    <row r="370" customFormat="false" ht="13.8" hidden="false" customHeight="false" outlineLevel="0" collapsed="false">
      <c r="A370" s="0" t="n">
        <f aca="false">1+A369</f>
        <v>369</v>
      </c>
      <c r="B370" s="0" t="n">
        <v>2.46765</v>
      </c>
    </row>
    <row r="371" customFormat="false" ht="13.8" hidden="false" customHeight="false" outlineLevel="0" collapsed="false">
      <c r="A371" s="0" t="n">
        <f aca="false">1+A370</f>
        <v>370</v>
      </c>
      <c r="B371" s="0" t="n">
        <v>2.45855</v>
      </c>
    </row>
    <row r="372" customFormat="false" ht="13.8" hidden="false" customHeight="false" outlineLevel="0" collapsed="false">
      <c r="A372" s="0" t="n">
        <f aca="false">1+A371</f>
        <v>371</v>
      </c>
      <c r="B372" s="0" t="n">
        <v>2.45144</v>
      </c>
    </row>
    <row r="373" customFormat="false" ht="13.8" hidden="false" customHeight="false" outlineLevel="0" collapsed="false">
      <c r="A373" s="0" t="n">
        <f aca="false">1+A372</f>
        <v>372</v>
      </c>
      <c r="B373" s="0" t="n">
        <v>2.44508</v>
      </c>
    </row>
    <row r="374" customFormat="false" ht="13.8" hidden="false" customHeight="false" outlineLevel="0" collapsed="false">
      <c r="A374" s="0" t="n">
        <f aca="false">1+A373</f>
        <v>373</v>
      </c>
      <c r="B374" s="0" t="n">
        <v>2.43419</v>
      </c>
    </row>
    <row r="375" customFormat="false" ht="13.8" hidden="false" customHeight="false" outlineLevel="0" collapsed="false">
      <c r="A375" s="0" t="n">
        <f aca="false">1+A374</f>
        <v>374</v>
      </c>
      <c r="B375" s="0" t="n">
        <v>2.42722</v>
      </c>
    </row>
    <row r="376" customFormat="false" ht="13.8" hidden="false" customHeight="false" outlineLevel="0" collapsed="false">
      <c r="A376" s="0" t="n">
        <f aca="false">1+A375</f>
        <v>375</v>
      </c>
      <c r="B376" s="0" t="n">
        <v>2.41757</v>
      </c>
    </row>
    <row r="377" customFormat="false" ht="13.8" hidden="false" customHeight="false" outlineLevel="0" collapsed="false">
      <c r="A377" s="0" t="n">
        <f aca="false">1+A376</f>
        <v>376</v>
      </c>
      <c r="B377" s="0" t="n">
        <v>2.40832</v>
      </c>
    </row>
    <row r="378" customFormat="false" ht="13.8" hidden="false" customHeight="false" outlineLevel="0" collapsed="false">
      <c r="A378" s="0" t="n">
        <f aca="false">1+A377</f>
        <v>377</v>
      </c>
      <c r="B378" s="0" t="n">
        <v>2.39758</v>
      </c>
    </row>
    <row r="379" customFormat="false" ht="13.8" hidden="false" customHeight="false" outlineLevel="0" collapsed="false">
      <c r="A379" s="0" t="n">
        <f aca="false">1+A378</f>
        <v>378</v>
      </c>
      <c r="B379" s="0" t="n">
        <v>2.39125</v>
      </c>
    </row>
    <row r="380" customFormat="false" ht="13.8" hidden="false" customHeight="false" outlineLevel="0" collapsed="false">
      <c r="A380" s="0" t="n">
        <f aca="false">1+A379</f>
        <v>379</v>
      </c>
      <c r="B380" s="0" t="n">
        <v>2.38084</v>
      </c>
    </row>
    <row r="381" customFormat="false" ht="13.8" hidden="false" customHeight="false" outlineLevel="0" collapsed="false">
      <c r="A381" s="0" t="n">
        <f aca="false">1+A380</f>
        <v>380</v>
      </c>
      <c r="B381" s="0" t="n">
        <v>2.3705</v>
      </c>
    </row>
    <row r="382" customFormat="false" ht="13.8" hidden="false" customHeight="false" outlineLevel="0" collapsed="false">
      <c r="A382" s="0" t="n">
        <f aca="false">1+A381</f>
        <v>381</v>
      </c>
      <c r="B382" s="0" t="n">
        <v>2.36129</v>
      </c>
    </row>
    <row r="383" customFormat="false" ht="13.8" hidden="false" customHeight="false" outlineLevel="0" collapsed="false">
      <c r="A383" s="0" t="n">
        <f aca="false">1+A382</f>
        <v>382</v>
      </c>
      <c r="B383" s="0" t="n">
        <v>2.35452</v>
      </c>
    </row>
    <row r="384" customFormat="false" ht="13.8" hidden="false" customHeight="false" outlineLevel="0" collapsed="false">
      <c r="A384" s="0" t="n">
        <f aca="false">1+A383</f>
        <v>383</v>
      </c>
      <c r="B384" s="0" t="n">
        <v>2.34489</v>
      </c>
    </row>
    <row r="385" customFormat="false" ht="13.8" hidden="false" customHeight="false" outlineLevel="0" collapsed="false">
      <c r="A385" s="0" t="n">
        <f aca="false">1+A384</f>
        <v>384</v>
      </c>
      <c r="B385" s="0" t="n">
        <v>2.33407</v>
      </c>
    </row>
    <row r="386" customFormat="false" ht="13.8" hidden="false" customHeight="false" outlineLevel="0" collapsed="false">
      <c r="A386" s="0" t="n">
        <f aca="false">1+A385</f>
        <v>385</v>
      </c>
      <c r="B386" s="0" t="n">
        <v>2.32292</v>
      </c>
    </row>
    <row r="387" customFormat="false" ht="13.8" hidden="false" customHeight="false" outlineLevel="0" collapsed="false">
      <c r="A387" s="0" t="n">
        <f aca="false">1+A386</f>
        <v>386</v>
      </c>
      <c r="B387" s="0" t="n">
        <v>2.312</v>
      </c>
    </row>
    <row r="388" customFormat="false" ht="13.8" hidden="false" customHeight="false" outlineLevel="0" collapsed="false">
      <c r="A388" s="0" t="n">
        <f aca="false">1+A387</f>
        <v>387</v>
      </c>
      <c r="B388" s="0" t="n">
        <v>2.30844</v>
      </c>
    </row>
    <row r="389" customFormat="false" ht="13.8" hidden="false" customHeight="false" outlineLevel="0" collapsed="false">
      <c r="A389" s="0" t="n">
        <f aca="false">1+A388</f>
        <v>388</v>
      </c>
      <c r="B389" s="0" t="n">
        <v>2.29669</v>
      </c>
    </row>
    <row r="390" customFormat="false" ht="13.8" hidden="false" customHeight="false" outlineLevel="0" collapsed="false">
      <c r="A390" s="0" t="n">
        <f aca="false">1+A389</f>
        <v>389</v>
      </c>
      <c r="B390" s="0" t="n">
        <v>2.28638</v>
      </c>
    </row>
    <row r="391" customFormat="false" ht="13.8" hidden="false" customHeight="false" outlineLevel="0" collapsed="false">
      <c r="A391" s="0" t="n">
        <f aca="false">1+A390</f>
        <v>390</v>
      </c>
      <c r="B391" s="0" t="n">
        <v>2.27272</v>
      </c>
    </row>
    <row r="392" customFormat="false" ht="13.8" hidden="false" customHeight="false" outlineLevel="0" collapsed="false">
      <c r="A392" s="0" t="n">
        <f aca="false">1+A391</f>
        <v>391</v>
      </c>
      <c r="B392" s="0" t="n">
        <v>2.26406</v>
      </c>
    </row>
    <row r="393" customFormat="false" ht="13.8" hidden="false" customHeight="false" outlineLevel="0" collapsed="false">
      <c r="A393" s="0" t="n">
        <f aca="false">1+A392</f>
        <v>392</v>
      </c>
      <c r="B393" s="0" t="n">
        <v>2.25777</v>
      </c>
    </row>
    <row r="394" customFormat="false" ht="13.8" hidden="false" customHeight="false" outlineLevel="0" collapsed="false">
      <c r="A394" s="0" t="n">
        <f aca="false">1+A393</f>
        <v>393</v>
      </c>
      <c r="B394" s="0" t="n">
        <v>2.25083</v>
      </c>
    </row>
    <row r="395" customFormat="false" ht="13.8" hidden="false" customHeight="false" outlineLevel="0" collapsed="false">
      <c r="A395" s="0" t="n">
        <f aca="false">1+A394</f>
        <v>394</v>
      </c>
      <c r="B395" s="0" t="n">
        <v>2.23898</v>
      </c>
    </row>
    <row r="396" customFormat="false" ht="13.8" hidden="false" customHeight="false" outlineLevel="0" collapsed="false">
      <c r="A396" s="0" t="n">
        <f aca="false">1+A395</f>
        <v>395</v>
      </c>
      <c r="B396" s="0" t="n">
        <v>2.23116</v>
      </c>
    </row>
    <row r="397" customFormat="false" ht="13.8" hidden="false" customHeight="false" outlineLevel="0" collapsed="false">
      <c r="A397" s="0" t="n">
        <f aca="false">1+A396</f>
        <v>396</v>
      </c>
      <c r="B397" s="0" t="n">
        <v>2.21947</v>
      </c>
    </row>
    <row r="398" customFormat="false" ht="13.8" hidden="false" customHeight="false" outlineLevel="0" collapsed="false">
      <c r="A398" s="0" t="n">
        <f aca="false">1+A397</f>
        <v>397</v>
      </c>
      <c r="B398" s="0" t="n">
        <v>2.21238</v>
      </c>
    </row>
    <row r="399" customFormat="false" ht="13.8" hidden="false" customHeight="false" outlineLevel="0" collapsed="false">
      <c r="A399" s="0" t="n">
        <f aca="false">1+A398</f>
        <v>398</v>
      </c>
      <c r="B399" s="0" t="n">
        <v>2.202</v>
      </c>
    </row>
    <row r="400" customFormat="false" ht="13.8" hidden="false" customHeight="false" outlineLevel="0" collapsed="false">
      <c r="A400" s="0" t="n">
        <f aca="false">1+A399</f>
        <v>399</v>
      </c>
      <c r="B400" s="0" t="n">
        <v>2.18525</v>
      </c>
    </row>
    <row r="401" customFormat="false" ht="13.8" hidden="false" customHeight="false" outlineLevel="0" collapsed="false">
      <c r="A401" s="0" t="n">
        <f aca="false">1+A400</f>
        <v>400</v>
      </c>
      <c r="B401" s="0" t="n">
        <v>2.17126</v>
      </c>
    </row>
    <row r="402" customFormat="false" ht="13.8" hidden="false" customHeight="false" outlineLevel="0" collapsed="false">
      <c r="A402" s="0" t="n">
        <f aca="false">1+A401</f>
        <v>401</v>
      </c>
      <c r="B402" s="0" t="n">
        <v>2.16132</v>
      </c>
    </row>
    <row r="403" customFormat="false" ht="13.8" hidden="false" customHeight="false" outlineLevel="0" collapsed="false">
      <c r="A403" s="0" t="n">
        <f aca="false">1+A402</f>
        <v>402</v>
      </c>
      <c r="B403" s="0" t="n">
        <v>2.15505</v>
      </c>
    </row>
    <row r="404" customFormat="false" ht="13.8" hidden="false" customHeight="false" outlineLevel="0" collapsed="false">
      <c r="A404" s="0" t="n">
        <f aca="false">1+A403</f>
        <v>403</v>
      </c>
      <c r="B404" s="0" t="n">
        <v>2.14898</v>
      </c>
    </row>
    <row r="405" customFormat="false" ht="13.8" hidden="false" customHeight="false" outlineLevel="0" collapsed="false">
      <c r="A405" s="0" t="n">
        <f aca="false">1+A404</f>
        <v>404</v>
      </c>
      <c r="B405" s="0" t="n">
        <v>2.13759</v>
      </c>
    </row>
    <row r="406" customFormat="false" ht="13.8" hidden="false" customHeight="false" outlineLevel="0" collapsed="false">
      <c r="A406" s="0" t="n">
        <f aca="false">1+A405</f>
        <v>405</v>
      </c>
      <c r="B406" s="0" t="n">
        <v>2.13065</v>
      </c>
    </row>
    <row r="407" customFormat="false" ht="13.8" hidden="false" customHeight="false" outlineLevel="0" collapsed="false">
      <c r="A407" s="0" t="n">
        <f aca="false">1+A406</f>
        <v>406</v>
      </c>
      <c r="B407" s="0" t="n">
        <v>2.11634</v>
      </c>
    </row>
    <row r="408" customFormat="false" ht="13.8" hidden="false" customHeight="false" outlineLevel="0" collapsed="false">
      <c r="A408" s="0" t="n">
        <f aca="false">1+A407</f>
        <v>407</v>
      </c>
      <c r="B408" s="0" t="n">
        <v>2.11244</v>
      </c>
    </row>
    <row r="409" customFormat="false" ht="13.8" hidden="false" customHeight="false" outlineLevel="0" collapsed="false">
      <c r="A409" s="0" t="n">
        <f aca="false">1+A408</f>
        <v>408</v>
      </c>
      <c r="B409" s="0" t="n">
        <v>2.09874</v>
      </c>
    </row>
    <row r="410" customFormat="false" ht="13.8" hidden="false" customHeight="false" outlineLevel="0" collapsed="false">
      <c r="A410" s="0" t="n">
        <f aca="false">1+A409</f>
        <v>409</v>
      </c>
      <c r="B410" s="0" t="n">
        <v>2.08877</v>
      </c>
    </row>
    <row r="411" customFormat="false" ht="13.8" hidden="false" customHeight="false" outlineLevel="0" collapsed="false">
      <c r="A411" s="0" t="n">
        <f aca="false">1+A410</f>
        <v>410</v>
      </c>
      <c r="B411" s="0" t="n">
        <v>2.07328</v>
      </c>
    </row>
    <row r="412" customFormat="false" ht="13.8" hidden="false" customHeight="false" outlineLevel="0" collapsed="false">
      <c r="A412" s="0" t="n">
        <f aca="false">1+A411</f>
        <v>411</v>
      </c>
      <c r="B412" s="0" t="n">
        <v>2.0624</v>
      </c>
    </row>
    <row r="413" customFormat="false" ht="13.8" hidden="false" customHeight="false" outlineLevel="0" collapsed="false">
      <c r="A413" s="0" t="n">
        <f aca="false">1+A412</f>
        <v>412</v>
      </c>
      <c r="B413" s="0" t="n">
        <v>2.05563</v>
      </c>
    </row>
    <row r="414" customFormat="false" ht="13.8" hidden="false" customHeight="false" outlineLevel="0" collapsed="false">
      <c r="A414" s="0" t="n">
        <f aca="false">1+A413</f>
        <v>413</v>
      </c>
      <c r="B414" s="0" t="n">
        <v>2.04256</v>
      </c>
    </row>
    <row r="415" customFormat="false" ht="13.8" hidden="false" customHeight="false" outlineLevel="0" collapsed="false">
      <c r="A415" s="0" t="n">
        <f aca="false">1+A414</f>
        <v>414</v>
      </c>
      <c r="B415" s="0" t="n">
        <v>2.04099</v>
      </c>
    </row>
    <row r="416" customFormat="false" ht="13.8" hidden="false" customHeight="false" outlineLevel="0" collapsed="false">
      <c r="A416" s="0" t="n">
        <f aca="false">1+A415</f>
        <v>415</v>
      </c>
      <c r="B416" s="0" t="n">
        <v>2.03411</v>
      </c>
    </row>
    <row r="417" customFormat="false" ht="13.8" hidden="false" customHeight="false" outlineLevel="0" collapsed="false">
      <c r="A417" s="0" t="n">
        <f aca="false">1+A416</f>
        <v>416</v>
      </c>
      <c r="B417" s="0" t="n">
        <v>2.02559</v>
      </c>
    </row>
    <row r="418" customFormat="false" ht="13.8" hidden="false" customHeight="false" outlineLevel="0" collapsed="false">
      <c r="A418" s="0" t="n">
        <f aca="false">1+A417</f>
        <v>417</v>
      </c>
      <c r="B418" s="0" t="n">
        <v>2.0282</v>
      </c>
    </row>
    <row r="419" customFormat="false" ht="13.8" hidden="false" customHeight="false" outlineLevel="0" collapsed="false">
      <c r="A419" s="0" t="n">
        <f aca="false">1+A418</f>
        <v>418</v>
      </c>
      <c r="B419" s="0" t="n">
        <v>2.01928</v>
      </c>
    </row>
    <row r="420" customFormat="false" ht="13.8" hidden="false" customHeight="false" outlineLevel="0" collapsed="false">
      <c r="A420" s="0" t="n">
        <f aca="false">1+A419</f>
        <v>419</v>
      </c>
      <c r="B420" s="0" t="n">
        <v>2.01212</v>
      </c>
    </row>
    <row r="421" customFormat="false" ht="13.8" hidden="false" customHeight="false" outlineLevel="0" collapsed="false">
      <c r="A421" s="0" t="n">
        <f aca="false">1+A420</f>
        <v>420</v>
      </c>
      <c r="B421" s="0" t="n">
        <v>2.00573</v>
      </c>
    </row>
    <row r="422" customFormat="false" ht="13.8" hidden="false" customHeight="false" outlineLevel="0" collapsed="false">
      <c r="A422" s="0" t="n">
        <f aca="false">1+A421</f>
        <v>421</v>
      </c>
      <c r="B422" s="0" t="n">
        <v>1.99561</v>
      </c>
    </row>
    <row r="423" customFormat="false" ht="13.8" hidden="false" customHeight="false" outlineLevel="0" collapsed="false">
      <c r="A423" s="0" t="n">
        <f aca="false">1+A422</f>
        <v>422</v>
      </c>
      <c r="B423" s="0" t="n">
        <v>1.99087</v>
      </c>
    </row>
    <row r="424" customFormat="false" ht="13.8" hidden="false" customHeight="false" outlineLevel="0" collapsed="false">
      <c r="A424" s="0" t="n">
        <f aca="false">1+A423</f>
        <v>423</v>
      </c>
      <c r="B424" s="0" t="n">
        <v>1.98212</v>
      </c>
    </row>
    <row r="425" customFormat="false" ht="13.8" hidden="false" customHeight="false" outlineLevel="0" collapsed="false">
      <c r="A425" s="0" t="n">
        <f aca="false">1+A424</f>
        <v>424</v>
      </c>
      <c r="B425" s="0" t="n">
        <v>1.97531</v>
      </c>
    </row>
    <row r="426" customFormat="false" ht="13.8" hidden="false" customHeight="false" outlineLevel="0" collapsed="false">
      <c r="A426" s="0" t="n">
        <f aca="false">1+A425</f>
        <v>425</v>
      </c>
      <c r="B426" s="0" t="n">
        <v>1.97166</v>
      </c>
    </row>
    <row r="427" customFormat="false" ht="13.8" hidden="false" customHeight="false" outlineLevel="0" collapsed="false">
      <c r="A427" s="0" t="n">
        <f aca="false">1+A426</f>
        <v>426</v>
      </c>
      <c r="B427" s="0" t="n">
        <v>1.96536</v>
      </c>
    </row>
    <row r="428" customFormat="false" ht="13.8" hidden="false" customHeight="false" outlineLevel="0" collapsed="false">
      <c r="A428" s="0" t="n">
        <f aca="false">1+A427</f>
        <v>427</v>
      </c>
      <c r="B428" s="0" t="n">
        <v>1.95895</v>
      </c>
    </row>
    <row r="429" customFormat="false" ht="13.8" hidden="false" customHeight="false" outlineLevel="0" collapsed="false">
      <c r="A429" s="0" t="n">
        <f aca="false">1+A428</f>
        <v>428</v>
      </c>
      <c r="B429" s="0" t="n">
        <v>1.95092</v>
      </c>
    </row>
    <row r="430" customFormat="false" ht="13.8" hidden="false" customHeight="false" outlineLevel="0" collapsed="false">
      <c r="A430" s="0" t="n">
        <f aca="false">1+A429</f>
        <v>429</v>
      </c>
      <c r="B430" s="0" t="n">
        <v>1.94069</v>
      </c>
    </row>
    <row r="431" customFormat="false" ht="13.8" hidden="false" customHeight="false" outlineLevel="0" collapsed="false">
      <c r="A431" s="0" t="n">
        <f aca="false">1+A430</f>
        <v>430</v>
      </c>
      <c r="B431" s="0" t="n">
        <v>1.93452</v>
      </c>
    </row>
    <row r="432" customFormat="false" ht="13.8" hidden="false" customHeight="false" outlineLevel="0" collapsed="false">
      <c r="A432" s="0" t="n">
        <f aca="false">1+A431</f>
        <v>431</v>
      </c>
      <c r="B432" s="0" t="n">
        <v>1.93614</v>
      </c>
    </row>
    <row r="433" customFormat="false" ht="13.8" hidden="false" customHeight="false" outlineLevel="0" collapsed="false">
      <c r="A433" s="0" t="n">
        <f aca="false">1+A432</f>
        <v>432</v>
      </c>
      <c r="B433" s="0" t="n">
        <v>1.93017</v>
      </c>
    </row>
    <row r="434" customFormat="false" ht="13.8" hidden="false" customHeight="false" outlineLevel="0" collapsed="false">
      <c r="A434" s="0" t="n">
        <f aca="false">1+A433</f>
        <v>433</v>
      </c>
      <c r="B434" s="0" t="n">
        <v>1.9261</v>
      </c>
    </row>
    <row r="435" customFormat="false" ht="13.8" hidden="false" customHeight="false" outlineLevel="0" collapsed="false">
      <c r="A435" s="0" t="n">
        <f aca="false">1+A434</f>
        <v>434</v>
      </c>
      <c r="B435" s="0" t="n">
        <v>1.91732</v>
      </c>
    </row>
    <row r="436" customFormat="false" ht="13.8" hidden="false" customHeight="false" outlineLevel="0" collapsed="false">
      <c r="A436" s="0" t="n">
        <f aca="false">1+A435</f>
        <v>435</v>
      </c>
      <c r="B436" s="0" t="n">
        <v>1.91916</v>
      </c>
    </row>
    <row r="437" customFormat="false" ht="13.8" hidden="false" customHeight="false" outlineLevel="0" collapsed="false">
      <c r="A437" s="0" t="n">
        <f aca="false">1+A436</f>
        <v>436</v>
      </c>
      <c r="B437" s="0" t="n">
        <v>1.91744</v>
      </c>
    </row>
    <row r="438" customFormat="false" ht="13.8" hidden="false" customHeight="false" outlineLevel="0" collapsed="false">
      <c r="A438" s="0" t="n">
        <f aca="false">1+A437</f>
        <v>437</v>
      </c>
      <c r="B438" s="0" t="n">
        <v>1.90723</v>
      </c>
    </row>
    <row r="439" customFormat="false" ht="13.8" hidden="false" customHeight="false" outlineLevel="0" collapsed="false">
      <c r="A439" s="0" t="n">
        <f aca="false">1+A438</f>
        <v>438</v>
      </c>
      <c r="B439" s="0" t="n">
        <v>1.90405</v>
      </c>
    </row>
    <row r="440" customFormat="false" ht="13.8" hidden="false" customHeight="false" outlineLevel="0" collapsed="false">
      <c r="A440" s="0" t="n">
        <f aca="false">1+A439</f>
        <v>439</v>
      </c>
      <c r="B440" s="0" t="n">
        <v>1.89011</v>
      </c>
    </row>
    <row r="441" customFormat="false" ht="13.8" hidden="false" customHeight="false" outlineLevel="0" collapsed="false">
      <c r="A441" s="0" t="n">
        <f aca="false">1+A440</f>
        <v>440</v>
      </c>
      <c r="B441" s="0" t="n">
        <v>1.88181</v>
      </c>
    </row>
    <row r="442" customFormat="false" ht="13.8" hidden="false" customHeight="false" outlineLevel="0" collapsed="false">
      <c r="A442" s="0" t="n">
        <f aca="false">1+A441</f>
        <v>441</v>
      </c>
      <c r="B442" s="0" t="n">
        <v>1.87754</v>
      </c>
    </row>
    <row r="443" customFormat="false" ht="13.8" hidden="false" customHeight="false" outlineLevel="0" collapsed="false">
      <c r="A443" s="0" t="n">
        <f aca="false">1+A442</f>
        <v>442</v>
      </c>
      <c r="B443" s="0" t="n">
        <v>1.86609</v>
      </c>
    </row>
    <row r="444" customFormat="false" ht="13.8" hidden="false" customHeight="false" outlineLevel="0" collapsed="false">
      <c r="A444" s="0" t="n">
        <f aca="false">1+A443</f>
        <v>443</v>
      </c>
      <c r="B444" s="0" t="n">
        <v>1.86345</v>
      </c>
    </row>
    <row r="445" customFormat="false" ht="13.8" hidden="false" customHeight="false" outlineLevel="0" collapsed="false">
      <c r="A445" s="0" t="n">
        <f aca="false">1+A444</f>
        <v>444</v>
      </c>
      <c r="B445" s="0" t="n">
        <v>1.86107</v>
      </c>
    </row>
    <row r="446" customFormat="false" ht="13.8" hidden="false" customHeight="false" outlineLevel="0" collapsed="false">
      <c r="A446" s="0" t="n">
        <f aca="false">1+A445</f>
        <v>445</v>
      </c>
      <c r="B446" s="0" t="n">
        <v>1.85655</v>
      </c>
    </row>
    <row r="447" customFormat="false" ht="13.8" hidden="false" customHeight="false" outlineLevel="0" collapsed="false">
      <c r="A447" s="0" t="n">
        <f aca="false">1+A446</f>
        <v>446</v>
      </c>
      <c r="B447" s="0" t="n">
        <v>1.85185</v>
      </c>
    </row>
    <row r="448" customFormat="false" ht="13.8" hidden="false" customHeight="false" outlineLevel="0" collapsed="false">
      <c r="A448" s="0" t="n">
        <f aca="false">1+A447</f>
        <v>447</v>
      </c>
      <c r="B448" s="0" t="n">
        <v>1.84963</v>
      </c>
    </row>
    <row r="449" customFormat="false" ht="13.8" hidden="false" customHeight="false" outlineLevel="0" collapsed="false">
      <c r="A449" s="0" t="n">
        <f aca="false">1+A448</f>
        <v>448</v>
      </c>
      <c r="B449" s="0" t="n">
        <v>1.84243</v>
      </c>
    </row>
    <row r="450" customFormat="false" ht="13.8" hidden="false" customHeight="false" outlineLevel="0" collapsed="false">
      <c r="A450" s="0" t="n">
        <f aca="false">1+A449</f>
        <v>449</v>
      </c>
      <c r="B450" s="0" t="n">
        <v>1.83473</v>
      </c>
    </row>
    <row r="451" customFormat="false" ht="13.8" hidden="false" customHeight="false" outlineLevel="0" collapsed="false">
      <c r="A451" s="0" t="n">
        <f aca="false">1+A450</f>
        <v>450</v>
      </c>
      <c r="B451" s="0" t="n">
        <v>1.82742</v>
      </c>
    </row>
    <row r="452" customFormat="false" ht="13.8" hidden="false" customHeight="false" outlineLevel="0" collapsed="false">
      <c r="A452" s="0" t="n">
        <f aca="false">1+A451</f>
        <v>451</v>
      </c>
      <c r="B452" s="0" t="n">
        <v>1.8194</v>
      </c>
    </row>
    <row r="453" customFormat="false" ht="13.8" hidden="false" customHeight="false" outlineLevel="0" collapsed="false">
      <c r="A453" s="0" t="n">
        <f aca="false">1+A452</f>
        <v>452</v>
      </c>
      <c r="B453" s="0" t="n">
        <v>1.80912</v>
      </c>
    </row>
    <row r="454" customFormat="false" ht="13.8" hidden="false" customHeight="false" outlineLevel="0" collapsed="false">
      <c r="A454" s="0" t="n">
        <f aca="false">1+A453</f>
        <v>453</v>
      </c>
      <c r="B454" s="0" t="n">
        <v>1.79978</v>
      </c>
    </row>
    <row r="455" customFormat="false" ht="13.8" hidden="false" customHeight="false" outlineLevel="0" collapsed="false">
      <c r="A455" s="0" t="n">
        <f aca="false">1+A454</f>
        <v>454</v>
      </c>
      <c r="B455" s="0" t="n">
        <v>1.79165</v>
      </c>
    </row>
    <row r="456" customFormat="false" ht="13.8" hidden="false" customHeight="false" outlineLevel="0" collapsed="false">
      <c r="A456" s="0" t="n">
        <f aca="false">1+A455</f>
        <v>455</v>
      </c>
      <c r="B456" s="0" t="n">
        <v>1.77865</v>
      </c>
    </row>
    <row r="457" customFormat="false" ht="13.8" hidden="false" customHeight="false" outlineLevel="0" collapsed="false">
      <c r="A457" s="0" t="n">
        <f aca="false">1+A456</f>
        <v>456</v>
      </c>
      <c r="B457" s="0" t="n">
        <v>1.76763</v>
      </c>
    </row>
    <row r="458" customFormat="false" ht="13.8" hidden="false" customHeight="false" outlineLevel="0" collapsed="false">
      <c r="A458" s="0" t="n">
        <f aca="false">1+A457</f>
        <v>457</v>
      </c>
      <c r="B458" s="0" t="n">
        <v>1.7607</v>
      </c>
    </row>
    <row r="459" customFormat="false" ht="13.8" hidden="false" customHeight="false" outlineLevel="0" collapsed="false">
      <c r="A459" s="0" t="n">
        <f aca="false">1+A458</f>
        <v>458</v>
      </c>
      <c r="B459" s="0" t="n">
        <v>1.75377</v>
      </c>
    </row>
    <row r="460" customFormat="false" ht="13.8" hidden="false" customHeight="false" outlineLevel="0" collapsed="false">
      <c r="A460" s="0" t="n">
        <f aca="false">1+A459</f>
        <v>459</v>
      </c>
      <c r="B460" s="0" t="n">
        <v>1.74307</v>
      </c>
    </row>
    <row r="461" customFormat="false" ht="13.8" hidden="false" customHeight="false" outlineLevel="0" collapsed="false">
      <c r="A461" s="0" t="n">
        <f aca="false">1+A460</f>
        <v>460</v>
      </c>
      <c r="B461" s="0" t="n">
        <v>1.74149</v>
      </c>
    </row>
    <row r="462" customFormat="false" ht="13.8" hidden="false" customHeight="false" outlineLevel="0" collapsed="false">
      <c r="A462" s="0" t="n">
        <f aca="false">1+A461</f>
        <v>461</v>
      </c>
      <c r="B462" s="0" t="n">
        <v>1.73445</v>
      </c>
    </row>
    <row r="463" customFormat="false" ht="13.8" hidden="false" customHeight="false" outlineLevel="0" collapsed="false">
      <c r="A463" s="0" t="n">
        <f aca="false">1+A462</f>
        <v>462</v>
      </c>
      <c r="B463" s="0" t="n">
        <v>1.73075</v>
      </c>
    </row>
    <row r="464" customFormat="false" ht="13.8" hidden="false" customHeight="false" outlineLevel="0" collapsed="false">
      <c r="A464" s="0" t="n">
        <f aca="false">1+A463</f>
        <v>463</v>
      </c>
      <c r="B464" s="0" t="n">
        <v>1.71809</v>
      </c>
    </row>
    <row r="465" customFormat="false" ht="13.8" hidden="false" customHeight="false" outlineLevel="0" collapsed="false">
      <c r="A465" s="0" t="n">
        <f aca="false">1+A464</f>
        <v>464</v>
      </c>
      <c r="B465" s="0" t="n">
        <v>1.71416</v>
      </c>
    </row>
    <row r="466" customFormat="false" ht="13.8" hidden="false" customHeight="false" outlineLevel="0" collapsed="false">
      <c r="A466" s="0" t="n">
        <f aca="false">1+A465</f>
        <v>465</v>
      </c>
      <c r="B466" s="0" t="n">
        <v>1.70688</v>
      </c>
    </row>
    <row r="467" customFormat="false" ht="13.8" hidden="false" customHeight="false" outlineLevel="0" collapsed="false">
      <c r="A467" s="0" t="n">
        <f aca="false">1+A466</f>
        <v>466</v>
      </c>
      <c r="B467" s="0" t="n">
        <v>1.70786</v>
      </c>
    </row>
    <row r="468" customFormat="false" ht="13.8" hidden="false" customHeight="false" outlineLevel="0" collapsed="false">
      <c r="A468" s="0" t="n">
        <f aca="false">1+A467</f>
        <v>467</v>
      </c>
      <c r="B468" s="0" t="n">
        <v>1.70047</v>
      </c>
    </row>
    <row r="469" customFormat="false" ht="13.8" hidden="false" customHeight="false" outlineLevel="0" collapsed="false">
      <c r="A469" s="0" t="n">
        <f aca="false">1+A468</f>
        <v>468</v>
      </c>
      <c r="B469" s="0" t="n">
        <v>1.69076</v>
      </c>
    </row>
    <row r="470" customFormat="false" ht="13.8" hidden="false" customHeight="false" outlineLevel="0" collapsed="false">
      <c r="A470" s="0" t="n">
        <f aca="false">1+A469</f>
        <v>469</v>
      </c>
      <c r="B470" s="0" t="n">
        <v>1.68366</v>
      </c>
    </row>
    <row r="471" customFormat="false" ht="13.8" hidden="false" customHeight="false" outlineLevel="0" collapsed="false">
      <c r="A471" s="0" t="n">
        <f aca="false">1+A470</f>
        <v>470</v>
      </c>
      <c r="B471" s="0" t="n">
        <v>1.67442</v>
      </c>
    </row>
    <row r="472" customFormat="false" ht="13.8" hidden="false" customHeight="false" outlineLevel="0" collapsed="false">
      <c r="A472" s="0" t="n">
        <f aca="false">1+A471</f>
        <v>471</v>
      </c>
      <c r="B472" s="0" t="n">
        <v>1.66798</v>
      </c>
    </row>
    <row r="473" customFormat="false" ht="13.8" hidden="false" customHeight="false" outlineLevel="0" collapsed="false">
      <c r="A473" s="0" t="n">
        <f aca="false">1+A472</f>
        <v>472</v>
      </c>
      <c r="B473" s="0" t="n">
        <v>1.66772</v>
      </c>
    </row>
    <row r="474" customFormat="false" ht="13.8" hidden="false" customHeight="false" outlineLevel="0" collapsed="false">
      <c r="A474" s="0" t="n">
        <f aca="false">1+A473</f>
        <v>473</v>
      </c>
      <c r="B474" s="0" t="n">
        <v>1.65772</v>
      </c>
    </row>
    <row r="475" customFormat="false" ht="13.8" hidden="false" customHeight="false" outlineLevel="0" collapsed="false">
      <c r="A475" s="0" t="n">
        <f aca="false">1+A474</f>
        <v>474</v>
      </c>
      <c r="B475" s="0" t="n">
        <v>1.64661</v>
      </c>
    </row>
    <row r="476" customFormat="false" ht="13.8" hidden="false" customHeight="false" outlineLevel="0" collapsed="false">
      <c r="A476" s="0" t="n">
        <f aca="false">1+A475</f>
        <v>475</v>
      </c>
      <c r="B476" s="0" t="n">
        <v>1.64278</v>
      </c>
    </row>
    <row r="477" customFormat="false" ht="13.8" hidden="false" customHeight="false" outlineLevel="0" collapsed="false">
      <c r="A477" s="0" t="n">
        <f aca="false">1+A476</f>
        <v>476</v>
      </c>
      <c r="B477" s="0" t="n">
        <v>1.64559</v>
      </c>
    </row>
    <row r="478" customFormat="false" ht="13.8" hidden="false" customHeight="false" outlineLevel="0" collapsed="false">
      <c r="A478" s="0" t="n">
        <f aca="false">1+A477</f>
        <v>477</v>
      </c>
      <c r="B478" s="0" t="n">
        <v>1.64449</v>
      </c>
    </row>
    <row r="479" customFormat="false" ht="13.8" hidden="false" customHeight="false" outlineLevel="0" collapsed="false">
      <c r="A479" s="0" t="n">
        <f aca="false">1+A478</f>
        <v>478</v>
      </c>
      <c r="B479" s="0" t="n">
        <v>1.64032</v>
      </c>
    </row>
    <row r="480" customFormat="false" ht="13.8" hidden="false" customHeight="false" outlineLevel="0" collapsed="false">
      <c r="A480" s="0" t="n">
        <f aca="false">1+A479</f>
        <v>479</v>
      </c>
      <c r="B480" s="0" t="n">
        <v>1.62877</v>
      </c>
    </row>
    <row r="481" customFormat="false" ht="13.8" hidden="false" customHeight="false" outlineLevel="0" collapsed="false">
      <c r="A481" s="0" t="n">
        <f aca="false">1+A480</f>
        <v>480</v>
      </c>
      <c r="B481" s="0" t="n">
        <v>1.62129</v>
      </c>
    </row>
    <row r="482" customFormat="false" ht="13.8" hidden="false" customHeight="false" outlineLevel="0" collapsed="false">
      <c r="A482" s="0" t="n">
        <f aca="false">1+A481</f>
        <v>481</v>
      </c>
      <c r="B482" s="0" t="n">
        <v>1.61617</v>
      </c>
    </row>
    <row r="483" customFormat="false" ht="13.8" hidden="false" customHeight="false" outlineLevel="0" collapsed="false">
      <c r="A483" s="0" t="n">
        <f aca="false">1+A482</f>
        <v>482</v>
      </c>
      <c r="B483" s="0" t="n">
        <v>1.6081</v>
      </c>
    </row>
    <row r="484" customFormat="false" ht="13.8" hidden="false" customHeight="false" outlineLevel="0" collapsed="false">
      <c r="A484" s="0" t="n">
        <f aca="false">1+A483</f>
        <v>483</v>
      </c>
      <c r="B484" s="0" t="n">
        <v>1.60023</v>
      </c>
    </row>
    <row r="485" customFormat="false" ht="13.8" hidden="false" customHeight="false" outlineLevel="0" collapsed="false">
      <c r="A485" s="0" t="n">
        <f aca="false">1+A484</f>
        <v>484</v>
      </c>
      <c r="B485" s="0" t="n">
        <v>1.59006</v>
      </c>
    </row>
    <row r="486" customFormat="false" ht="13.8" hidden="false" customHeight="false" outlineLevel="0" collapsed="false">
      <c r="A486" s="0" t="n">
        <f aca="false">1+A485</f>
        <v>485</v>
      </c>
      <c r="B486" s="0" t="n">
        <v>1.57613</v>
      </c>
    </row>
    <row r="487" customFormat="false" ht="13.8" hidden="false" customHeight="false" outlineLevel="0" collapsed="false">
      <c r="A487" s="0" t="n">
        <f aca="false">1+A486</f>
        <v>486</v>
      </c>
      <c r="B487" s="0" t="n">
        <v>1.56576</v>
      </c>
    </row>
    <row r="488" customFormat="false" ht="13.8" hidden="false" customHeight="false" outlineLevel="0" collapsed="false">
      <c r="A488" s="0" t="n">
        <f aca="false">1+A487</f>
        <v>487</v>
      </c>
      <c r="B488" s="0" t="n">
        <v>1.5692</v>
      </c>
    </row>
    <row r="489" customFormat="false" ht="13.8" hidden="false" customHeight="false" outlineLevel="0" collapsed="false">
      <c r="A489" s="0" t="n">
        <f aca="false">1+A488</f>
        <v>488</v>
      </c>
      <c r="B489" s="0" t="n">
        <v>1.56574</v>
      </c>
    </row>
    <row r="490" customFormat="false" ht="13.8" hidden="false" customHeight="false" outlineLevel="0" collapsed="false">
      <c r="A490" s="0" t="n">
        <f aca="false">1+A489</f>
        <v>489</v>
      </c>
      <c r="B490" s="0" t="n">
        <v>1.55796</v>
      </c>
    </row>
    <row r="491" customFormat="false" ht="13.8" hidden="false" customHeight="false" outlineLevel="0" collapsed="false">
      <c r="A491" s="0" t="n">
        <f aca="false">1+A490</f>
        <v>490</v>
      </c>
      <c r="B491" s="0" t="n">
        <v>1.55414</v>
      </c>
    </row>
    <row r="492" customFormat="false" ht="13.8" hidden="false" customHeight="false" outlineLevel="0" collapsed="false">
      <c r="A492" s="0" t="n">
        <f aca="false">1+A491</f>
        <v>491</v>
      </c>
      <c r="B492" s="0" t="n">
        <v>1.55352</v>
      </c>
    </row>
    <row r="493" customFormat="false" ht="13.8" hidden="false" customHeight="false" outlineLevel="0" collapsed="false">
      <c r="A493" s="0" t="n">
        <f aca="false">1+A492</f>
        <v>492</v>
      </c>
      <c r="B493" s="0" t="n">
        <v>1.54731</v>
      </c>
    </row>
    <row r="494" customFormat="false" ht="13.8" hidden="false" customHeight="false" outlineLevel="0" collapsed="false">
      <c r="A494" s="0" t="n">
        <f aca="false">1+A493</f>
        <v>493</v>
      </c>
      <c r="B494" s="0" t="n">
        <v>1.53788</v>
      </c>
    </row>
    <row r="495" customFormat="false" ht="13.8" hidden="false" customHeight="false" outlineLevel="0" collapsed="false">
      <c r="A495" s="0" t="n">
        <f aca="false">1+A494</f>
        <v>494</v>
      </c>
      <c r="B495" s="0" t="n">
        <v>1.52787</v>
      </c>
    </row>
    <row r="496" customFormat="false" ht="13.8" hidden="false" customHeight="false" outlineLevel="0" collapsed="false">
      <c r="A496" s="0" t="n">
        <f aca="false">1+A495</f>
        <v>495</v>
      </c>
      <c r="B496" s="0" t="n">
        <v>1.5247</v>
      </c>
    </row>
    <row r="497" customFormat="false" ht="13.8" hidden="false" customHeight="false" outlineLevel="0" collapsed="false">
      <c r="A497" s="0" t="n">
        <f aca="false">1+A496</f>
        <v>496</v>
      </c>
      <c r="B497" s="0" t="n">
        <v>1.51503</v>
      </c>
    </row>
    <row r="498" customFormat="false" ht="13.8" hidden="false" customHeight="false" outlineLevel="0" collapsed="false">
      <c r="A498" s="0" t="n">
        <f aca="false">1+A497</f>
        <v>497</v>
      </c>
      <c r="B498" s="0" t="n">
        <v>1.50386</v>
      </c>
    </row>
    <row r="499" customFormat="false" ht="13.8" hidden="false" customHeight="false" outlineLevel="0" collapsed="false">
      <c r="A499" s="0" t="n">
        <f aca="false">1+A498</f>
        <v>498</v>
      </c>
      <c r="B499" s="0" t="n">
        <v>1.49836</v>
      </c>
    </row>
    <row r="500" customFormat="false" ht="13.8" hidden="false" customHeight="false" outlineLevel="0" collapsed="false">
      <c r="A500" s="0" t="n">
        <f aca="false">1+A499</f>
        <v>499</v>
      </c>
      <c r="B500" s="0" t="n">
        <v>1.48872</v>
      </c>
    </row>
    <row r="501" customFormat="false" ht="13.8" hidden="false" customHeight="false" outlineLevel="0" collapsed="false">
      <c r="A501" s="0" t="n">
        <f aca="false">1+A500</f>
        <v>500</v>
      </c>
      <c r="B501" s="0" t="n">
        <v>1.48992</v>
      </c>
    </row>
    <row r="502" customFormat="false" ht="13.8" hidden="false" customHeight="false" outlineLevel="0" collapsed="false">
      <c r="A502" s="0" t="n">
        <f aca="false">1+A501</f>
        <v>501</v>
      </c>
      <c r="B502" s="0" t="n">
        <v>1.48968</v>
      </c>
    </row>
    <row r="503" customFormat="false" ht="13.8" hidden="false" customHeight="false" outlineLevel="0" collapsed="false">
      <c r="A503" s="0" t="n">
        <f aca="false">1+A502</f>
        <v>502</v>
      </c>
      <c r="B503" s="0" t="n">
        <v>1.48561</v>
      </c>
    </row>
    <row r="504" customFormat="false" ht="13.8" hidden="false" customHeight="false" outlineLevel="0" collapsed="false">
      <c r="A504" s="0" t="n">
        <f aca="false">1+A503</f>
        <v>503</v>
      </c>
      <c r="B504" s="0" t="n">
        <v>1.47833</v>
      </c>
    </row>
    <row r="505" customFormat="false" ht="13.8" hidden="false" customHeight="false" outlineLevel="0" collapsed="false">
      <c r="A505" s="0" t="n">
        <f aca="false">1+A504</f>
        <v>504</v>
      </c>
      <c r="B505" s="0" t="n">
        <v>1.46578</v>
      </c>
    </row>
    <row r="506" customFormat="false" ht="13.8" hidden="false" customHeight="false" outlineLevel="0" collapsed="false">
      <c r="A506" s="0" t="n">
        <f aca="false">1+A505</f>
        <v>505</v>
      </c>
      <c r="B506" s="0" t="n">
        <v>1.46856</v>
      </c>
    </row>
    <row r="507" customFormat="false" ht="13.8" hidden="false" customHeight="false" outlineLevel="0" collapsed="false">
      <c r="A507" s="0" t="n">
        <f aca="false">1+A506</f>
        <v>506</v>
      </c>
      <c r="B507" s="0" t="n">
        <v>1.45739</v>
      </c>
    </row>
    <row r="508" customFormat="false" ht="13.8" hidden="false" customHeight="false" outlineLevel="0" collapsed="false">
      <c r="A508" s="0" t="n">
        <f aca="false">1+A507</f>
        <v>507</v>
      </c>
      <c r="B508" s="0" t="n">
        <v>1.45868</v>
      </c>
    </row>
    <row r="509" customFormat="false" ht="13.8" hidden="false" customHeight="false" outlineLevel="0" collapsed="false">
      <c r="A509" s="0" t="n">
        <f aca="false">1+A508</f>
        <v>508</v>
      </c>
      <c r="B509" s="0" t="n">
        <v>1.45664</v>
      </c>
    </row>
    <row r="510" customFormat="false" ht="13.8" hidden="false" customHeight="false" outlineLevel="0" collapsed="false">
      <c r="A510" s="0" t="n">
        <f aca="false">1+A509</f>
        <v>509</v>
      </c>
      <c r="B510" s="0" t="n">
        <v>1.45955</v>
      </c>
    </row>
    <row r="511" customFormat="false" ht="13.8" hidden="false" customHeight="false" outlineLevel="0" collapsed="false">
      <c r="A511" s="0" t="n">
        <f aca="false">1+A510</f>
        <v>510</v>
      </c>
      <c r="B511" s="0" t="n">
        <v>1.45427</v>
      </c>
    </row>
    <row r="512" customFormat="false" ht="13.8" hidden="false" customHeight="false" outlineLevel="0" collapsed="false">
      <c r="A512" s="0" t="n">
        <f aca="false">1+A511</f>
        <v>511</v>
      </c>
      <c r="B512" s="0" t="n">
        <v>1.4502</v>
      </c>
    </row>
    <row r="513" customFormat="false" ht="13.8" hidden="false" customHeight="false" outlineLevel="0" collapsed="false">
      <c r="A513" s="0" t="n">
        <f aca="false">1+A512</f>
        <v>512</v>
      </c>
      <c r="B513" s="0" t="n">
        <v>1.44746</v>
      </c>
    </row>
    <row r="514" customFormat="false" ht="13.8" hidden="false" customHeight="false" outlineLevel="0" collapsed="false">
      <c r="A514" s="0" t="n">
        <f aca="false">1+A513</f>
        <v>513</v>
      </c>
      <c r="B514" s="0" t="n">
        <v>1.44337</v>
      </c>
    </row>
    <row r="515" customFormat="false" ht="13.8" hidden="false" customHeight="false" outlineLevel="0" collapsed="false">
      <c r="A515" s="0" t="n">
        <f aca="false">1+A514</f>
        <v>514</v>
      </c>
      <c r="B515" s="0" t="n">
        <v>1.44195</v>
      </c>
    </row>
    <row r="516" customFormat="false" ht="13.8" hidden="false" customHeight="false" outlineLevel="0" collapsed="false">
      <c r="A516" s="0" t="n">
        <f aca="false">1+A515</f>
        <v>515</v>
      </c>
      <c r="B516" s="0" t="n">
        <v>1.43664</v>
      </c>
    </row>
    <row r="517" customFormat="false" ht="13.8" hidden="false" customHeight="false" outlineLevel="0" collapsed="false">
      <c r="A517" s="0" t="n">
        <f aca="false">1+A516</f>
        <v>516</v>
      </c>
      <c r="B517" s="0" t="n">
        <v>1.43232</v>
      </c>
    </row>
    <row r="518" customFormat="false" ht="13.8" hidden="false" customHeight="false" outlineLevel="0" collapsed="false">
      <c r="A518" s="0" t="n">
        <f aca="false">1+A517</f>
        <v>517</v>
      </c>
      <c r="B518" s="0" t="n">
        <v>1.43212</v>
      </c>
    </row>
    <row r="519" customFormat="false" ht="13.8" hidden="false" customHeight="false" outlineLevel="0" collapsed="false">
      <c r="A519" s="0" t="n">
        <f aca="false">1+A518</f>
        <v>518</v>
      </c>
      <c r="B519" s="0" t="n">
        <v>1.43192</v>
      </c>
    </row>
    <row r="520" customFormat="false" ht="13.8" hidden="false" customHeight="false" outlineLevel="0" collapsed="false">
      <c r="A520" s="0" t="n">
        <f aca="false">1+A519</f>
        <v>519</v>
      </c>
      <c r="B520" s="0" t="n">
        <v>1.42588</v>
      </c>
    </row>
    <row r="521" customFormat="false" ht="13.8" hidden="false" customHeight="false" outlineLevel="0" collapsed="false">
      <c r="A521" s="0" t="n">
        <f aca="false">1+A520</f>
        <v>520</v>
      </c>
      <c r="B521" s="0" t="n">
        <v>1.42591</v>
      </c>
    </row>
    <row r="522" customFormat="false" ht="13.8" hidden="false" customHeight="false" outlineLevel="0" collapsed="false">
      <c r="A522" s="0" t="n">
        <f aca="false">1+A521</f>
        <v>521</v>
      </c>
      <c r="B522" s="0" t="n">
        <v>1.42317</v>
      </c>
    </row>
    <row r="523" customFormat="false" ht="13.8" hidden="false" customHeight="false" outlineLevel="0" collapsed="false">
      <c r="A523" s="0" t="n">
        <f aca="false">1+A522</f>
        <v>522</v>
      </c>
      <c r="B523" s="0" t="n">
        <v>1.40897</v>
      </c>
    </row>
    <row r="524" customFormat="false" ht="13.8" hidden="false" customHeight="false" outlineLevel="0" collapsed="false">
      <c r="A524" s="0" t="n">
        <f aca="false">1+A523</f>
        <v>523</v>
      </c>
      <c r="B524" s="0" t="n">
        <v>1.39856</v>
      </c>
    </row>
    <row r="525" customFormat="false" ht="13.8" hidden="false" customHeight="false" outlineLevel="0" collapsed="false">
      <c r="A525" s="0" t="n">
        <f aca="false">1+A524</f>
        <v>524</v>
      </c>
      <c r="B525" s="0" t="n">
        <v>1.39081</v>
      </c>
    </row>
    <row r="526" customFormat="false" ht="13.8" hidden="false" customHeight="false" outlineLevel="0" collapsed="false">
      <c r="A526" s="0" t="n">
        <f aca="false">1+A525</f>
        <v>525</v>
      </c>
      <c r="B526" s="0" t="n">
        <v>1.38741</v>
      </c>
    </row>
    <row r="527" customFormat="false" ht="13.8" hidden="false" customHeight="false" outlineLevel="0" collapsed="false">
      <c r="A527" s="0" t="n">
        <f aca="false">1+A526</f>
        <v>526</v>
      </c>
      <c r="B527" s="0" t="n">
        <v>1.37589</v>
      </c>
    </row>
    <row r="528" customFormat="false" ht="13.8" hidden="false" customHeight="false" outlineLevel="0" collapsed="false">
      <c r="A528" s="0" t="n">
        <f aca="false">1+A527</f>
        <v>527</v>
      </c>
      <c r="B528" s="0" t="n">
        <v>1.36957</v>
      </c>
    </row>
    <row r="529" customFormat="false" ht="13.8" hidden="false" customHeight="false" outlineLevel="0" collapsed="false">
      <c r="A529" s="0" t="n">
        <f aca="false">1+A528</f>
        <v>528</v>
      </c>
      <c r="B529" s="0" t="n">
        <v>1.36611</v>
      </c>
    </row>
    <row r="530" customFormat="false" ht="13.8" hidden="false" customHeight="false" outlineLevel="0" collapsed="false">
      <c r="A530" s="0" t="n">
        <f aca="false">1+A529</f>
        <v>529</v>
      </c>
      <c r="B530" s="0" t="n">
        <v>1.36619</v>
      </c>
    </row>
    <row r="531" customFormat="false" ht="13.8" hidden="false" customHeight="false" outlineLevel="0" collapsed="false">
      <c r="A531" s="0" t="n">
        <f aca="false">1+A530</f>
        <v>530</v>
      </c>
      <c r="B531" s="0" t="n">
        <v>1.36197</v>
      </c>
    </row>
    <row r="532" customFormat="false" ht="13.8" hidden="false" customHeight="false" outlineLevel="0" collapsed="false">
      <c r="A532" s="0" t="n">
        <f aca="false">1+A531</f>
        <v>531</v>
      </c>
      <c r="B532" s="0" t="n">
        <v>1.3532</v>
      </c>
    </row>
    <row r="533" customFormat="false" ht="13.8" hidden="false" customHeight="false" outlineLevel="0" collapsed="false">
      <c r="A533" s="0" t="n">
        <f aca="false">1+A532</f>
        <v>532</v>
      </c>
      <c r="B533" s="0" t="n">
        <v>1.34352</v>
      </c>
    </row>
    <row r="534" customFormat="false" ht="13.8" hidden="false" customHeight="false" outlineLevel="0" collapsed="false">
      <c r="A534" s="0" t="n">
        <f aca="false">1+A533</f>
        <v>533</v>
      </c>
      <c r="B534" s="0" t="n">
        <v>1.33848</v>
      </c>
    </row>
    <row r="535" customFormat="false" ht="13.8" hidden="false" customHeight="false" outlineLevel="0" collapsed="false">
      <c r="A535" s="0" t="n">
        <f aca="false">1+A534</f>
        <v>534</v>
      </c>
      <c r="B535" s="0" t="n">
        <v>1.33562</v>
      </c>
    </row>
    <row r="536" customFormat="false" ht="13.8" hidden="false" customHeight="false" outlineLevel="0" collapsed="false">
      <c r="A536" s="0" t="n">
        <f aca="false">1+A535</f>
        <v>535</v>
      </c>
      <c r="B536" s="0" t="n">
        <v>1.32753</v>
      </c>
    </row>
    <row r="537" customFormat="false" ht="13.8" hidden="false" customHeight="false" outlineLevel="0" collapsed="false">
      <c r="A537" s="0" t="n">
        <f aca="false">1+A536</f>
        <v>536</v>
      </c>
      <c r="B537" s="0" t="n">
        <v>1.3251</v>
      </c>
    </row>
    <row r="538" customFormat="false" ht="13.8" hidden="false" customHeight="false" outlineLevel="0" collapsed="false">
      <c r="A538" s="0" t="n">
        <f aca="false">1+A537</f>
        <v>537</v>
      </c>
      <c r="B538" s="0" t="n">
        <v>1.317</v>
      </c>
    </row>
    <row r="539" customFormat="false" ht="13.8" hidden="false" customHeight="false" outlineLevel="0" collapsed="false">
      <c r="A539" s="0" t="n">
        <f aca="false">1+A538</f>
        <v>538</v>
      </c>
      <c r="B539" s="0" t="n">
        <v>1.31838</v>
      </c>
    </row>
    <row r="540" customFormat="false" ht="13.8" hidden="false" customHeight="false" outlineLevel="0" collapsed="false">
      <c r="A540" s="0" t="n">
        <f aca="false">1+A539</f>
        <v>539</v>
      </c>
      <c r="B540" s="0" t="n">
        <v>1.32305</v>
      </c>
    </row>
    <row r="541" customFormat="false" ht="13.8" hidden="false" customHeight="false" outlineLevel="0" collapsed="false">
      <c r="A541" s="0" t="n">
        <f aca="false">1+A540</f>
        <v>540</v>
      </c>
      <c r="B541" s="0" t="n">
        <v>1.31158</v>
      </c>
    </row>
    <row r="542" customFormat="false" ht="13.8" hidden="false" customHeight="false" outlineLevel="0" collapsed="false">
      <c r="A542" s="0" t="n">
        <f aca="false">1+A541</f>
        <v>541</v>
      </c>
      <c r="B542" s="0" t="n">
        <v>1.30921</v>
      </c>
    </row>
    <row r="543" customFormat="false" ht="13.8" hidden="false" customHeight="false" outlineLevel="0" collapsed="false">
      <c r="A543" s="0" t="n">
        <f aca="false">1+A542</f>
        <v>542</v>
      </c>
      <c r="B543" s="0" t="n">
        <v>1.30895</v>
      </c>
    </row>
    <row r="544" customFormat="false" ht="13.8" hidden="false" customHeight="false" outlineLevel="0" collapsed="false">
      <c r="A544" s="0" t="n">
        <f aca="false">1+A543</f>
        <v>543</v>
      </c>
      <c r="B544" s="0" t="n">
        <v>1.30653</v>
      </c>
    </row>
    <row r="545" customFormat="false" ht="13.8" hidden="false" customHeight="false" outlineLevel="0" collapsed="false">
      <c r="A545" s="0" t="n">
        <f aca="false">1+A544</f>
        <v>544</v>
      </c>
      <c r="B545" s="0" t="n">
        <v>1.30038</v>
      </c>
    </row>
    <row r="546" customFormat="false" ht="13.8" hidden="false" customHeight="false" outlineLevel="0" collapsed="false">
      <c r="A546" s="0" t="n">
        <f aca="false">1+A545</f>
        <v>545</v>
      </c>
      <c r="B546" s="0" t="n">
        <v>1.29785</v>
      </c>
    </row>
    <row r="547" customFormat="false" ht="13.8" hidden="false" customHeight="false" outlineLevel="0" collapsed="false">
      <c r="A547" s="0" t="n">
        <f aca="false">1+A546</f>
        <v>546</v>
      </c>
      <c r="B547" s="0" t="n">
        <v>1.29418</v>
      </c>
    </row>
    <row r="548" customFormat="false" ht="13.8" hidden="false" customHeight="false" outlineLevel="0" collapsed="false">
      <c r="A548" s="0" t="n">
        <f aca="false">1+A547</f>
        <v>547</v>
      </c>
      <c r="B548" s="0" t="n">
        <v>1.29277</v>
      </c>
    </row>
    <row r="549" customFormat="false" ht="13.8" hidden="false" customHeight="false" outlineLevel="0" collapsed="false">
      <c r="A549" s="0" t="n">
        <f aca="false">1+A548</f>
        <v>548</v>
      </c>
      <c r="B549" s="0" t="n">
        <v>1.29288</v>
      </c>
    </row>
    <row r="550" customFormat="false" ht="13.8" hidden="false" customHeight="false" outlineLevel="0" collapsed="false">
      <c r="A550" s="0" t="n">
        <f aca="false">1+A549</f>
        <v>549</v>
      </c>
      <c r="B550" s="0" t="n">
        <v>1.28599</v>
      </c>
    </row>
    <row r="551" customFormat="false" ht="13.8" hidden="false" customHeight="false" outlineLevel="0" collapsed="false">
      <c r="A551" s="0" t="n">
        <f aca="false">1+A550</f>
        <v>550</v>
      </c>
      <c r="B551" s="0" t="n">
        <v>1.28003</v>
      </c>
    </row>
    <row r="552" customFormat="false" ht="13.8" hidden="false" customHeight="false" outlineLevel="0" collapsed="false">
      <c r="A552" s="0" t="n">
        <f aca="false">1+A551</f>
        <v>551</v>
      </c>
      <c r="B552" s="0" t="n">
        <v>1.27777</v>
      </c>
    </row>
    <row r="553" customFormat="false" ht="13.8" hidden="false" customHeight="false" outlineLevel="0" collapsed="false">
      <c r="A553" s="0" t="n">
        <f aca="false">1+A552</f>
        <v>552</v>
      </c>
      <c r="B553" s="0" t="n">
        <v>1.26893</v>
      </c>
    </row>
    <row r="554" customFormat="false" ht="13.8" hidden="false" customHeight="false" outlineLevel="0" collapsed="false">
      <c r="A554" s="0" t="n">
        <f aca="false">1+A553</f>
        <v>553</v>
      </c>
      <c r="B554" s="0" t="n">
        <v>1.27487</v>
      </c>
    </row>
    <row r="555" customFormat="false" ht="13.8" hidden="false" customHeight="false" outlineLevel="0" collapsed="false">
      <c r="A555" s="0" t="n">
        <f aca="false">1+A554</f>
        <v>554</v>
      </c>
      <c r="B555" s="0" t="n">
        <v>1.26572</v>
      </c>
    </row>
    <row r="556" customFormat="false" ht="13.8" hidden="false" customHeight="false" outlineLevel="0" collapsed="false">
      <c r="A556" s="0" t="n">
        <f aca="false">1+A555</f>
        <v>555</v>
      </c>
      <c r="B556" s="0" t="n">
        <v>1.25428</v>
      </c>
    </row>
    <row r="557" customFormat="false" ht="13.8" hidden="false" customHeight="false" outlineLevel="0" collapsed="false">
      <c r="A557" s="0" t="n">
        <f aca="false">1+A556</f>
        <v>556</v>
      </c>
      <c r="B557" s="0" t="n">
        <v>1.25079</v>
      </c>
    </row>
    <row r="558" customFormat="false" ht="13.8" hidden="false" customHeight="false" outlineLevel="0" collapsed="false">
      <c r="A558" s="0" t="n">
        <f aca="false">1+A557</f>
        <v>557</v>
      </c>
      <c r="B558" s="0" t="n">
        <v>1.24712</v>
      </c>
    </row>
    <row r="559" customFormat="false" ht="13.8" hidden="false" customHeight="false" outlineLevel="0" collapsed="false">
      <c r="A559" s="0" t="n">
        <f aca="false">1+A558</f>
        <v>558</v>
      </c>
      <c r="B559" s="0" t="n">
        <v>1.2399</v>
      </c>
    </row>
    <row r="560" customFormat="false" ht="13.8" hidden="false" customHeight="false" outlineLevel="0" collapsed="false">
      <c r="A560" s="0" t="n">
        <f aca="false">1+A559</f>
        <v>559</v>
      </c>
      <c r="B560" s="0" t="n">
        <v>1.23015</v>
      </c>
    </row>
    <row r="561" customFormat="false" ht="13.8" hidden="false" customHeight="false" outlineLevel="0" collapsed="false">
      <c r="A561" s="0" t="n">
        <f aca="false">1+A560</f>
        <v>560</v>
      </c>
      <c r="B561" s="0" t="n">
        <v>1.21541</v>
      </c>
    </row>
    <row r="562" customFormat="false" ht="13.8" hidden="false" customHeight="false" outlineLevel="0" collapsed="false">
      <c r="A562" s="0" t="n">
        <f aca="false">1+A561</f>
        <v>561</v>
      </c>
      <c r="B562" s="0" t="n">
        <v>1.21586</v>
      </c>
    </row>
    <row r="563" customFormat="false" ht="13.8" hidden="false" customHeight="false" outlineLevel="0" collapsed="false">
      <c r="A563" s="0" t="n">
        <f aca="false">1+A562</f>
        <v>562</v>
      </c>
      <c r="B563" s="0" t="n">
        <v>1.21442</v>
      </c>
    </row>
    <row r="564" customFormat="false" ht="13.8" hidden="false" customHeight="false" outlineLevel="0" collapsed="false">
      <c r="A564" s="0" t="n">
        <f aca="false">1+A563</f>
        <v>563</v>
      </c>
      <c r="B564" s="0" t="n">
        <v>1.21027</v>
      </c>
    </row>
    <row r="565" customFormat="false" ht="13.8" hidden="false" customHeight="false" outlineLevel="0" collapsed="false">
      <c r="A565" s="0" t="n">
        <f aca="false">1+A564</f>
        <v>564</v>
      </c>
      <c r="B565" s="0" t="n">
        <v>1.20872</v>
      </c>
    </row>
    <row r="566" customFormat="false" ht="13.8" hidden="false" customHeight="false" outlineLevel="0" collapsed="false">
      <c r="A566" s="0" t="n">
        <f aca="false">1+A565</f>
        <v>565</v>
      </c>
      <c r="B566" s="0" t="n">
        <v>1.20534</v>
      </c>
    </row>
    <row r="567" customFormat="false" ht="13.8" hidden="false" customHeight="false" outlineLevel="0" collapsed="false">
      <c r="A567" s="0" t="n">
        <f aca="false">1+A566</f>
        <v>566</v>
      </c>
      <c r="B567" s="0" t="n">
        <v>1.19998</v>
      </c>
    </row>
    <row r="568" customFormat="false" ht="13.8" hidden="false" customHeight="false" outlineLevel="0" collapsed="false">
      <c r="A568" s="0" t="n">
        <f aca="false">1+A567</f>
        <v>567</v>
      </c>
      <c r="B568" s="0" t="n">
        <v>1.19522</v>
      </c>
    </row>
    <row r="569" customFormat="false" ht="13.8" hidden="false" customHeight="false" outlineLevel="0" collapsed="false">
      <c r="A569" s="0" t="n">
        <f aca="false">1+A568</f>
        <v>568</v>
      </c>
      <c r="B569" s="0" t="n">
        <v>1.19313</v>
      </c>
    </row>
    <row r="570" customFormat="false" ht="13.8" hidden="false" customHeight="false" outlineLevel="0" collapsed="false">
      <c r="A570" s="0" t="n">
        <f aca="false">1+A569</f>
        <v>569</v>
      </c>
      <c r="B570" s="0" t="n">
        <v>1.18337</v>
      </c>
    </row>
    <row r="571" customFormat="false" ht="13.8" hidden="false" customHeight="false" outlineLevel="0" collapsed="false">
      <c r="A571" s="0" t="n">
        <f aca="false">1+A570</f>
        <v>570</v>
      </c>
      <c r="B571" s="0" t="n">
        <v>1.18287</v>
      </c>
    </row>
    <row r="572" customFormat="false" ht="13.8" hidden="false" customHeight="false" outlineLevel="0" collapsed="false">
      <c r="A572" s="0" t="n">
        <f aca="false">1+A571</f>
        <v>571</v>
      </c>
      <c r="B572" s="0" t="n">
        <v>1.17867</v>
      </c>
    </row>
    <row r="573" customFormat="false" ht="13.8" hidden="false" customHeight="false" outlineLevel="0" collapsed="false">
      <c r="A573" s="0" t="n">
        <f aca="false">1+A572</f>
        <v>572</v>
      </c>
      <c r="B573" s="0" t="n">
        <v>1.16646</v>
      </c>
    </row>
    <row r="574" customFormat="false" ht="13.8" hidden="false" customHeight="false" outlineLevel="0" collapsed="false">
      <c r="A574" s="0" t="n">
        <f aca="false">1+A573</f>
        <v>573</v>
      </c>
      <c r="B574" s="0" t="n">
        <v>1.1589</v>
      </c>
    </row>
    <row r="575" customFormat="false" ht="13.8" hidden="false" customHeight="false" outlineLevel="0" collapsed="false">
      <c r="A575" s="0" t="n">
        <f aca="false">1+A574</f>
        <v>574</v>
      </c>
      <c r="B575" s="0" t="n">
        <v>1.15857</v>
      </c>
    </row>
    <row r="576" customFormat="false" ht="13.8" hidden="false" customHeight="false" outlineLevel="0" collapsed="false">
      <c r="A576" s="0" t="n">
        <f aca="false">1+A575</f>
        <v>575</v>
      </c>
      <c r="B576" s="0" t="n">
        <v>1.15447</v>
      </c>
    </row>
    <row r="577" customFormat="false" ht="13.8" hidden="false" customHeight="false" outlineLevel="0" collapsed="false">
      <c r="A577" s="0" t="n">
        <f aca="false">1+A576</f>
        <v>576</v>
      </c>
      <c r="B577" s="0" t="n">
        <v>1.15916</v>
      </c>
    </row>
    <row r="578" customFormat="false" ht="13.8" hidden="false" customHeight="false" outlineLevel="0" collapsed="false">
      <c r="A578" s="0" t="n">
        <f aca="false">1+A577</f>
        <v>577</v>
      </c>
      <c r="B578" s="0" t="n">
        <v>1.16099</v>
      </c>
    </row>
    <row r="579" customFormat="false" ht="13.8" hidden="false" customHeight="false" outlineLevel="0" collapsed="false">
      <c r="A579" s="0" t="n">
        <f aca="false">1+A578</f>
        <v>578</v>
      </c>
      <c r="B579" s="0" t="n">
        <v>1.15659</v>
      </c>
    </row>
    <row r="580" customFormat="false" ht="13.8" hidden="false" customHeight="false" outlineLevel="0" collapsed="false">
      <c r="A580" s="0" t="n">
        <f aca="false">1+A579</f>
        <v>579</v>
      </c>
      <c r="B580" s="0" t="n">
        <v>1.15499</v>
      </c>
    </row>
    <row r="581" customFormat="false" ht="13.8" hidden="false" customHeight="false" outlineLevel="0" collapsed="false">
      <c r="A581" s="0" t="n">
        <f aca="false">1+A580</f>
        <v>580</v>
      </c>
      <c r="B581" s="0" t="n">
        <v>1.15496</v>
      </c>
    </row>
    <row r="582" customFormat="false" ht="13.8" hidden="false" customHeight="false" outlineLevel="0" collapsed="false">
      <c r="A582" s="0" t="n">
        <f aca="false">1+A581</f>
        <v>581</v>
      </c>
      <c r="B582" s="0" t="n">
        <v>1.14866</v>
      </c>
    </row>
    <row r="583" customFormat="false" ht="13.8" hidden="false" customHeight="false" outlineLevel="0" collapsed="false">
      <c r="A583" s="0" t="n">
        <f aca="false">1+A582</f>
        <v>582</v>
      </c>
      <c r="B583" s="0" t="n">
        <v>1.14442</v>
      </c>
    </row>
    <row r="584" customFormat="false" ht="13.8" hidden="false" customHeight="false" outlineLevel="0" collapsed="false">
      <c r="A584" s="0" t="n">
        <f aca="false">1+A583</f>
        <v>583</v>
      </c>
      <c r="B584" s="0" t="n">
        <v>1.13959</v>
      </c>
    </row>
    <row r="585" customFormat="false" ht="13.8" hidden="false" customHeight="false" outlineLevel="0" collapsed="false">
      <c r="A585" s="0" t="n">
        <f aca="false">1+A584</f>
        <v>584</v>
      </c>
      <c r="B585" s="0" t="n">
        <v>1.14141</v>
      </c>
    </row>
    <row r="586" customFormat="false" ht="13.8" hidden="false" customHeight="false" outlineLevel="0" collapsed="false">
      <c r="A586" s="0" t="n">
        <f aca="false">1+A585</f>
        <v>585</v>
      </c>
      <c r="B586" s="0" t="n">
        <v>1.13772</v>
      </c>
    </row>
    <row r="587" customFormat="false" ht="13.8" hidden="false" customHeight="false" outlineLevel="0" collapsed="false">
      <c r="A587" s="0" t="n">
        <f aca="false">1+A586</f>
        <v>586</v>
      </c>
      <c r="B587" s="0" t="n">
        <v>1.13913</v>
      </c>
    </row>
    <row r="588" customFormat="false" ht="13.8" hidden="false" customHeight="false" outlineLevel="0" collapsed="false">
      <c r="A588" s="0" t="n">
        <f aca="false">1+A587</f>
        <v>587</v>
      </c>
      <c r="B588" s="0" t="n">
        <v>1.14047</v>
      </c>
    </row>
    <row r="589" customFormat="false" ht="13.8" hidden="false" customHeight="false" outlineLevel="0" collapsed="false">
      <c r="A589" s="0" t="n">
        <f aca="false">1+A588</f>
        <v>588</v>
      </c>
      <c r="B589" s="0" t="n">
        <v>1.14314</v>
      </c>
    </row>
    <row r="590" customFormat="false" ht="13.8" hidden="false" customHeight="false" outlineLevel="0" collapsed="false">
      <c r="A590" s="0" t="n">
        <f aca="false">1+A589</f>
        <v>589</v>
      </c>
      <c r="B590" s="0" t="n">
        <v>1.14501</v>
      </c>
    </row>
    <row r="591" customFormat="false" ht="13.8" hidden="false" customHeight="false" outlineLevel="0" collapsed="false">
      <c r="A591" s="0" t="n">
        <f aca="false">1+A590</f>
        <v>590</v>
      </c>
      <c r="B591" s="0" t="n">
        <v>1.13632</v>
      </c>
    </row>
    <row r="592" customFormat="false" ht="13.8" hidden="false" customHeight="false" outlineLevel="0" collapsed="false">
      <c r="A592" s="0" t="n">
        <f aca="false">1+A591</f>
        <v>591</v>
      </c>
      <c r="B592" s="0" t="n">
        <v>1.13267</v>
      </c>
    </row>
    <row r="593" customFormat="false" ht="13.8" hidden="false" customHeight="false" outlineLevel="0" collapsed="false">
      <c r="A593" s="0" t="n">
        <f aca="false">1+A592</f>
        <v>592</v>
      </c>
      <c r="B593" s="0" t="n">
        <v>1.12575</v>
      </c>
    </row>
    <row r="594" customFormat="false" ht="13.8" hidden="false" customHeight="false" outlineLevel="0" collapsed="false">
      <c r="A594" s="0" t="n">
        <f aca="false">1+A593</f>
        <v>593</v>
      </c>
      <c r="B594" s="0" t="n">
        <v>1.11986</v>
      </c>
    </row>
    <row r="595" customFormat="false" ht="13.8" hidden="false" customHeight="false" outlineLevel="0" collapsed="false">
      <c r="A595" s="0" t="n">
        <f aca="false">1+A594</f>
        <v>594</v>
      </c>
      <c r="B595" s="0" t="n">
        <v>1.11305</v>
      </c>
    </row>
    <row r="596" customFormat="false" ht="13.8" hidden="false" customHeight="false" outlineLevel="0" collapsed="false">
      <c r="A596" s="0" t="n">
        <f aca="false">1+A595</f>
        <v>595</v>
      </c>
      <c r="B596" s="0" t="n">
        <v>1.11584</v>
      </c>
    </row>
    <row r="597" customFormat="false" ht="13.8" hidden="false" customHeight="false" outlineLevel="0" collapsed="false">
      <c r="A597" s="0" t="n">
        <f aca="false">1+A596</f>
        <v>596</v>
      </c>
      <c r="B597" s="0" t="n">
        <v>1.11233</v>
      </c>
    </row>
    <row r="598" customFormat="false" ht="13.8" hidden="false" customHeight="false" outlineLevel="0" collapsed="false">
      <c r="A598" s="0" t="n">
        <f aca="false">1+A597</f>
        <v>597</v>
      </c>
      <c r="B598" s="0" t="n">
        <v>1.10526</v>
      </c>
    </row>
    <row r="599" customFormat="false" ht="13.8" hidden="false" customHeight="false" outlineLevel="0" collapsed="false">
      <c r="A599" s="0" t="n">
        <f aca="false">1+A598</f>
        <v>598</v>
      </c>
      <c r="B599" s="0" t="n">
        <v>1.09975</v>
      </c>
    </row>
    <row r="600" customFormat="false" ht="13.8" hidden="false" customHeight="false" outlineLevel="0" collapsed="false">
      <c r="A600" s="0" t="n">
        <f aca="false">1+A599</f>
        <v>599</v>
      </c>
      <c r="B600" s="0" t="n">
        <v>1.09142</v>
      </c>
    </row>
    <row r="601" customFormat="false" ht="13.8" hidden="false" customHeight="false" outlineLevel="0" collapsed="false">
      <c r="A601" s="0" t="n">
        <f aca="false">1+A600</f>
        <v>600</v>
      </c>
      <c r="B601" s="0" t="n">
        <v>1.09787</v>
      </c>
    </row>
    <row r="602" customFormat="false" ht="13.8" hidden="false" customHeight="false" outlineLevel="0" collapsed="false">
      <c r="A602" s="0" t="n">
        <f aca="false">1+A601</f>
        <v>601</v>
      </c>
      <c r="B602" s="0" t="n">
        <v>1.09638</v>
      </c>
    </row>
    <row r="603" customFormat="false" ht="13.8" hidden="false" customHeight="false" outlineLevel="0" collapsed="false">
      <c r="A603" s="0" t="n">
        <f aca="false">1+A602</f>
        <v>602</v>
      </c>
      <c r="B603" s="0" t="n">
        <v>1.09198</v>
      </c>
    </row>
    <row r="604" customFormat="false" ht="13.8" hidden="false" customHeight="false" outlineLevel="0" collapsed="false">
      <c r="A604" s="0" t="n">
        <f aca="false">1+A603</f>
        <v>603</v>
      </c>
      <c r="B604" s="0" t="n">
        <v>1.09303</v>
      </c>
    </row>
    <row r="605" customFormat="false" ht="13.8" hidden="false" customHeight="false" outlineLevel="0" collapsed="false">
      <c r="A605" s="0" t="n">
        <f aca="false">1+A604</f>
        <v>604</v>
      </c>
      <c r="B605" s="0" t="n">
        <v>1.09566</v>
      </c>
    </row>
    <row r="606" customFormat="false" ht="13.8" hidden="false" customHeight="false" outlineLevel="0" collapsed="false">
      <c r="A606" s="0" t="n">
        <f aca="false">1+A605</f>
        <v>605</v>
      </c>
      <c r="B606" s="0" t="n">
        <v>1.08987</v>
      </c>
    </row>
    <row r="607" customFormat="false" ht="13.8" hidden="false" customHeight="false" outlineLevel="0" collapsed="false">
      <c r="A607" s="0" t="n">
        <f aca="false">1+A606</f>
        <v>606</v>
      </c>
      <c r="B607" s="0" t="n">
        <v>1.08889</v>
      </c>
    </row>
    <row r="608" customFormat="false" ht="13.8" hidden="false" customHeight="false" outlineLevel="0" collapsed="false">
      <c r="A608" s="0" t="n">
        <f aca="false">1+A607</f>
        <v>607</v>
      </c>
      <c r="B608" s="0" t="n">
        <v>1.08163</v>
      </c>
    </row>
    <row r="609" customFormat="false" ht="13.8" hidden="false" customHeight="false" outlineLevel="0" collapsed="false">
      <c r="A609" s="0" t="n">
        <f aca="false">1+A608</f>
        <v>608</v>
      </c>
      <c r="B609" s="0" t="n">
        <v>1.08059</v>
      </c>
    </row>
    <row r="610" customFormat="false" ht="13.8" hidden="false" customHeight="false" outlineLevel="0" collapsed="false">
      <c r="A610" s="0" t="n">
        <f aca="false">1+A609</f>
        <v>609</v>
      </c>
      <c r="B610" s="0" t="n">
        <v>1.07545</v>
      </c>
    </row>
    <row r="611" customFormat="false" ht="13.8" hidden="false" customHeight="false" outlineLevel="0" collapsed="false">
      <c r="A611" s="0" t="n">
        <f aca="false">1+A610</f>
        <v>610</v>
      </c>
      <c r="B611" s="0" t="n">
        <v>1.07034</v>
      </c>
    </row>
    <row r="612" customFormat="false" ht="13.8" hidden="false" customHeight="false" outlineLevel="0" collapsed="false">
      <c r="A612" s="0" t="n">
        <f aca="false">1+A611</f>
        <v>611</v>
      </c>
      <c r="B612" s="0" t="n">
        <v>1.06931</v>
      </c>
    </row>
    <row r="613" customFormat="false" ht="13.8" hidden="false" customHeight="false" outlineLevel="0" collapsed="false">
      <c r="A613" s="0" t="n">
        <f aca="false">1+A612</f>
        <v>612</v>
      </c>
      <c r="B613" s="0" t="n">
        <v>1.07291</v>
      </c>
    </row>
    <row r="614" customFormat="false" ht="13.8" hidden="false" customHeight="false" outlineLevel="0" collapsed="false">
      <c r="A614" s="0" t="n">
        <f aca="false">1+A613</f>
        <v>613</v>
      </c>
      <c r="B614" s="0" t="n">
        <v>1.05754</v>
      </c>
    </row>
    <row r="615" customFormat="false" ht="13.8" hidden="false" customHeight="false" outlineLevel="0" collapsed="false">
      <c r="A615" s="0" t="n">
        <f aca="false">1+A614</f>
        <v>614</v>
      </c>
      <c r="B615" s="0" t="n">
        <v>1.05744</v>
      </c>
    </row>
    <row r="616" customFormat="false" ht="13.8" hidden="false" customHeight="false" outlineLevel="0" collapsed="false">
      <c r="A616" s="0" t="n">
        <f aca="false">1+A615</f>
        <v>615</v>
      </c>
      <c r="B616" s="0" t="n">
        <v>1.05955</v>
      </c>
    </row>
    <row r="617" customFormat="false" ht="13.8" hidden="false" customHeight="false" outlineLevel="0" collapsed="false">
      <c r="A617" s="0" t="n">
        <f aca="false">1+A616</f>
        <v>616</v>
      </c>
      <c r="B617" s="0" t="n">
        <v>1.06126</v>
      </c>
    </row>
    <row r="618" customFormat="false" ht="13.8" hidden="false" customHeight="false" outlineLevel="0" collapsed="false">
      <c r="A618" s="0" t="n">
        <f aca="false">1+A617</f>
        <v>617</v>
      </c>
      <c r="B618" s="0" t="n">
        <v>1.05689</v>
      </c>
    </row>
    <row r="619" customFormat="false" ht="13.8" hidden="false" customHeight="false" outlineLevel="0" collapsed="false">
      <c r="A619" s="0" t="n">
        <f aca="false">1+A618</f>
        <v>618</v>
      </c>
      <c r="B619" s="0" t="n">
        <v>1.05715</v>
      </c>
    </row>
    <row r="620" customFormat="false" ht="13.8" hidden="false" customHeight="false" outlineLevel="0" collapsed="false">
      <c r="A620" s="0" t="n">
        <f aca="false">1+A619</f>
        <v>619</v>
      </c>
      <c r="B620" s="0" t="n">
        <v>1.06132</v>
      </c>
    </row>
    <row r="621" customFormat="false" ht="13.8" hidden="false" customHeight="false" outlineLevel="0" collapsed="false">
      <c r="A621" s="0" t="n">
        <f aca="false">1+A620</f>
        <v>620</v>
      </c>
      <c r="B621" s="0" t="n">
        <v>1.06295</v>
      </c>
    </row>
    <row r="622" customFormat="false" ht="13.8" hidden="false" customHeight="false" outlineLevel="0" collapsed="false">
      <c r="A622" s="0" t="n">
        <f aca="false">1+A621</f>
        <v>621</v>
      </c>
      <c r="B622" s="0" t="n">
        <v>1.04954</v>
      </c>
    </row>
    <row r="623" customFormat="false" ht="13.8" hidden="false" customHeight="false" outlineLevel="0" collapsed="false">
      <c r="A623" s="0" t="n">
        <f aca="false">1+A622</f>
        <v>622</v>
      </c>
      <c r="B623" s="0" t="n">
        <v>1.04526</v>
      </c>
    </row>
    <row r="624" customFormat="false" ht="13.8" hidden="false" customHeight="false" outlineLevel="0" collapsed="false">
      <c r="A624" s="0" t="n">
        <f aca="false">1+A623</f>
        <v>623</v>
      </c>
      <c r="B624" s="0" t="n">
        <v>1.04287</v>
      </c>
    </row>
    <row r="625" customFormat="false" ht="13.8" hidden="false" customHeight="false" outlineLevel="0" collapsed="false">
      <c r="A625" s="0" t="n">
        <f aca="false">1+A624</f>
        <v>624</v>
      </c>
      <c r="B625" s="0" t="n">
        <v>1.04037</v>
      </c>
    </row>
    <row r="626" customFormat="false" ht="13.8" hidden="false" customHeight="false" outlineLevel="0" collapsed="false">
      <c r="A626" s="0" t="n">
        <f aca="false">1+A625</f>
        <v>625</v>
      </c>
      <c r="B626" s="0" t="n">
        <v>1.03756</v>
      </c>
    </row>
    <row r="627" customFormat="false" ht="13.8" hidden="false" customHeight="false" outlineLevel="0" collapsed="false">
      <c r="A627" s="0" t="n">
        <f aca="false">1+A626</f>
        <v>626</v>
      </c>
      <c r="B627" s="0" t="n">
        <v>1.03602</v>
      </c>
    </row>
    <row r="628" customFormat="false" ht="13.8" hidden="false" customHeight="false" outlineLevel="0" collapsed="false">
      <c r="A628" s="0" t="n">
        <f aca="false">1+A627</f>
        <v>627</v>
      </c>
      <c r="B628" s="0" t="n">
        <v>1.0311</v>
      </c>
    </row>
    <row r="629" customFormat="false" ht="13.8" hidden="false" customHeight="false" outlineLevel="0" collapsed="false">
      <c r="A629" s="0" t="n">
        <f aca="false">1+A628</f>
        <v>628</v>
      </c>
      <c r="B629" s="0" t="n">
        <v>1.02429</v>
      </c>
    </row>
    <row r="630" customFormat="false" ht="13.8" hidden="false" customHeight="false" outlineLevel="0" collapsed="false">
      <c r="A630" s="0" t="n">
        <f aca="false">1+A629</f>
        <v>629</v>
      </c>
      <c r="B630" s="0" t="n">
        <v>1.02176</v>
      </c>
    </row>
    <row r="631" customFormat="false" ht="13.8" hidden="false" customHeight="false" outlineLevel="0" collapsed="false">
      <c r="A631" s="0" t="n">
        <f aca="false">1+A630</f>
        <v>630</v>
      </c>
      <c r="B631" s="0" t="n">
        <v>1.02247</v>
      </c>
    </row>
    <row r="632" customFormat="false" ht="13.8" hidden="false" customHeight="false" outlineLevel="0" collapsed="false">
      <c r="A632" s="0" t="n">
        <f aca="false">1+A631</f>
        <v>631</v>
      </c>
      <c r="B632" s="0" t="n">
        <v>1.02144</v>
      </c>
    </row>
    <row r="633" customFormat="false" ht="13.8" hidden="false" customHeight="false" outlineLevel="0" collapsed="false">
      <c r="A633" s="0" t="n">
        <f aca="false">1+A632</f>
        <v>632</v>
      </c>
      <c r="B633" s="0" t="n">
        <v>1.01412</v>
      </c>
    </row>
    <row r="634" customFormat="false" ht="13.8" hidden="false" customHeight="false" outlineLevel="0" collapsed="false">
      <c r="A634" s="0" t="n">
        <f aca="false">1+A633</f>
        <v>633</v>
      </c>
      <c r="B634" s="0" t="n">
        <v>1.01332</v>
      </c>
    </row>
    <row r="635" customFormat="false" ht="13.8" hidden="false" customHeight="false" outlineLevel="0" collapsed="false">
      <c r="A635" s="0" t="n">
        <f aca="false">1+A634</f>
        <v>634</v>
      </c>
      <c r="B635" s="0" t="n">
        <v>1.01006</v>
      </c>
    </row>
    <row r="636" customFormat="false" ht="13.8" hidden="false" customHeight="false" outlineLevel="0" collapsed="false">
      <c r="A636" s="0" t="n">
        <f aca="false">1+A635</f>
        <v>635</v>
      </c>
      <c r="B636" s="0" t="n">
        <v>1.01084</v>
      </c>
    </row>
    <row r="637" customFormat="false" ht="13.8" hidden="false" customHeight="false" outlineLevel="0" collapsed="false">
      <c r="A637" s="0" t="n">
        <f aca="false">1+A636</f>
        <v>636</v>
      </c>
      <c r="B637" s="0" t="n">
        <v>1.00346</v>
      </c>
    </row>
    <row r="638" customFormat="false" ht="13.8" hidden="false" customHeight="false" outlineLevel="0" collapsed="false">
      <c r="A638" s="0" t="n">
        <f aca="false">1+A637</f>
        <v>637</v>
      </c>
      <c r="B638" s="0" t="n">
        <v>1.00232</v>
      </c>
    </row>
    <row r="639" customFormat="false" ht="13.8" hidden="false" customHeight="false" outlineLevel="0" collapsed="false">
      <c r="A639" s="0" t="n">
        <f aca="false">1+A638</f>
        <v>638</v>
      </c>
      <c r="B639" s="0" t="n">
        <v>0.997439</v>
      </c>
    </row>
    <row r="640" customFormat="false" ht="13.8" hidden="false" customHeight="false" outlineLevel="0" collapsed="false">
      <c r="A640" s="0" t="n">
        <f aca="false">1+A639</f>
        <v>639</v>
      </c>
      <c r="B640" s="0" t="n">
        <v>0.998802</v>
      </c>
    </row>
    <row r="641" customFormat="false" ht="13.8" hidden="false" customHeight="false" outlineLevel="0" collapsed="false">
      <c r="A641" s="0" t="n">
        <f aca="false">1+A640</f>
        <v>640</v>
      </c>
      <c r="B641" s="0" t="n">
        <v>1.00459</v>
      </c>
    </row>
    <row r="642" customFormat="false" ht="13.8" hidden="false" customHeight="false" outlineLevel="0" collapsed="false">
      <c r="A642" s="0" t="n">
        <f aca="false">1+A641</f>
        <v>641</v>
      </c>
      <c r="B642" s="0" t="n">
        <v>1.00999</v>
      </c>
    </row>
    <row r="643" customFormat="false" ht="13.8" hidden="false" customHeight="false" outlineLevel="0" collapsed="false">
      <c r="A643" s="0" t="n">
        <f aca="false">1+A642</f>
        <v>642</v>
      </c>
      <c r="B643" s="0" t="n">
        <v>0.997403</v>
      </c>
    </row>
    <row r="644" customFormat="false" ht="13.8" hidden="false" customHeight="false" outlineLevel="0" collapsed="false">
      <c r="A644" s="0" t="n">
        <f aca="false">1+A643</f>
        <v>643</v>
      </c>
      <c r="B644" s="0" t="n">
        <v>1.00106</v>
      </c>
    </row>
    <row r="645" customFormat="false" ht="13.8" hidden="false" customHeight="false" outlineLevel="0" collapsed="false">
      <c r="A645" s="0" t="n">
        <f aca="false">1+A644</f>
        <v>644</v>
      </c>
      <c r="B645" s="0" t="n">
        <v>1.00467</v>
      </c>
    </row>
    <row r="646" customFormat="false" ht="13.8" hidden="false" customHeight="false" outlineLevel="0" collapsed="false">
      <c r="A646" s="0" t="n">
        <f aca="false">1+A645</f>
        <v>645</v>
      </c>
      <c r="B646" s="0" t="n">
        <v>0.989914</v>
      </c>
    </row>
    <row r="647" customFormat="false" ht="13.8" hidden="false" customHeight="false" outlineLevel="0" collapsed="false">
      <c r="A647" s="0" t="n">
        <f aca="false">1+A646</f>
        <v>646</v>
      </c>
      <c r="B647" s="0" t="n">
        <v>0.986927</v>
      </c>
    </row>
    <row r="648" customFormat="false" ht="13.8" hidden="false" customHeight="false" outlineLevel="0" collapsed="false">
      <c r="A648" s="0" t="n">
        <f aca="false">1+A647</f>
        <v>647</v>
      </c>
      <c r="B648" s="0" t="n">
        <v>0.982923</v>
      </c>
    </row>
    <row r="649" customFormat="false" ht="13.8" hidden="false" customHeight="false" outlineLevel="0" collapsed="false">
      <c r="A649" s="0" t="n">
        <f aca="false">1+A648</f>
        <v>648</v>
      </c>
      <c r="B649" s="0" t="n">
        <v>0.988778</v>
      </c>
    </row>
    <row r="650" customFormat="false" ht="13.8" hidden="false" customHeight="false" outlineLevel="0" collapsed="false">
      <c r="A650" s="0" t="n">
        <f aca="false">1+A649</f>
        <v>649</v>
      </c>
      <c r="B650" s="0" t="n">
        <v>0.977316</v>
      </c>
    </row>
    <row r="651" customFormat="false" ht="13.8" hidden="false" customHeight="false" outlineLevel="0" collapsed="false">
      <c r="A651" s="0" t="n">
        <f aca="false">1+A650</f>
        <v>650</v>
      </c>
      <c r="B651" s="0" t="n">
        <v>0.978502</v>
      </c>
    </row>
    <row r="652" customFormat="false" ht="13.8" hidden="false" customHeight="false" outlineLevel="0" collapsed="false">
      <c r="A652" s="0" t="n">
        <f aca="false">1+A651</f>
        <v>651</v>
      </c>
      <c r="B652" s="0" t="n">
        <v>0.975207</v>
      </c>
    </row>
    <row r="653" customFormat="false" ht="13.8" hidden="false" customHeight="false" outlineLevel="0" collapsed="false">
      <c r="A653" s="0" t="n">
        <f aca="false">1+A652</f>
        <v>652</v>
      </c>
      <c r="B653" s="0" t="n">
        <v>0.971229</v>
      </c>
    </row>
    <row r="654" customFormat="false" ht="13.8" hidden="false" customHeight="false" outlineLevel="0" collapsed="false">
      <c r="A654" s="0" t="n">
        <f aca="false">1+A653</f>
        <v>653</v>
      </c>
      <c r="B654" s="0" t="n">
        <v>0.965412</v>
      </c>
    </row>
    <row r="655" customFormat="false" ht="13.8" hidden="false" customHeight="false" outlineLevel="0" collapsed="false">
      <c r="A655" s="0" t="n">
        <f aca="false">1+A654</f>
        <v>654</v>
      </c>
      <c r="B655" s="0" t="n">
        <v>0.960873</v>
      </c>
    </row>
    <row r="656" customFormat="false" ht="13.8" hidden="false" customHeight="false" outlineLevel="0" collapsed="false">
      <c r="A656" s="0" t="n">
        <f aca="false">1+A655</f>
        <v>655</v>
      </c>
      <c r="B656" s="0" t="n">
        <v>0.956736</v>
      </c>
    </row>
    <row r="657" customFormat="false" ht="13.8" hidden="false" customHeight="false" outlineLevel="0" collapsed="false">
      <c r="A657" s="0" t="n">
        <f aca="false">1+A656</f>
        <v>656</v>
      </c>
      <c r="B657" s="0" t="n">
        <v>0.954714</v>
      </c>
    </row>
    <row r="658" customFormat="false" ht="13.8" hidden="false" customHeight="false" outlineLevel="0" collapsed="false">
      <c r="A658" s="0" t="n">
        <f aca="false">1+A657</f>
        <v>657</v>
      </c>
      <c r="B658" s="0" t="n">
        <v>0.952572</v>
      </c>
    </row>
    <row r="659" customFormat="false" ht="13.8" hidden="false" customHeight="false" outlineLevel="0" collapsed="false">
      <c r="A659" s="0" t="n">
        <f aca="false">1+A658</f>
        <v>658</v>
      </c>
      <c r="B659" s="0" t="n">
        <v>0.950167</v>
      </c>
    </row>
    <row r="660" customFormat="false" ht="13.8" hidden="false" customHeight="false" outlineLevel="0" collapsed="false">
      <c r="A660" s="0" t="n">
        <f aca="false">1+A659</f>
        <v>659</v>
      </c>
      <c r="B660" s="0" t="n">
        <v>0.945074</v>
      </c>
    </row>
    <row r="661" customFormat="false" ht="13.8" hidden="false" customHeight="false" outlineLevel="0" collapsed="false">
      <c r="A661" s="0" t="n">
        <f aca="false">1+A660</f>
        <v>660</v>
      </c>
      <c r="B661" s="0" t="n">
        <v>0.945083</v>
      </c>
    </row>
    <row r="662" customFormat="false" ht="13.8" hidden="false" customHeight="false" outlineLevel="0" collapsed="false">
      <c r="A662" s="0" t="n">
        <f aca="false">1+A661</f>
        <v>661</v>
      </c>
      <c r="B662" s="0" t="n">
        <v>0.940149</v>
      </c>
    </row>
    <row r="663" customFormat="false" ht="13.8" hidden="false" customHeight="false" outlineLevel="0" collapsed="false">
      <c r="A663" s="0" t="n">
        <f aca="false">1+A662</f>
        <v>662</v>
      </c>
      <c r="B663" s="0" t="n">
        <v>0.932648</v>
      </c>
    </row>
    <row r="664" customFormat="false" ht="13.8" hidden="false" customHeight="false" outlineLevel="0" collapsed="false">
      <c r="A664" s="0" t="n">
        <f aca="false">1+A663</f>
        <v>663</v>
      </c>
      <c r="B664" s="0" t="n">
        <v>0.930281</v>
      </c>
    </row>
    <row r="665" customFormat="false" ht="13.8" hidden="false" customHeight="false" outlineLevel="0" collapsed="false">
      <c r="A665" s="0" t="n">
        <f aca="false">1+A664</f>
        <v>664</v>
      </c>
      <c r="B665" s="0" t="n">
        <v>0.919516</v>
      </c>
    </row>
    <row r="666" customFormat="false" ht="13.8" hidden="false" customHeight="false" outlineLevel="0" collapsed="false">
      <c r="A666" s="0" t="n">
        <f aca="false">1+A665</f>
        <v>665</v>
      </c>
      <c r="B666" s="0" t="n">
        <v>0.918997</v>
      </c>
    </row>
    <row r="667" customFormat="false" ht="13.8" hidden="false" customHeight="false" outlineLevel="0" collapsed="false">
      <c r="A667" s="0" t="n">
        <f aca="false">1+A666</f>
        <v>666</v>
      </c>
      <c r="B667" s="0" t="n">
        <v>0.918933</v>
      </c>
    </row>
    <row r="668" customFormat="false" ht="13.8" hidden="false" customHeight="false" outlineLevel="0" collapsed="false">
      <c r="A668" s="0" t="n">
        <f aca="false">1+A667</f>
        <v>667</v>
      </c>
      <c r="B668" s="0" t="n">
        <v>0.918673</v>
      </c>
    </row>
    <row r="669" customFormat="false" ht="13.8" hidden="false" customHeight="false" outlineLevel="0" collapsed="false">
      <c r="A669" s="0" t="n">
        <f aca="false">1+A668</f>
        <v>668</v>
      </c>
      <c r="B669" s="0" t="n">
        <v>0.916867</v>
      </c>
    </row>
    <row r="670" customFormat="false" ht="13.8" hidden="false" customHeight="false" outlineLevel="0" collapsed="false">
      <c r="A670" s="0" t="n">
        <f aca="false">1+A669</f>
        <v>669</v>
      </c>
      <c r="B670" s="0" t="n">
        <v>0.917604</v>
      </c>
    </row>
    <row r="671" customFormat="false" ht="13.8" hidden="false" customHeight="false" outlineLevel="0" collapsed="false">
      <c r="A671" s="0" t="n">
        <f aca="false">1+A670</f>
        <v>670</v>
      </c>
      <c r="B671" s="0" t="n">
        <v>0.911895</v>
      </c>
    </row>
    <row r="672" customFormat="false" ht="13.8" hidden="false" customHeight="false" outlineLevel="0" collapsed="false">
      <c r="A672" s="0" t="n">
        <f aca="false">1+A671</f>
        <v>671</v>
      </c>
      <c r="B672" s="0" t="n">
        <v>0.900582</v>
      </c>
    </row>
    <row r="673" customFormat="false" ht="13.8" hidden="false" customHeight="false" outlineLevel="0" collapsed="false">
      <c r="A673" s="0" t="n">
        <f aca="false">1+A672</f>
        <v>672</v>
      </c>
      <c r="B673" s="0" t="n">
        <v>0.903145</v>
      </c>
    </row>
    <row r="674" customFormat="false" ht="13.8" hidden="false" customHeight="false" outlineLevel="0" collapsed="false">
      <c r="A674" s="0" t="n">
        <f aca="false">1+A673</f>
        <v>673</v>
      </c>
      <c r="B674" s="0" t="n">
        <v>0.8978</v>
      </c>
    </row>
    <row r="675" customFormat="false" ht="13.8" hidden="false" customHeight="false" outlineLevel="0" collapsed="false">
      <c r="A675" s="0" t="n">
        <f aca="false">1+A674</f>
        <v>674</v>
      </c>
      <c r="B675" s="0" t="n">
        <v>0.894687</v>
      </c>
    </row>
    <row r="676" customFormat="false" ht="13.8" hidden="false" customHeight="false" outlineLevel="0" collapsed="false">
      <c r="A676" s="0" t="n">
        <f aca="false">1+A675</f>
        <v>675</v>
      </c>
      <c r="B676" s="0" t="n">
        <v>0.889</v>
      </c>
    </row>
    <row r="677" customFormat="false" ht="13.8" hidden="false" customHeight="false" outlineLevel="0" collapsed="false">
      <c r="A677" s="0" t="n">
        <f aca="false">1+A676</f>
        <v>676</v>
      </c>
      <c r="B677" s="0" t="n">
        <v>0.890856</v>
      </c>
    </row>
    <row r="678" customFormat="false" ht="13.8" hidden="false" customHeight="false" outlineLevel="0" collapsed="false">
      <c r="A678" s="0" t="n">
        <f aca="false">1+A677</f>
        <v>677</v>
      </c>
      <c r="B678" s="0" t="n">
        <v>0.887374</v>
      </c>
    </row>
    <row r="679" customFormat="false" ht="13.8" hidden="false" customHeight="false" outlineLevel="0" collapsed="false">
      <c r="A679" s="0" t="n">
        <f aca="false">1+A678</f>
        <v>678</v>
      </c>
      <c r="B679" s="0" t="n">
        <v>0.889216</v>
      </c>
    </row>
    <row r="680" customFormat="false" ht="13.8" hidden="false" customHeight="false" outlineLevel="0" collapsed="false">
      <c r="A680" s="0" t="n">
        <f aca="false">1+A679</f>
        <v>679</v>
      </c>
      <c r="B680" s="0" t="n">
        <v>0.888813</v>
      </c>
    </row>
    <row r="681" customFormat="false" ht="13.8" hidden="false" customHeight="false" outlineLevel="0" collapsed="false">
      <c r="A681" s="0" t="n">
        <f aca="false">1+A680</f>
        <v>680</v>
      </c>
      <c r="B681" s="0" t="n">
        <v>0.885463</v>
      </c>
    </row>
    <row r="682" customFormat="false" ht="13.8" hidden="false" customHeight="false" outlineLevel="0" collapsed="false">
      <c r="A682" s="0" t="n">
        <f aca="false">1+A681</f>
        <v>681</v>
      </c>
      <c r="B682" s="0" t="n">
        <v>0.886816</v>
      </c>
    </row>
    <row r="683" customFormat="false" ht="13.8" hidden="false" customHeight="false" outlineLevel="0" collapsed="false">
      <c r="A683" s="0" t="n">
        <f aca="false">1+A682</f>
        <v>682</v>
      </c>
      <c r="B683" s="0" t="n">
        <v>0.888542</v>
      </c>
    </row>
    <row r="684" customFormat="false" ht="13.8" hidden="false" customHeight="false" outlineLevel="0" collapsed="false">
      <c r="A684" s="0" t="n">
        <f aca="false">1+A683</f>
        <v>683</v>
      </c>
      <c r="B684" s="0" t="n">
        <v>0.884235</v>
      </c>
    </row>
    <row r="685" customFormat="false" ht="13.8" hidden="false" customHeight="false" outlineLevel="0" collapsed="false">
      <c r="A685" s="0" t="n">
        <f aca="false">1+A684</f>
        <v>684</v>
      </c>
      <c r="B685" s="0" t="n">
        <v>0.88317</v>
      </c>
    </row>
    <row r="686" customFormat="false" ht="13.8" hidden="false" customHeight="false" outlineLevel="0" collapsed="false">
      <c r="A686" s="0" t="n">
        <f aca="false">1+A685</f>
        <v>685</v>
      </c>
      <c r="B686" s="0" t="n">
        <v>0.882509</v>
      </c>
    </row>
    <row r="687" customFormat="false" ht="13.8" hidden="false" customHeight="false" outlineLevel="0" collapsed="false">
      <c r="A687" s="0" t="n">
        <f aca="false">1+A686</f>
        <v>686</v>
      </c>
      <c r="B687" s="0" t="n">
        <v>0.884956</v>
      </c>
    </row>
    <row r="688" customFormat="false" ht="13.8" hidden="false" customHeight="false" outlineLevel="0" collapsed="false">
      <c r="A688" s="0" t="n">
        <f aca="false">1+A687</f>
        <v>687</v>
      </c>
      <c r="B688" s="0" t="n">
        <v>0.875521</v>
      </c>
    </row>
    <row r="689" customFormat="false" ht="13.8" hidden="false" customHeight="false" outlineLevel="0" collapsed="false">
      <c r="A689" s="0" t="n">
        <f aca="false">1+A688</f>
        <v>688</v>
      </c>
      <c r="B689" s="0" t="n">
        <v>0.875011</v>
      </c>
    </row>
    <row r="690" customFormat="false" ht="13.8" hidden="false" customHeight="false" outlineLevel="0" collapsed="false">
      <c r="A690" s="0" t="n">
        <f aca="false">1+A689</f>
        <v>689</v>
      </c>
      <c r="B690" s="0" t="n">
        <v>0.87648</v>
      </c>
    </row>
    <row r="691" customFormat="false" ht="13.8" hidden="false" customHeight="false" outlineLevel="0" collapsed="false">
      <c r="A691" s="0" t="n">
        <f aca="false">1+A690</f>
        <v>690</v>
      </c>
      <c r="B691" s="0" t="n">
        <v>0.874883</v>
      </c>
    </row>
    <row r="692" customFormat="false" ht="13.8" hidden="false" customHeight="false" outlineLevel="0" collapsed="false">
      <c r="A692" s="0" t="n">
        <f aca="false">1+A691</f>
        <v>691</v>
      </c>
      <c r="B692" s="0" t="n">
        <v>0.877166</v>
      </c>
    </row>
    <row r="693" customFormat="false" ht="13.8" hidden="false" customHeight="false" outlineLevel="0" collapsed="false">
      <c r="A693" s="0" t="n">
        <f aca="false">1+A692</f>
        <v>692</v>
      </c>
      <c r="B693" s="0" t="n">
        <v>0.882218</v>
      </c>
    </row>
    <row r="694" customFormat="false" ht="13.8" hidden="false" customHeight="false" outlineLevel="0" collapsed="false">
      <c r="A694" s="0" t="n">
        <f aca="false">1+A693</f>
        <v>693</v>
      </c>
      <c r="B694" s="0" t="n">
        <v>0.878166</v>
      </c>
    </row>
    <row r="695" customFormat="false" ht="13.8" hidden="false" customHeight="false" outlineLevel="0" collapsed="false">
      <c r="A695" s="0" t="n">
        <f aca="false">1+A694</f>
        <v>694</v>
      </c>
      <c r="B695" s="0" t="n">
        <v>0.877465</v>
      </c>
    </row>
    <row r="696" customFormat="false" ht="13.8" hidden="false" customHeight="false" outlineLevel="0" collapsed="false">
      <c r="A696" s="0" t="n">
        <f aca="false">1+A695</f>
        <v>695</v>
      </c>
      <c r="B696" s="0" t="n">
        <v>0.879546</v>
      </c>
    </row>
    <row r="697" customFormat="false" ht="13.8" hidden="false" customHeight="false" outlineLevel="0" collapsed="false">
      <c r="A697" s="0" t="n">
        <f aca="false">1+A696</f>
        <v>696</v>
      </c>
      <c r="B697" s="0" t="n">
        <v>0.881513</v>
      </c>
    </row>
    <row r="698" customFormat="false" ht="13.8" hidden="false" customHeight="false" outlineLevel="0" collapsed="false">
      <c r="A698" s="0" t="n">
        <f aca="false">1+A697</f>
        <v>697</v>
      </c>
      <c r="B698" s="0" t="n">
        <v>0.886463</v>
      </c>
    </row>
    <row r="699" customFormat="false" ht="13.8" hidden="false" customHeight="false" outlineLevel="0" collapsed="false">
      <c r="A699" s="0" t="n">
        <f aca="false">1+A698</f>
        <v>698</v>
      </c>
      <c r="B699" s="0" t="n">
        <v>0.891158</v>
      </c>
    </row>
    <row r="700" customFormat="false" ht="13.8" hidden="false" customHeight="false" outlineLevel="0" collapsed="false">
      <c r="A700" s="0" t="n">
        <f aca="false">1+A699</f>
        <v>699</v>
      </c>
      <c r="B700" s="0" t="n">
        <v>0.889867</v>
      </c>
    </row>
    <row r="701" customFormat="false" ht="13.8" hidden="false" customHeight="false" outlineLevel="0" collapsed="false">
      <c r="A701" s="0" t="n">
        <f aca="false">1+A700</f>
        <v>700</v>
      </c>
      <c r="B701" s="0" t="n">
        <v>0.872326</v>
      </c>
    </row>
    <row r="702" customFormat="false" ht="13.8" hidden="false" customHeight="false" outlineLevel="0" collapsed="false">
      <c r="A702" s="0" t="n">
        <f aca="false">1+A701</f>
        <v>701</v>
      </c>
      <c r="B702" s="0" t="n">
        <v>0.858203</v>
      </c>
    </row>
    <row r="703" customFormat="false" ht="13.8" hidden="false" customHeight="false" outlineLevel="0" collapsed="false">
      <c r="A703" s="0" t="n">
        <f aca="false">1+A702</f>
        <v>702</v>
      </c>
      <c r="B703" s="0" t="n">
        <v>0.859943</v>
      </c>
    </row>
    <row r="704" customFormat="false" ht="13.8" hidden="false" customHeight="false" outlineLevel="0" collapsed="false">
      <c r="A704" s="0" t="n">
        <f aca="false">1+A703</f>
        <v>703</v>
      </c>
      <c r="B704" s="0" t="n">
        <v>0.857851</v>
      </c>
    </row>
    <row r="705" customFormat="false" ht="13.8" hidden="false" customHeight="false" outlineLevel="0" collapsed="false">
      <c r="A705" s="0" t="n">
        <f aca="false">1+A704</f>
        <v>704</v>
      </c>
      <c r="B705" s="0" t="n">
        <v>0.86255</v>
      </c>
    </row>
    <row r="706" customFormat="false" ht="13.8" hidden="false" customHeight="false" outlineLevel="0" collapsed="false">
      <c r="A706" s="0" t="n">
        <f aca="false">1+A705</f>
        <v>705</v>
      </c>
      <c r="B706" s="0" t="n">
        <v>0.857831</v>
      </c>
    </row>
    <row r="707" customFormat="false" ht="13.8" hidden="false" customHeight="false" outlineLevel="0" collapsed="false">
      <c r="A707" s="0" t="n">
        <f aca="false">1+A706</f>
        <v>706</v>
      </c>
      <c r="B707" s="0" t="n">
        <v>0.863328</v>
      </c>
    </row>
    <row r="708" customFormat="false" ht="13.8" hidden="false" customHeight="false" outlineLevel="0" collapsed="false">
      <c r="A708" s="0" t="n">
        <f aca="false">1+A707</f>
        <v>707</v>
      </c>
      <c r="B708" s="0" t="n">
        <v>0.855415</v>
      </c>
    </row>
    <row r="709" customFormat="false" ht="13.8" hidden="false" customHeight="false" outlineLevel="0" collapsed="false">
      <c r="A709" s="0" t="n">
        <f aca="false">1+A708</f>
        <v>708</v>
      </c>
      <c r="B709" s="0" t="n">
        <v>0.859522</v>
      </c>
    </row>
    <row r="710" customFormat="false" ht="13.8" hidden="false" customHeight="false" outlineLevel="0" collapsed="false">
      <c r="A710" s="0" t="n">
        <f aca="false">1+A709</f>
        <v>709</v>
      </c>
      <c r="B710" s="0" t="n">
        <v>0.863873</v>
      </c>
    </row>
    <row r="711" customFormat="false" ht="13.8" hidden="false" customHeight="false" outlineLevel="0" collapsed="false">
      <c r="A711" s="0" t="n">
        <f aca="false">1+A710</f>
        <v>710</v>
      </c>
      <c r="B711" s="0" t="n">
        <v>0.858325</v>
      </c>
    </row>
    <row r="712" customFormat="false" ht="13.8" hidden="false" customHeight="false" outlineLevel="0" collapsed="false">
      <c r="A712" s="0" t="n">
        <f aca="false">1+A711</f>
        <v>711</v>
      </c>
      <c r="B712" s="0" t="n">
        <v>0.852806</v>
      </c>
    </row>
    <row r="713" customFormat="false" ht="13.8" hidden="false" customHeight="false" outlineLevel="0" collapsed="false">
      <c r="A713" s="0" t="n">
        <f aca="false">1+A712</f>
        <v>712</v>
      </c>
      <c r="B713" s="0" t="n">
        <v>0.847341</v>
      </c>
    </row>
    <row r="714" customFormat="false" ht="13.8" hidden="false" customHeight="false" outlineLevel="0" collapsed="false">
      <c r="A714" s="0" t="n">
        <f aca="false">1+A713</f>
        <v>713</v>
      </c>
      <c r="B714" s="0" t="n">
        <v>0.845265</v>
      </c>
    </row>
    <row r="715" customFormat="false" ht="13.8" hidden="false" customHeight="false" outlineLevel="0" collapsed="false">
      <c r="A715" s="0" t="n">
        <f aca="false">1+A714</f>
        <v>714</v>
      </c>
      <c r="B715" s="0" t="n">
        <v>0.84296</v>
      </c>
    </row>
    <row r="716" customFormat="false" ht="13.8" hidden="false" customHeight="false" outlineLevel="0" collapsed="false">
      <c r="A716" s="0" t="n">
        <f aca="false">1+A715</f>
        <v>715</v>
      </c>
      <c r="B716" s="0" t="n">
        <v>0.832811</v>
      </c>
    </row>
    <row r="717" customFormat="false" ht="13.8" hidden="false" customHeight="false" outlineLevel="0" collapsed="false">
      <c r="A717" s="0" t="n">
        <f aca="false">1+A716</f>
        <v>716</v>
      </c>
      <c r="B717" s="0" t="n">
        <v>0.823839</v>
      </c>
    </row>
    <row r="718" customFormat="false" ht="13.8" hidden="false" customHeight="false" outlineLevel="0" collapsed="false">
      <c r="A718" s="0" t="n">
        <f aca="false">1+A717</f>
        <v>717</v>
      </c>
      <c r="B718" s="0" t="n">
        <v>0.824728</v>
      </c>
    </row>
    <row r="719" customFormat="false" ht="13.8" hidden="false" customHeight="false" outlineLevel="0" collapsed="false">
      <c r="A719" s="0" t="n">
        <f aca="false">1+A718</f>
        <v>718</v>
      </c>
      <c r="B719" s="0" t="n">
        <v>0.826622</v>
      </c>
    </row>
    <row r="720" customFormat="false" ht="13.8" hidden="false" customHeight="false" outlineLevel="0" collapsed="false">
      <c r="A720" s="0" t="n">
        <f aca="false">1+A719</f>
        <v>719</v>
      </c>
      <c r="B720" s="0" t="n">
        <v>0.824735</v>
      </c>
    </row>
    <row r="721" customFormat="false" ht="13.8" hidden="false" customHeight="false" outlineLevel="0" collapsed="false">
      <c r="A721" s="0" t="n">
        <f aca="false">1+A720</f>
        <v>720</v>
      </c>
      <c r="B721" s="0" t="n">
        <v>0.825793</v>
      </c>
    </row>
    <row r="722" customFormat="false" ht="13.8" hidden="false" customHeight="false" outlineLevel="0" collapsed="false">
      <c r="A722" s="0" t="n">
        <f aca="false">1+A721</f>
        <v>721</v>
      </c>
      <c r="B722" s="0" t="n">
        <v>0.823432</v>
      </c>
    </row>
    <row r="723" customFormat="false" ht="13.8" hidden="false" customHeight="false" outlineLevel="0" collapsed="false">
      <c r="A723" s="0" t="n">
        <f aca="false">1+A722</f>
        <v>722</v>
      </c>
      <c r="B723" s="0" t="n">
        <v>0.820416</v>
      </c>
    </row>
    <row r="724" customFormat="false" ht="13.8" hidden="false" customHeight="false" outlineLevel="0" collapsed="false">
      <c r="A724" s="0" t="n">
        <f aca="false">1+A723</f>
        <v>723</v>
      </c>
      <c r="B724" s="0" t="n">
        <v>0.821648</v>
      </c>
    </row>
    <row r="725" customFormat="false" ht="13.8" hidden="false" customHeight="false" outlineLevel="0" collapsed="false">
      <c r="A725" s="0" t="n">
        <f aca="false">1+A724</f>
        <v>724</v>
      </c>
      <c r="B725" s="0" t="n">
        <v>0.82229</v>
      </c>
    </row>
    <row r="726" customFormat="false" ht="13.8" hidden="false" customHeight="false" outlineLevel="0" collapsed="false">
      <c r="A726" s="0" t="n">
        <f aca="false">1+A725</f>
        <v>725</v>
      </c>
      <c r="B726" s="0" t="n">
        <v>0.808715</v>
      </c>
    </row>
    <row r="727" customFormat="false" ht="13.8" hidden="false" customHeight="false" outlineLevel="0" collapsed="false">
      <c r="A727" s="0" t="n">
        <f aca="false">1+A726</f>
        <v>726</v>
      </c>
      <c r="B727" s="0" t="n">
        <v>0.809356</v>
      </c>
    </row>
    <row r="728" customFormat="false" ht="13.8" hidden="false" customHeight="false" outlineLevel="0" collapsed="false">
      <c r="A728" s="0" t="n">
        <f aca="false">1+A727</f>
        <v>727</v>
      </c>
      <c r="B728" s="0" t="n">
        <v>0.806482</v>
      </c>
    </row>
    <row r="729" customFormat="false" ht="13.8" hidden="false" customHeight="false" outlineLevel="0" collapsed="false">
      <c r="A729" s="0" t="n">
        <f aca="false">1+A728</f>
        <v>728</v>
      </c>
      <c r="B729" s="0" t="n">
        <v>0.807057</v>
      </c>
    </row>
    <row r="730" customFormat="false" ht="13.8" hidden="false" customHeight="false" outlineLevel="0" collapsed="false">
      <c r="A730" s="0" t="n">
        <f aca="false">1+A729</f>
        <v>729</v>
      </c>
      <c r="B730" s="0" t="n">
        <v>0.811198</v>
      </c>
    </row>
    <row r="731" customFormat="false" ht="13.8" hidden="false" customHeight="false" outlineLevel="0" collapsed="false">
      <c r="A731" s="0" t="n">
        <f aca="false">1+A730</f>
        <v>730</v>
      </c>
      <c r="B731" s="0" t="n">
        <v>0.804646</v>
      </c>
    </row>
    <row r="732" customFormat="false" ht="13.8" hidden="false" customHeight="false" outlineLevel="0" collapsed="false">
      <c r="A732" s="0" t="n">
        <f aca="false">1+A731</f>
        <v>731</v>
      </c>
      <c r="B732" s="0" t="n">
        <v>0.805836</v>
      </c>
    </row>
    <row r="733" customFormat="false" ht="13.8" hidden="false" customHeight="false" outlineLevel="0" collapsed="false">
      <c r="A733" s="0" t="n">
        <f aca="false">1+A732</f>
        <v>732</v>
      </c>
      <c r="B733" s="0" t="n">
        <v>0.806761</v>
      </c>
    </row>
    <row r="734" customFormat="false" ht="13.8" hidden="false" customHeight="false" outlineLevel="0" collapsed="false">
      <c r="A734" s="0" t="n">
        <f aca="false">1+A733</f>
        <v>733</v>
      </c>
      <c r="B734" s="0" t="n">
        <v>0.807355</v>
      </c>
    </row>
    <row r="735" customFormat="false" ht="13.8" hidden="false" customHeight="false" outlineLevel="0" collapsed="false">
      <c r="A735" s="0" t="n">
        <f aca="false">1+A734</f>
        <v>734</v>
      </c>
      <c r="B735" s="0" t="n">
        <v>0.807453</v>
      </c>
    </row>
    <row r="736" customFormat="false" ht="13.8" hidden="false" customHeight="false" outlineLevel="0" collapsed="false">
      <c r="A736" s="0" t="n">
        <f aca="false">1+A735</f>
        <v>735</v>
      </c>
      <c r="B736" s="0" t="n">
        <v>0.811739</v>
      </c>
    </row>
    <row r="737" customFormat="false" ht="13.8" hidden="false" customHeight="false" outlineLevel="0" collapsed="false">
      <c r="A737" s="0" t="n">
        <f aca="false">1+A736</f>
        <v>736</v>
      </c>
      <c r="B737" s="0" t="n">
        <v>0.812338</v>
      </c>
    </row>
    <row r="738" customFormat="false" ht="13.8" hidden="false" customHeight="false" outlineLevel="0" collapsed="false">
      <c r="A738" s="0" t="n">
        <f aca="false">1+A737</f>
        <v>737</v>
      </c>
      <c r="B738" s="0" t="n">
        <v>0.816923</v>
      </c>
    </row>
    <row r="739" customFormat="false" ht="13.8" hidden="false" customHeight="false" outlineLevel="0" collapsed="false">
      <c r="A739" s="0" t="n">
        <f aca="false">1+A738</f>
        <v>738</v>
      </c>
      <c r="B739" s="0" t="n">
        <v>0.809717</v>
      </c>
    </row>
    <row r="740" customFormat="false" ht="13.8" hidden="false" customHeight="false" outlineLevel="0" collapsed="false">
      <c r="A740" s="0" t="n">
        <f aca="false">1+A739</f>
        <v>739</v>
      </c>
      <c r="B740" s="0" t="n">
        <v>0.813722</v>
      </c>
    </row>
    <row r="741" customFormat="false" ht="13.8" hidden="false" customHeight="false" outlineLevel="0" collapsed="false">
      <c r="A741" s="0" t="n">
        <f aca="false">1+A740</f>
        <v>740</v>
      </c>
      <c r="B741" s="0" t="n">
        <v>0.798459</v>
      </c>
    </row>
    <row r="742" customFormat="false" ht="13.8" hidden="false" customHeight="false" outlineLevel="0" collapsed="false">
      <c r="A742" s="0" t="n">
        <f aca="false">1+A741</f>
        <v>741</v>
      </c>
      <c r="B742" s="0" t="n">
        <v>0.790641</v>
      </c>
    </row>
    <row r="743" customFormat="false" ht="13.8" hidden="false" customHeight="false" outlineLevel="0" collapsed="false">
      <c r="A743" s="0" t="n">
        <f aca="false">1+A742</f>
        <v>742</v>
      </c>
      <c r="B743" s="0" t="n">
        <v>0.790498</v>
      </c>
    </row>
    <row r="744" customFormat="false" ht="13.8" hidden="false" customHeight="false" outlineLevel="0" collapsed="false">
      <c r="A744" s="0" t="n">
        <f aca="false">1+A743</f>
        <v>743</v>
      </c>
      <c r="B744" s="0" t="n">
        <v>0.794751</v>
      </c>
    </row>
    <row r="745" customFormat="false" ht="13.8" hidden="false" customHeight="false" outlineLevel="0" collapsed="false">
      <c r="A745" s="0" t="n">
        <f aca="false">1+A744</f>
        <v>744</v>
      </c>
      <c r="B745" s="0" t="n">
        <v>0.799082</v>
      </c>
    </row>
    <row r="746" customFormat="false" ht="13.8" hidden="false" customHeight="false" outlineLevel="0" collapsed="false">
      <c r="A746" s="0" t="n">
        <f aca="false">1+A745</f>
        <v>745</v>
      </c>
      <c r="B746" s="0" t="n">
        <v>0.791949</v>
      </c>
    </row>
    <row r="747" customFormat="false" ht="13.8" hidden="false" customHeight="false" outlineLevel="0" collapsed="false">
      <c r="A747" s="0" t="n">
        <f aca="false">1+A746</f>
        <v>746</v>
      </c>
      <c r="B747" s="0" t="n">
        <v>0.796053</v>
      </c>
    </row>
    <row r="748" customFormat="false" ht="13.8" hidden="false" customHeight="false" outlineLevel="0" collapsed="false">
      <c r="A748" s="0" t="n">
        <f aca="false">1+A747</f>
        <v>747</v>
      </c>
      <c r="B748" s="0" t="n">
        <v>0.792129</v>
      </c>
    </row>
    <row r="749" customFormat="false" ht="13.8" hidden="false" customHeight="false" outlineLevel="0" collapsed="false">
      <c r="A749" s="0" t="n">
        <f aca="false">1+A748</f>
        <v>748</v>
      </c>
      <c r="B749" s="0" t="n">
        <v>0.791955</v>
      </c>
    </row>
    <row r="750" customFormat="false" ht="13.8" hidden="false" customHeight="false" outlineLevel="0" collapsed="false">
      <c r="A750" s="0" t="n">
        <f aca="false">1+A749</f>
        <v>749</v>
      </c>
      <c r="B750" s="0" t="n">
        <v>0.7878</v>
      </c>
    </row>
    <row r="751" customFormat="false" ht="13.8" hidden="false" customHeight="false" outlineLevel="0" collapsed="false">
      <c r="A751" s="0" t="n">
        <f aca="false">1+A750</f>
        <v>750</v>
      </c>
      <c r="B751" s="0" t="n">
        <v>0.787168</v>
      </c>
    </row>
    <row r="752" customFormat="false" ht="13.8" hidden="false" customHeight="false" outlineLevel="0" collapsed="false">
      <c r="A752" s="0" t="n">
        <f aca="false">1+A751</f>
        <v>751</v>
      </c>
      <c r="B752" s="0" t="n">
        <v>0.787871</v>
      </c>
    </row>
    <row r="753" customFormat="false" ht="13.8" hidden="false" customHeight="false" outlineLevel="0" collapsed="false">
      <c r="A753" s="0" t="n">
        <f aca="false">1+A752</f>
        <v>752</v>
      </c>
      <c r="B753" s="0" t="n">
        <v>0.783894</v>
      </c>
    </row>
    <row r="754" customFormat="false" ht="13.8" hidden="false" customHeight="false" outlineLevel="0" collapsed="false">
      <c r="A754" s="0" t="n">
        <f aca="false">1+A753</f>
        <v>753</v>
      </c>
      <c r="B754" s="0" t="n">
        <v>0.775227</v>
      </c>
    </row>
    <row r="755" customFormat="false" ht="13.8" hidden="false" customHeight="false" outlineLevel="0" collapsed="false">
      <c r="A755" s="0" t="n">
        <f aca="false">1+A754</f>
        <v>754</v>
      </c>
      <c r="B755" s="0" t="n">
        <v>0.770896</v>
      </c>
    </row>
    <row r="756" customFormat="false" ht="13.8" hidden="false" customHeight="false" outlineLevel="0" collapsed="false">
      <c r="A756" s="0" t="n">
        <f aca="false">1+A755</f>
        <v>755</v>
      </c>
      <c r="B756" s="0" t="n">
        <v>0.762328</v>
      </c>
    </row>
    <row r="757" customFormat="false" ht="13.8" hidden="false" customHeight="false" outlineLevel="0" collapsed="false">
      <c r="A757" s="0" t="n">
        <f aca="false">1+A756</f>
        <v>756</v>
      </c>
      <c r="B757" s="0" t="n">
        <v>0.761588</v>
      </c>
    </row>
    <row r="758" customFormat="false" ht="13.8" hidden="false" customHeight="false" outlineLevel="0" collapsed="false">
      <c r="A758" s="0" t="n">
        <f aca="false">1+A757</f>
        <v>757</v>
      </c>
      <c r="B758" s="0" t="n">
        <v>0.765576</v>
      </c>
    </row>
    <row r="759" customFormat="false" ht="13.8" hidden="false" customHeight="false" outlineLevel="0" collapsed="false">
      <c r="A759" s="0" t="n">
        <f aca="false">1+A758</f>
        <v>758</v>
      </c>
      <c r="B759" s="0" t="n">
        <v>0.761163</v>
      </c>
    </row>
    <row r="760" customFormat="false" ht="13.8" hidden="false" customHeight="false" outlineLevel="0" collapsed="false">
      <c r="A760" s="0" t="n">
        <f aca="false">1+A759</f>
        <v>759</v>
      </c>
      <c r="B760" s="0" t="n">
        <v>0.760473</v>
      </c>
    </row>
    <row r="761" customFormat="false" ht="13.8" hidden="false" customHeight="false" outlineLevel="0" collapsed="false">
      <c r="A761" s="0" t="n">
        <f aca="false">1+A760</f>
        <v>760</v>
      </c>
      <c r="B761" s="0" t="n">
        <v>0.756728</v>
      </c>
    </row>
    <row r="762" customFormat="false" ht="13.8" hidden="false" customHeight="false" outlineLevel="0" collapsed="false">
      <c r="A762" s="0" t="n">
        <f aca="false">1+A761</f>
        <v>761</v>
      </c>
      <c r="B762" s="0" t="n">
        <v>0.756416</v>
      </c>
    </row>
    <row r="763" customFormat="false" ht="13.8" hidden="false" customHeight="false" outlineLevel="0" collapsed="false">
      <c r="A763" s="0" t="n">
        <f aca="false">1+A762</f>
        <v>762</v>
      </c>
      <c r="B763" s="0" t="n">
        <v>0.751267</v>
      </c>
    </row>
    <row r="764" customFormat="false" ht="13.8" hidden="false" customHeight="false" outlineLevel="0" collapsed="false">
      <c r="A764" s="0" t="n">
        <f aca="false">1+A763</f>
        <v>763</v>
      </c>
      <c r="B764" s="0" t="n">
        <v>0.755163</v>
      </c>
    </row>
    <row r="765" customFormat="false" ht="13.8" hidden="false" customHeight="false" outlineLevel="0" collapsed="false">
      <c r="A765" s="0" t="n">
        <f aca="false">1+A764</f>
        <v>764</v>
      </c>
      <c r="B765" s="0" t="n">
        <v>0.758892</v>
      </c>
    </row>
    <row r="766" customFormat="false" ht="13.8" hidden="false" customHeight="false" outlineLevel="0" collapsed="false">
      <c r="A766" s="0" t="n">
        <f aca="false">1+A765</f>
        <v>765</v>
      </c>
      <c r="B766" s="0" t="n">
        <v>0.753711</v>
      </c>
    </row>
    <row r="767" customFormat="false" ht="13.8" hidden="false" customHeight="false" outlineLevel="0" collapsed="false">
      <c r="A767" s="0" t="n">
        <f aca="false">1+A766</f>
        <v>766</v>
      </c>
      <c r="B767" s="0" t="n">
        <v>0.748856</v>
      </c>
    </row>
    <row r="768" customFormat="false" ht="13.8" hidden="false" customHeight="false" outlineLevel="0" collapsed="false">
      <c r="A768" s="0" t="n">
        <f aca="false">1+A767</f>
        <v>767</v>
      </c>
      <c r="B768" s="0" t="n">
        <v>0.751949</v>
      </c>
    </row>
    <row r="769" customFormat="false" ht="13.8" hidden="false" customHeight="false" outlineLevel="0" collapsed="false">
      <c r="A769" s="0" t="n">
        <f aca="false">1+A768</f>
        <v>768</v>
      </c>
      <c r="B769" s="0" t="n">
        <v>0.746582</v>
      </c>
    </row>
    <row r="770" customFormat="false" ht="13.8" hidden="false" customHeight="false" outlineLevel="0" collapsed="false">
      <c r="A770" s="0" t="n">
        <f aca="false">1+A769</f>
        <v>769</v>
      </c>
      <c r="B770" s="0" t="n">
        <v>0.750223</v>
      </c>
    </row>
    <row r="771" customFormat="false" ht="13.8" hidden="false" customHeight="false" outlineLevel="0" collapsed="false">
      <c r="A771" s="0" t="n">
        <f aca="false">1+A770</f>
        <v>770</v>
      </c>
      <c r="B771" s="0" t="n">
        <v>0.75429</v>
      </c>
    </row>
    <row r="772" customFormat="false" ht="13.8" hidden="false" customHeight="false" outlineLevel="0" collapsed="false">
      <c r="A772" s="0" t="n">
        <f aca="false">1+A771</f>
        <v>771</v>
      </c>
      <c r="B772" s="0" t="n">
        <v>0.757755</v>
      </c>
    </row>
    <row r="773" customFormat="false" ht="13.8" hidden="false" customHeight="false" outlineLevel="0" collapsed="false">
      <c r="A773" s="0" t="n">
        <f aca="false">1+A772</f>
        <v>772</v>
      </c>
      <c r="B773" s="0" t="n">
        <v>0.761433</v>
      </c>
    </row>
    <row r="774" customFormat="false" ht="13.8" hidden="false" customHeight="false" outlineLevel="0" collapsed="false">
      <c r="A774" s="0" t="n">
        <f aca="false">1+A773</f>
        <v>773</v>
      </c>
      <c r="B774" s="0" t="n">
        <v>0.766027</v>
      </c>
    </row>
    <row r="775" customFormat="false" ht="13.8" hidden="false" customHeight="false" outlineLevel="0" collapsed="false">
      <c r="A775" s="0" t="n">
        <f aca="false">1+A774</f>
        <v>774</v>
      </c>
      <c r="B775" s="0" t="n">
        <v>0.765122</v>
      </c>
    </row>
    <row r="776" customFormat="false" ht="13.8" hidden="false" customHeight="false" outlineLevel="0" collapsed="false">
      <c r="A776" s="0" t="n">
        <f aca="false">1+A775</f>
        <v>775</v>
      </c>
      <c r="B776" s="0" t="n">
        <v>0.759996</v>
      </c>
    </row>
    <row r="777" customFormat="false" ht="13.8" hidden="false" customHeight="false" outlineLevel="0" collapsed="false">
      <c r="A777" s="0" t="n">
        <f aca="false">1+A776</f>
        <v>776</v>
      </c>
      <c r="B777" s="0" t="n">
        <v>0.754258</v>
      </c>
    </row>
    <row r="778" customFormat="false" ht="13.8" hidden="false" customHeight="false" outlineLevel="0" collapsed="false">
      <c r="A778" s="0" t="n">
        <f aca="false">1+A777</f>
        <v>777</v>
      </c>
      <c r="B778" s="0" t="n">
        <v>0.759283</v>
      </c>
    </row>
    <row r="779" customFormat="false" ht="13.8" hidden="false" customHeight="false" outlineLevel="0" collapsed="false">
      <c r="A779" s="0" t="n">
        <f aca="false">1+A778</f>
        <v>778</v>
      </c>
      <c r="B779" s="0" t="n">
        <v>0.753435</v>
      </c>
    </row>
    <row r="780" customFormat="false" ht="13.8" hidden="false" customHeight="false" outlineLevel="0" collapsed="false">
      <c r="A780" s="0" t="n">
        <f aca="false">1+A779</f>
        <v>779</v>
      </c>
      <c r="B780" s="0" t="n">
        <v>0.737624</v>
      </c>
    </row>
    <row r="781" customFormat="false" ht="13.8" hidden="false" customHeight="false" outlineLevel="0" collapsed="false">
      <c r="A781" s="0" t="n">
        <f aca="false">1+A780</f>
        <v>780</v>
      </c>
      <c r="B781" s="0" t="n">
        <v>0.74133</v>
      </c>
    </row>
    <row r="782" customFormat="false" ht="13.8" hidden="false" customHeight="false" outlineLevel="0" collapsed="false">
      <c r="A782" s="0" t="n">
        <f aca="false">1+A781</f>
        <v>781</v>
      </c>
      <c r="B782" s="0" t="n">
        <v>0.739815</v>
      </c>
    </row>
    <row r="783" customFormat="false" ht="13.8" hidden="false" customHeight="false" outlineLevel="0" collapsed="false">
      <c r="A783" s="0" t="n">
        <f aca="false">1+A782</f>
        <v>782</v>
      </c>
      <c r="B783" s="0" t="n">
        <v>0.743793</v>
      </c>
    </row>
    <row r="784" customFormat="false" ht="13.8" hidden="false" customHeight="false" outlineLevel="0" collapsed="false">
      <c r="A784" s="0" t="n">
        <f aca="false">1+A783</f>
        <v>783</v>
      </c>
      <c r="B784" s="0" t="n">
        <v>0.748495</v>
      </c>
    </row>
    <row r="785" customFormat="false" ht="13.8" hidden="false" customHeight="false" outlineLevel="0" collapsed="false">
      <c r="A785" s="0" t="n">
        <f aca="false">1+A784</f>
        <v>784</v>
      </c>
      <c r="B785" s="0" t="n">
        <v>0.746724</v>
      </c>
    </row>
    <row r="786" customFormat="false" ht="13.8" hidden="false" customHeight="false" outlineLevel="0" collapsed="false">
      <c r="A786" s="0" t="n">
        <f aca="false">1+A785</f>
        <v>785</v>
      </c>
      <c r="B786" s="0" t="n">
        <v>0.736008</v>
      </c>
    </row>
    <row r="787" customFormat="false" ht="13.8" hidden="false" customHeight="false" outlineLevel="0" collapsed="false">
      <c r="A787" s="0" t="n">
        <f aca="false">1+A786</f>
        <v>786</v>
      </c>
      <c r="B787" s="0" t="n">
        <v>0.734841</v>
      </c>
    </row>
    <row r="788" customFormat="false" ht="13.8" hidden="false" customHeight="false" outlineLevel="0" collapsed="false">
      <c r="A788" s="0" t="n">
        <f aca="false">1+A787</f>
        <v>787</v>
      </c>
      <c r="B788" s="0" t="n">
        <v>0.723439</v>
      </c>
    </row>
    <row r="789" customFormat="false" ht="13.8" hidden="false" customHeight="false" outlineLevel="0" collapsed="false">
      <c r="A789" s="0" t="n">
        <f aca="false">1+A788</f>
        <v>788</v>
      </c>
      <c r="B789" s="0" t="n">
        <v>0.712021</v>
      </c>
    </row>
    <row r="790" customFormat="false" ht="13.8" hidden="false" customHeight="false" outlineLevel="0" collapsed="false">
      <c r="A790" s="0" t="n">
        <f aca="false">1+A789</f>
        <v>789</v>
      </c>
      <c r="B790" s="0" t="n">
        <v>0.704814</v>
      </c>
    </row>
    <row r="791" customFormat="false" ht="13.8" hidden="false" customHeight="false" outlineLevel="0" collapsed="false">
      <c r="A791" s="0" t="n">
        <f aca="false">1+A790</f>
        <v>790</v>
      </c>
      <c r="B791" s="0" t="n">
        <v>0.698236</v>
      </c>
    </row>
    <row r="792" customFormat="false" ht="13.8" hidden="false" customHeight="false" outlineLevel="0" collapsed="false">
      <c r="A792" s="0" t="n">
        <f aca="false">1+A791</f>
        <v>791</v>
      </c>
      <c r="B792" s="0" t="n">
        <v>0.696643</v>
      </c>
    </row>
    <row r="793" customFormat="false" ht="13.8" hidden="false" customHeight="false" outlineLevel="0" collapsed="false">
      <c r="A793" s="0" t="n">
        <f aca="false">1+A792</f>
        <v>792</v>
      </c>
      <c r="B793" s="0" t="n">
        <v>0.699634</v>
      </c>
    </row>
    <row r="794" customFormat="false" ht="13.8" hidden="false" customHeight="false" outlineLevel="0" collapsed="false">
      <c r="A794" s="0" t="n">
        <f aca="false">1+A793</f>
        <v>793</v>
      </c>
      <c r="B794" s="0" t="n">
        <v>0.702838</v>
      </c>
    </row>
    <row r="795" customFormat="false" ht="13.8" hidden="false" customHeight="false" outlineLevel="0" collapsed="false">
      <c r="A795" s="0" t="n">
        <f aca="false">1+A794</f>
        <v>794</v>
      </c>
      <c r="B795" s="0" t="n">
        <v>0.701435</v>
      </c>
    </row>
    <row r="796" customFormat="false" ht="13.8" hidden="false" customHeight="false" outlineLevel="0" collapsed="false">
      <c r="A796" s="0" t="n">
        <f aca="false">1+A795</f>
        <v>795</v>
      </c>
      <c r="B796" s="0" t="n">
        <v>0.694893</v>
      </c>
    </row>
    <row r="797" customFormat="false" ht="13.8" hidden="false" customHeight="false" outlineLevel="0" collapsed="false">
      <c r="A797" s="0" t="n">
        <f aca="false">1+A796</f>
        <v>796</v>
      </c>
      <c r="B797" s="0" t="n">
        <v>0.693316</v>
      </c>
    </row>
    <row r="798" customFormat="false" ht="13.8" hidden="false" customHeight="false" outlineLevel="0" collapsed="false">
      <c r="A798" s="0" t="n">
        <f aca="false">1+A797</f>
        <v>797</v>
      </c>
      <c r="B798" s="0" t="n">
        <v>0.68564</v>
      </c>
    </row>
    <row r="799" customFormat="false" ht="13.8" hidden="false" customHeight="false" outlineLevel="0" collapsed="false">
      <c r="A799" s="0" t="n">
        <f aca="false">1+A798</f>
        <v>798</v>
      </c>
      <c r="B799" s="0" t="n">
        <v>0.689466</v>
      </c>
    </row>
    <row r="800" customFormat="false" ht="13.8" hidden="false" customHeight="false" outlineLevel="0" collapsed="false">
      <c r="A800" s="0" t="n">
        <f aca="false">1+A799</f>
        <v>799</v>
      </c>
      <c r="B800" s="0" t="n">
        <v>0.688137</v>
      </c>
    </row>
    <row r="801" customFormat="false" ht="13.8" hidden="false" customHeight="false" outlineLevel="0" collapsed="false">
      <c r="A801" s="0" t="n">
        <f aca="false">1+A800</f>
        <v>800</v>
      </c>
      <c r="B801" s="0" t="n">
        <v>0.686866</v>
      </c>
    </row>
    <row r="802" customFormat="false" ht="13.8" hidden="false" customHeight="false" outlineLevel="0" collapsed="false">
      <c r="A802" s="0" t="n">
        <f aca="false">1+A801</f>
        <v>801</v>
      </c>
      <c r="B802" s="0" t="n">
        <v>0.684588</v>
      </c>
    </row>
    <row r="803" customFormat="false" ht="13.8" hidden="false" customHeight="false" outlineLevel="0" collapsed="false">
      <c r="A803" s="0" t="n">
        <f aca="false">1+A802</f>
        <v>802</v>
      </c>
      <c r="B803" s="0" t="n">
        <v>0.687304</v>
      </c>
    </row>
    <row r="804" customFormat="false" ht="13.8" hidden="false" customHeight="false" outlineLevel="0" collapsed="false">
      <c r="A804" s="0" t="n">
        <f aca="false">1+A803</f>
        <v>803</v>
      </c>
      <c r="B804" s="0" t="n">
        <v>0.685624</v>
      </c>
    </row>
    <row r="805" customFormat="false" ht="13.8" hidden="false" customHeight="false" outlineLevel="0" collapsed="false">
      <c r="A805" s="0" t="n">
        <f aca="false">1+A804</f>
        <v>804</v>
      </c>
      <c r="B805" s="0" t="n">
        <v>0.688682</v>
      </c>
    </row>
    <row r="806" customFormat="false" ht="13.8" hidden="false" customHeight="false" outlineLevel="0" collapsed="false">
      <c r="A806" s="0" t="n">
        <f aca="false">1+A805</f>
        <v>805</v>
      </c>
      <c r="B806" s="0" t="n">
        <v>0.686252</v>
      </c>
    </row>
    <row r="807" customFormat="false" ht="13.8" hidden="false" customHeight="false" outlineLevel="0" collapsed="false">
      <c r="A807" s="0" t="n">
        <f aca="false">1+A806</f>
        <v>806</v>
      </c>
      <c r="B807" s="0" t="n">
        <v>0.677677</v>
      </c>
    </row>
    <row r="808" customFormat="false" ht="13.8" hidden="false" customHeight="false" outlineLevel="0" collapsed="false">
      <c r="A808" s="0" t="n">
        <f aca="false">1+A807</f>
        <v>807</v>
      </c>
      <c r="B808" s="0" t="n">
        <v>0.67018</v>
      </c>
    </row>
    <row r="809" customFormat="false" ht="13.8" hidden="false" customHeight="false" outlineLevel="0" collapsed="false">
      <c r="A809" s="0" t="n">
        <f aca="false">1+A808</f>
        <v>808</v>
      </c>
      <c r="B809" s="0" t="n">
        <v>0.656266</v>
      </c>
    </row>
    <row r="810" customFormat="false" ht="13.8" hidden="false" customHeight="false" outlineLevel="0" collapsed="false">
      <c r="A810" s="0" t="n">
        <f aca="false">1+A809</f>
        <v>809</v>
      </c>
      <c r="B810" s="0" t="n">
        <v>0.647923</v>
      </c>
    </row>
    <row r="811" customFormat="false" ht="13.8" hidden="false" customHeight="false" outlineLevel="0" collapsed="false">
      <c r="A811" s="0" t="n">
        <f aca="false">1+A810</f>
        <v>810</v>
      </c>
      <c r="B811" s="0" t="n">
        <v>0.651352</v>
      </c>
    </row>
    <row r="812" customFormat="false" ht="13.8" hidden="false" customHeight="false" outlineLevel="0" collapsed="false">
      <c r="A812" s="0" t="n">
        <f aca="false">1+A811</f>
        <v>811</v>
      </c>
      <c r="B812" s="0" t="n">
        <v>0.654588</v>
      </c>
    </row>
    <row r="813" customFormat="false" ht="13.8" hidden="false" customHeight="false" outlineLevel="0" collapsed="false">
      <c r="A813" s="0" t="n">
        <f aca="false">1+A812</f>
        <v>812</v>
      </c>
      <c r="B813" s="0" t="n">
        <v>0.652289</v>
      </c>
    </row>
    <row r="814" customFormat="false" ht="13.8" hidden="false" customHeight="false" outlineLevel="0" collapsed="false">
      <c r="A814" s="0" t="n">
        <f aca="false">1+A813</f>
        <v>813</v>
      </c>
      <c r="B814" s="0" t="n">
        <v>0.638109</v>
      </c>
    </row>
    <row r="815" customFormat="false" ht="13.8" hidden="false" customHeight="false" outlineLevel="0" collapsed="false">
      <c r="A815" s="0" t="n">
        <f aca="false">1+A814</f>
        <v>814</v>
      </c>
      <c r="B815" s="0" t="n">
        <v>0.629903</v>
      </c>
    </row>
    <row r="816" customFormat="false" ht="13.8" hidden="false" customHeight="false" outlineLevel="0" collapsed="false">
      <c r="A816" s="0" t="n">
        <f aca="false">1+A815</f>
        <v>815</v>
      </c>
      <c r="B816" s="0" t="n">
        <v>0.621341</v>
      </c>
    </row>
    <row r="817" customFormat="false" ht="13.8" hidden="false" customHeight="false" outlineLevel="0" collapsed="false">
      <c r="A817" s="0" t="n">
        <f aca="false">1+A816</f>
        <v>816</v>
      </c>
      <c r="B817" s="0" t="n">
        <v>0.613054</v>
      </c>
    </row>
    <row r="818" customFormat="false" ht="13.8" hidden="false" customHeight="false" outlineLevel="0" collapsed="false">
      <c r="A818" s="0" t="n">
        <f aca="false">1+A817</f>
        <v>817</v>
      </c>
      <c r="B818" s="0" t="n">
        <v>0.610161</v>
      </c>
    </row>
    <row r="819" customFormat="false" ht="13.8" hidden="false" customHeight="false" outlineLevel="0" collapsed="false">
      <c r="A819" s="0" t="n">
        <f aca="false">1+A818</f>
        <v>818</v>
      </c>
      <c r="B819" s="0" t="n">
        <v>0.607792</v>
      </c>
    </row>
    <row r="820" customFormat="false" ht="13.8" hidden="false" customHeight="false" outlineLevel="0" collapsed="false">
      <c r="A820" s="0" t="n">
        <f aca="false">1+A819</f>
        <v>819</v>
      </c>
      <c r="B820" s="0" t="n">
        <v>0.604506</v>
      </c>
    </row>
    <row r="821" customFormat="false" ht="13.8" hidden="false" customHeight="false" outlineLevel="0" collapsed="false">
      <c r="A821" s="0" t="n">
        <f aca="false">1+A820</f>
        <v>820</v>
      </c>
      <c r="B821" s="0" t="n">
        <v>0.60725</v>
      </c>
    </row>
    <row r="822" customFormat="false" ht="13.8" hidden="false" customHeight="false" outlineLevel="0" collapsed="false">
      <c r="A822" s="0" t="n">
        <f aca="false">1+A821</f>
        <v>821</v>
      </c>
      <c r="B822" s="0" t="n">
        <v>0.610583</v>
      </c>
    </row>
    <row r="823" customFormat="false" ht="13.8" hidden="false" customHeight="false" outlineLevel="0" collapsed="false">
      <c r="A823" s="0" t="n">
        <f aca="false">1+A822</f>
        <v>822</v>
      </c>
      <c r="B823" s="0" t="n">
        <v>0.60794</v>
      </c>
    </row>
    <row r="824" customFormat="false" ht="13.8" hidden="false" customHeight="false" outlineLevel="0" collapsed="false">
      <c r="A824" s="0" t="n">
        <f aca="false">1+A823</f>
        <v>823</v>
      </c>
      <c r="B824" s="0" t="n">
        <v>0.598653</v>
      </c>
    </row>
    <row r="825" customFormat="false" ht="13.8" hidden="false" customHeight="false" outlineLevel="0" collapsed="false">
      <c r="A825" s="0" t="n">
        <f aca="false">1+A824</f>
        <v>824</v>
      </c>
      <c r="B825" s="0" t="n">
        <v>0.595649</v>
      </c>
    </row>
    <row r="826" customFormat="false" ht="13.8" hidden="false" customHeight="false" outlineLevel="0" collapsed="false">
      <c r="A826" s="0" t="n">
        <f aca="false">1+A825</f>
        <v>825</v>
      </c>
      <c r="B826" s="0" t="n">
        <v>0.599029</v>
      </c>
    </row>
    <row r="827" customFormat="false" ht="13.8" hidden="false" customHeight="false" outlineLevel="0" collapsed="false">
      <c r="A827" s="0" t="n">
        <f aca="false">1+A826</f>
        <v>826</v>
      </c>
      <c r="B827" s="0" t="n">
        <v>0.595464</v>
      </c>
    </row>
    <row r="828" customFormat="false" ht="13.8" hidden="false" customHeight="false" outlineLevel="0" collapsed="false">
      <c r="A828" s="0" t="n">
        <f aca="false">1+A827</f>
        <v>827</v>
      </c>
      <c r="B828" s="0" t="n">
        <v>0.597774</v>
      </c>
    </row>
    <row r="829" customFormat="false" ht="13.8" hidden="false" customHeight="false" outlineLevel="0" collapsed="false">
      <c r="A829" s="0" t="n">
        <f aca="false">1+A828</f>
        <v>828</v>
      </c>
      <c r="B829" s="0" t="n">
        <v>0.600908</v>
      </c>
    </row>
    <row r="830" customFormat="false" ht="13.8" hidden="false" customHeight="false" outlineLevel="0" collapsed="false">
      <c r="A830" s="0" t="n">
        <f aca="false">1+A829</f>
        <v>829</v>
      </c>
      <c r="B830" s="0" t="n">
        <v>0.603841</v>
      </c>
    </row>
    <row r="831" customFormat="false" ht="13.8" hidden="false" customHeight="false" outlineLevel="0" collapsed="false">
      <c r="A831" s="0" t="n">
        <f aca="false">1+A830</f>
        <v>830</v>
      </c>
      <c r="B831" s="0" t="n">
        <v>0.594699</v>
      </c>
    </row>
    <row r="832" customFormat="false" ht="13.8" hidden="false" customHeight="false" outlineLevel="0" collapsed="false">
      <c r="A832" s="0" t="n">
        <f aca="false">1+A831</f>
        <v>831</v>
      </c>
      <c r="B832" s="0" t="n">
        <v>0.59137</v>
      </c>
    </row>
    <row r="833" customFormat="false" ht="13.8" hidden="false" customHeight="false" outlineLevel="0" collapsed="false">
      <c r="A833" s="0" t="n">
        <f aca="false">1+A832</f>
        <v>832</v>
      </c>
      <c r="B833" s="0" t="n">
        <v>0.581357</v>
      </c>
    </row>
    <row r="834" customFormat="false" ht="13.8" hidden="false" customHeight="false" outlineLevel="0" collapsed="false">
      <c r="A834" s="0" t="n">
        <f aca="false">1+A833</f>
        <v>833</v>
      </c>
      <c r="B834" s="0" t="n">
        <v>0.584181</v>
      </c>
    </row>
    <row r="835" customFormat="false" ht="13.8" hidden="false" customHeight="false" outlineLevel="0" collapsed="false">
      <c r="A835" s="0" t="n">
        <f aca="false">1+A834</f>
        <v>834</v>
      </c>
      <c r="B835" s="0" t="n">
        <v>0.587033</v>
      </c>
    </row>
    <row r="836" customFormat="false" ht="13.8" hidden="false" customHeight="false" outlineLevel="0" collapsed="false">
      <c r="A836" s="0" t="n">
        <f aca="false">1+A835</f>
        <v>835</v>
      </c>
      <c r="B836" s="0" t="n">
        <v>0.582627</v>
      </c>
    </row>
    <row r="837" customFormat="false" ht="13.8" hidden="false" customHeight="false" outlineLevel="0" collapsed="false">
      <c r="A837" s="0" t="n">
        <f aca="false">1+A836</f>
        <v>836</v>
      </c>
      <c r="B837" s="0" t="n">
        <v>0.58534</v>
      </c>
    </row>
    <row r="838" customFormat="false" ht="13.8" hidden="false" customHeight="false" outlineLevel="0" collapsed="false">
      <c r="A838" s="0" t="n">
        <f aca="false">1+A837</f>
        <v>837</v>
      </c>
      <c r="B838" s="0" t="n">
        <v>0.581124</v>
      </c>
    </row>
    <row r="839" customFormat="false" ht="13.8" hidden="false" customHeight="false" outlineLevel="0" collapsed="false">
      <c r="A839" s="0" t="n">
        <f aca="false">1+A838</f>
        <v>838</v>
      </c>
      <c r="B839" s="0" t="n">
        <v>0.583736</v>
      </c>
    </row>
    <row r="840" customFormat="false" ht="13.8" hidden="false" customHeight="false" outlineLevel="0" collapsed="false">
      <c r="A840" s="0" t="n">
        <f aca="false">1+A839</f>
        <v>839</v>
      </c>
      <c r="B840" s="0" t="n">
        <v>0.57971</v>
      </c>
    </row>
    <row r="841" customFormat="false" ht="13.8" hidden="false" customHeight="false" outlineLevel="0" collapsed="false">
      <c r="A841" s="0" t="n">
        <f aca="false">1+A840</f>
        <v>840</v>
      </c>
      <c r="B841" s="0" t="n">
        <v>0.569839</v>
      </c>
    </row>
    <row r="842" customFormat="false" ht="13.8" hidden="false" customHeight="false" outlineLevel="0" collapsed="false">
      <c r="A842" s="0" t="n">
        <f aca="false">1+A841</f>
        <v>841</v>
      </c>
      <c r="B842" s="0" t="n">
        <v>0.565742</v>
      </c>
    </row>
    <row r="843" customFormat="false" ht="13.8" hidden="false" customHeight="false" outlineLevel="0" collapsed="false">
      <c r="A843" s="0" t="n">
        <f aca="false">1+A842</f>
        <v>842</v>
      </c>
      <c r="B843" s="0" t="n">
        <v>0.569468</v>
      </c>
    </row>
    <row r="844" customFormat="false" ht="13.8" hidden="false" customHeight="false" outlineLevel="0" collapsed="false">
      <c r="A844" s="0" t="n">
        <f aca="false">1+A843</f>
        <v>843</v>
      </c>
      <c r="B844" s="0" t="n">
        <v>0.572493</v>
      </c>
    </row>
    <row r="845" customFormat="false" ht="13.8" hidden="false" customHeight="false" outlineLevel="0" collapsed="false">
      <c r="A845" s="0" t="n">
        <f aca="false">1+A844</f>
        <v>844</v>
      </c>
      <c r="B845" s="0" t="n">
        <v>0.5683</v>
      </c>
    </row>
    <row r="846" customFormat="false" ht="13.8" hidden="false" customHeight="false" outlineLevel="0" collapsed="false">
      <c r="A846" s="0" t="n">
        <f aca="false">1+A845</f>
        <v>845</v>
      </c>
      <c r="B846" s="0" t="n">
        <v>0.571588</v>
      </c>
    </row>
    <row r="847" customFormat="false" ht="13.8" hidden="false" customHeight="false" outlineLevel="0" collapsed="false">
      <c r="A847" s="0" t="n">
        <f aca="false">1+A846</f>
        <v>846</v>
      </c>
      <c r="B847" s="0" t="n">
        <v>0.574189</v>
      </c>
    </row>
    <row r="848" customFormat="false" ht="13.8" hidden="false" customHeight="false" outlineLevel="0" collapsed="false">
      <c r="A848" s="0" t="n">
        <f aca="false">1+A847</f>
        <v>847</v>
      </c>
      <c r="B848" s="0" t="n">
        <v>0.56974</v>
      </c>
    </row>
    <row r="849" customFormat="false" ht="13.8" hidden="false" customHeight="false" outlineLevel="0" collapsed="false">
      <c r="A849" s="0" t="n">
        <f aca="false">1+A848</f>
        <v>848</v>
      </c>
      <c r="B849" s="0" t="n">
        <v>0.572155</v>
      </c>
    </row>
    <row r="850" customFormat="false" ht="13.8" hidden="false" customHeight="false" outlineLevel="0" collapsed="false">
      <c r="A850" s="0" t="n">
        <f aca="false">1+A849</f>
        <v>849</v>
      </c>
      <c r="B850" s="0" t="n">
        <v>0.56794</v>
      </c>
    </row>
    <row r="851" customFormat="false" ht="13.8" hidden="false" customHeight="false" outlineLevel="0" collapsed="false">
      <c r="A851" s="0" t="n">
        <f aca="false">1+A850</f>
        <v>850</v>
      </c>
      <c r="B851" s="0" t="n">
        <v>0.557023</v>
      </c>
    </row>
    <row r="852" customFormat="false" ht="13.8" hidden="false" customHeight="false" outlineLevel="0" collapsed="false">
      <c r="A852" s="0" t="n">
        <f aca="false">1+A851</f>
        <v>851</v>
      </c>
      <c r="B852" s="0" t="n">
        <v>0.538059</v>
      </c>
    </row>
    <row r="853" customFormat="false" ht="13.8" hidden="false" customHeight="false" outlineLevel="0" collapsed="false">
      <c r="A853" s="0" t="n">
        <f aca="false">1+A852</f>
        <v>852</v>
      </c>
      <c r="B853" s="0" t="n">
        <v>0.54058</v>
      </c>
    </row>
    <row r="854" customFormat="false" ht="13.8" hidden="false" customHeight="false" outlineLevel="0" collapsed="false">
      <c r="A854" s="0" t="n">
        <f aca="false">1+A853</f>
        <v>853</v>
      </c>
      <c r="B854" s="0" t="n">
        <v>0.536504</v>
      </c>
    </row>
    <row r="855" customFormat="false" ht="13.8" hidden="false" customHeight="false" outlineLevel="0" collapsed="false">
      <c r="A855" s="0" t="n">
        <f aca="false">1+A854</f>
        <v>854</v>
      </c>
      <c r="B855" s="0" t="n">
        <v>0.539791</v>
      </c>
    </row>
    <row r="856" customFormat="false" ht="13.8" hidden="false" customHeight="false" outlineLevel="0" collapsed="false">
      <c r="A856" s="0" t="n">
        <f aca="false">1+A855</f>
        <v>855</v>
      </c>
      <c r="B856" s="0" t="n">
        <v>0.542283</v>
      </c>
    </row>
    <row r="857" customFormat="false" ht="13.8" hidden="false" customHeight="false" outlineLevel="0" collapsed="false">
      <c r="A857" s="0" t="n">
        <f aca="false">1+A856</f>
        <v>856</v>
      </c>
      <c r="B857" s="0" t="n">
        <v>0.544839</v>
      </c>
    </row>
    <row r="858" customFormat="false" ht="13.8" hidden="false" customHeight="false" outlineLevel="0" collapsed="false">
      <c r="A858" s="0" t="n">
        <f aca="false">1+A857</f>
        <v>857</v>
      </c>
      <c r="B858" s="0" t="n">
        <v>0.547661</v>
      </c>
    </row>
    <row r="859" customFormat="false" ht="13.8" hidden="false" customHeight="false" outlineLevel="0" collapsed="false">
      <c r="A859" s="0" t="n">
        <f aca="false">1+A858</f>
        <v>858</v>
      </c>
      <c r="B859" s="0" t="n">
        <v>0.550554</v>
      </c>
    </row>
    <row r="860" customFormat="false" ht="13.8" hidden="false" customHeight="false" outlineLevel="0" collapsed="false">
      <c r="A860" s="0" t="n">
        <f aca="false">1+A859</f>
        <v>859</v>
      </c>
      <c r="B860" s="0" t="n">
        <v>0.545754</v>
      </c>
    </row>
    <row r="861" customFormat="false" ht="13.8" hidden="false" customHeight="false" outlineLevel="0" collapsed="false">
      <c r="A861" s="0" t="n">
        <f aca="false">1+A860</f>
        <v>860</v>
      </c>
      <c r="B861" s="0" t="n">
        <v>0.540865</v>
      </c>
    </row>
    <row r="862" customFormat="false" ht="13.8" hidden="false" customHeight="false" outlineLevel="0" collapsed="false">
      <c r="A862" s="0" t="n">
        <f aca="false">1+A861</f>
        <v>861</v>
      </c>
      <c r="B862" s="0" t="n">
        <v>0.535445</v>
      </c>
    </row>
    <row r="863" customFormat="false" ht="13.8" hidden="false" customHeight="false" outlineLevel="0" collapsed="false">
      <c r="A863" s="0" t="n">
        <f aca="false">1+A862</f>
        <v>862</v>
      </c>
      <c r="B863" s="0" t="n">
        <v>0.538164</v>
      </c>
    </row>
    <row r="864" customFormat="false" ht="13.8" hidden="false" customHeight="false" outlineLevel="0" collapsed="false">
      <c r="A864" s="0" t="n">
        <f aca="false">1+A863</f>
        <v>863</v>
      </c>
      <c r="B864" s="0" t="n">
        <v>0.533171</v>
      </c>
    </row>
    <row r="865" customFormat="false" ht="13.8" hidden="false" customHeight="false" outlineLevel="0" collapsed="false">
      <c r="A865" s="0" t="n">
        <f aca="false">1+A864</f>
        <v>864</v>
      </c>
      <c r="B865" s="0" t="n">
        <v>0.536563</v>
      </c>
    </row>
    <row r="866" customFormat="false" ht="13.8" hidden="false" customHeight="false" outlineLevel="0" collapsed="false">
      <c r="A866" s="0" t="n">
        <f aca="false">1+A865</f>
        <v>865</v>
      </c>
      <c r="B866" s="0" t="n">
        <v>0.523681</v>
      </c>
    </row>
    <row r="867" customFormat="false" ht="13.8" hidden="false" customHeight="false" outlineLevel="0" collapsed="false">
      <c r="A867" s="0" t="n">
        <f aca="false">1+A866</f>
        <v>866</v>
      </c>
      <c r="B867" s="0" t="n">
        <v>0.518335</v>
      </c>
    </row>
    <row r="868" customFormat="false" ht="13.8" hidden="false" customHeight="false" outlineLevel="0" collapsed="false">
      <c r="A868" s="0" t="n">
        <f aca="false">1+A867</f>
        <v>867</v>
      </c>
      <c r="B868" s="0" t="n">
        <v>0.521279</v>
      </c>
    </row>
    <row r="869" customFormat="false" ht="13.8" hidden="false" customHeight="false" outlineLevel="0" collapsed="false">
      <c r="A869" s="0" t="n">
        <f aca="false">1+A868</f>
        <v>868</v>
      </c>
      <c r="B869" s="0" t="n">
        <v>0.523315</v>
      </c>
    </row>
    <row r="870" customFormat="false" ht="13.8" hidden="false" customHeight="false" outlineLevel="0" collapsed="false">
      <c r="A870" s="0" t="n">
        <f aca="false">1+A869</f>
        <v>869</v>
      </c>
      <c r="B870" s="0" t="n">
        <v>0.526109</v>
      </c>
    </row>
    <row r="871" customFormat="false" ht="13.8" hidden="false" customHeight="false" outlineLevel="0" collapsed="false">
      <c r="A871" s="0" t="n">
        <f aca="false">1+A870</f>
        <v>870</v>
      </c>
      <c r="B871" s="0" t="n">
        <v>0.512942</v>
      </c>
    </row>
    <row r="872" customFormat="false" ht="13.8" hidden="false" customHeight="false" outlineLevel="0" collapsed="false">
      <c r="A872" s="0" t="n">
        <f aca="false">1+A871</f>
        <v>871</v>
      </c>
      <c r="B872" s="0" t="n">
        <v>0.507614</v>
      </c>
    </row>
    <row r="873" customFormat="false" ht="13.8" hidden="false" customHeight="false" outlineLevel="0" collapsed="false">
      <c r="A873" s="0" t="n">
        <f aca="false">1+A872</f>
        <v>872</v>
      </c>
      <c r="B873" s="0" t="n">
        <v>0.51053</v>
      </c>
    </row>
    <row r="874" customFormat="false" ht="13.8" hidden="false" customHeight="false" outlineLevel="0" collapsed="false">
      <c r="A874" s="0" t="n">
        <f aca="false">1+A873</f>
        <v>873</v>
      </c>
      <c r="B874" s="0" t="n">
        <v>0.513726</v>
      </c>
    </row>
    <row r="875" customFormat="false" ht="13.8" hidden="false" customHeight="false" outlineLevel="0" collapsed="false">
      <c r="A875" s="0" t="n">
        <f aca="false">1+A874</f>
        <v>874</v>
      </c>
      <c r="B875" s="0" t="n">
        <v>0.515963</v>
      </c>
    </row>
    <row r="876" customFormat="false" ht="13.8" hidden="false" customHeight="false" outlineLevel="0" collapsed="false">
      <c r="A876" s="0" t="n">
        <f aca="false">1+A875</f>
        <v>875</v>
      </c>
      <c r="B876" s="0" t="n">
        <v>0.502309</v>
      </c>
    </row>
    <row r="877" customFormat="false" ht="13.8" hidden="false" customHeight="false" outlineLevel="0" collapsed="false">
      <c r="A877" s="0" t="n">
        <f aca="false">1+A876</f>
        <v>876</v>
      </c>
      <c r="B877" s="0" t="n">
        <v>0.504763</v>
      </c>
    </row>
    <row r="878" customFormat="false" ht="13.8" hidden="false" customHeight="false" outlineLevel="0" collapsed="false">
      <c r="A878" s="0" t="n">
        <f aca="false">1+A877</f>
        <v>877</v>
      </c>
      <c r="B878" s="0" t="n">
        <v>0.507822</v>
      </c>
    </row>
    <row r="879" customFormat="false" ht="13.8" hidden="false" customHeight="false" outlineLevel="0" collapsed="false">
      <c r="A879" s="0" t="n">
        <f aca="false">1+A878</f>
        <v>878</v>
      </c>
      <c r="B879" s="0" t="n">
        <v>0.510498</v>
      </c>
    </row>
    <row r="880" customFormat="false" ht="13.8" hidden="false" customHeight="false" outlineLevel="0" collapsed="false">
      <c r="A880" s="0" t="n">
        <f aca="false">1+A879</f>
        <v>879</v>
      </c>
      <c r="B880" s="0" t="n">
        <v>0.512693</v>
      </c>
    </row>
    <row r="881" customFormat="false" ht="13.8" hidden="false" customHeight="false" outlineLevel="0" collapsed="false">
      <c r="A881" s="0" t="n">
        <f aca="false">1+A880</f>
        <v>880</v>
      </c>
      <c r="B881" s="0" t="n">
        <v>0.51525</v>
      </c>
    </row>
    <row r="882" customFormat="false" ht="13.8" hidden="false" customHeight="false" outlineLevel="0" collapsed="false">
      <c r="A882" s="0" t="n">
        <f aca="false">1+A881</f>
        <v>881</v>
      </c>
      <c r="B882" s="0" t="n">
        <v>0.501379</v>
      </c>
    </row>
    <row r="883" customFormat="false" ht="13.8" hidden="false" customHeight="false" outlineLevel="0" collapsed="false">
      <c r="A883" s="0" t="n">
        <f aca="false">1+A882</f>
        <v>882</v>
      </c>
      <c r="B883" s="0" t="n">
        <v>0.503525</v>
      </c>
    </row>
    <row r="884" customFormat="false" ht="13.8" hidden="false" customHeight="false" outlineLevel="0" collapsed="false">
      <c r="A884" s="0" t="n">
        <f aca="false">1+A883</f>
        <v>883</v>
      </c>
      <c r="B884" s="0" t="n">
        <v>0.506415</v>
      </c>
    </row>
    <row r="885" customFormat="false" ht="13.8" hidden="false" customHeight="false" outlineLevel="0" collapsed="false">
      <c r="A885" s="0" t="n">
        <f aca="false">1+A884</f>
        <v>884</v>
      </c>
      <c r="B885" s="0" t="n">
        <v>0.509079</v>
      </c>
    </row>
    <row r="886" customFormat="false" ht="13.8" hidden="false" customHeight="false" outlineLevel="0" collapsed="false">
      <c r="A886" s="0" t="n">
        <f aca="false">1+A885</f>
        <v>885</v>
      </c>
      <c r="B886" s="0" t="n">
        <v>0.511858</v>
      </c>
    </row>
    <row r="887" customFormat="false" ht="13.8" hidden="false" customHeight="false" outlineLevel="0" collapsed="false">
      <c r="A887" s="0" t="n">
        <f aca="false">1+A886</f>
        <v>886</v>
      </c>
      <c r="B887" s="0" t="n">
        <v>0.514447</v>
      </c>
    </row>
    <row r="888" customFormat="false" ht="13.8" hidden="false" customHeight="false" outlineLevel="0" collapsed="false">
      <c r="A888" s="0" t="n">
        <f aca="false">1+A887</f>
        <v>887</v>
      </c>
      <c r="B888" s="0" t="n">
        <v>0.508621</v>
      </c>
    </row>
    <row r="889" customFormat="false" ht="13.8" hidden="false" customHeight="false" outlineLevel="0" collapsed="false">
      <c r="A889" s="0" t="n">
        <f aca="false">1+A888</f>
        <v>888</v>
      </c>
      <c r="B889" s="0" t="n">
        <v>0.510734</v>
      </c>
    </row>
    <row r="890" customFormat="false" ht="13.8" hidden="false" customHeight="false" outlineLevel="0" collapsed="false">
      <c r="A890" s="0" t="n">
        <f aca="false">1+A889</f>
        <v>889</v>
      </c>
      <c r="B890" s="0" t="n">
        <v>0.512553</v>
      </c>
    </row>
    <row r="891" customFormat="false" ht="13.8" hidden="false" customHeight="false" outlineLevel="0" collapsed="false">
      <c r="A891" s="0" t="n">
        <f aca="false">1+A890</f>
        <v>890</v>
      </c>
      <c r="B891" s="0" t="n">
        <v>0.515194</v>
      </c>
    </row>
    <row r="892" customFormat="false" ht="13.8" hidden="false" customHeight="false" outlineLevel="0" collapsed="false">
      <c r="A892" s="0" t="n">
        <f aca="false">1+A891</f>
        <v>891</v>
      </c>
      <c r="B892" s="0" t="n">
        <v>0.517726</v>
      </c>
    </row>
    <row r="893" customFormat="false" ht="13.8" hidden="false" customHeight="false" outlineLevel="0" collapsed="false">
      <c r="A893" s="0" t="n">
        <f aca="false">1+A892</f>
        <v>892</v>
      </c>
      <c r="B893" s="0" t="n">
        <v>0.510968</v>
      </c>
    </row>
    <row r="894" customFormat="false" ht="13.8" hidden="false" customHeight="false" outlineLevel="0" collapsed="false">
      <c r="A894" s="0" t="n">
        <f aca="false">1+A893</f>
        <v>893</v>
      </c>
      <c r="B894" s="0" t="n">
        <v>0.513456</v>
      </c>
    </row>
    <row r="895" customFormat="false" ht="13.8" hidden="false" customHeight="false" outlineLevel="0" collapsed="false">
      <c r="A895" s="0" t="n">
        <f aca="false">1+A894</f>
        <v>894</v>
      </c>
      <c r="B895" s="0" t="n">
        <v>0.497999</v>
      </c>
    </row>
    <row r="896" customFormat="false" ht="13.8" hidden="false" customHeight="false" outlineLevel="0" collapsed="false">
      <c r="A896" s="0" t="n">
        <f aca="false">1+A895</f>
        <v>895</v>
      </c>
      <c r="B896" s="0" t="n">
        <v>0.500447</v>
      </c>
    </row>
    <row r="897" customFormat="false" ht="13.8" hidden="false" customHeight="false" outlineLevel="0" collapsed="false">
      <c r="A897" s="0" t="n">
        <f aca="false">1+A896</f>
        <v>896</v>
      </c>
      <c r="B897" s="0" t="n">
        <v>0.485262</v>
      </c>
    </row>
    <row r="898" customFormat="false" ht="13.8" hidden="false" customHeight="false" outlineLevel="0" collapsed="false">
      <c r="A898" s="0" t="n">
        <f aca="false">1+A897</f>
        <v>897</v>
      </c>
      <c r="B898" s="0" t="n">
        <v>0.487849</v>
      </c>
    </row>
    <row r="899" customFormat="false" ht="13.8" hidden="false" customHeight="false" outlineLevel="0" collapsed="false">
      <c r="A899" s="0" t="n">
        <f aca="false">1+A898</f>
        <v>898</v>
      </c>
      <c r="B899" s="0" t="n">
        <v>0.489441</v>
      </c>
    </row>
    <row r="900" customFormat="false" ht="13.8" hidden="false" customHeight="false" outlineLevel="0" collapsed="false">
      <c r="A900" s="0" t="n">
        <f aca="false">1+A899</f>
        <v>899</v>
      </c>
      <c r="B900" s="0" t="n">
        <v>0.482608</v>
      </c>
    </row>
    <row r="901" customFormat="false" ht="13.8" hidden="false" customHeight="false" outlineLevel="0" collapsed="false">
      <c r="A901" s="0" t="n">
        <f aca="false">1+A900</f>
        <v>900</v>
      </c>
      <c r="B901" s="0" t="n">
        <v>0.476321</v>
      </c>
    </row>
    <row r="902" customFormat="false" ht="13.8" hidden="false" customHeight="false" outlineLevel="0" collapsed="false">
      <c r="A902" s="0" t="n">
        <f aca="false">1+A901</f>
        <v>901</v>
      </c>
      <c r="B902" s="0" t="n">
        <v>0.478865</v>
      </c>
    </row>
    <row r="903" customFormat="false" ht="13.8" hidden="false" customHeight="false" outlineLevel="0" collapsed="false">
      <c r="A903" s="0" t="n">
        <f aca="false">1+A902</f>
        <v>902</v>
      </c>
      <c r="B903" s="0" t="n">
        <v>0.471698</v>
      </c>
    </row>
    <row r="904" customFormat="false" ht="13.8" hidden="false" customHeight="false" outlineLevel="0" collapsed="false">
      <c r="A904" s="0" t="n">
        <f aca="false">1+A903</f>
        <v>903</v>
      </c>
      <c r="B904" s="0" t="n">
        <v>0.464943</v>
      </c>
    </row>
    <row r="905" customFormat="false" ht="13.8" hidden="false" customHeight="false" outlineLevel="0" collapsed="false">
      <c r="A905" s="0" t="n">
        <f aca="false">1+A904</f>
        <v>904</v>
      </c>
      <c r="B905" s="0" t="n">
        <v>0.467683</v>
      </c>
    </row>
    <row r="906" customFormat="false" ht="13.8" hidden="false" customHeight="false" outlineLevel="0" collapsed="false">
      <c r="A906" s="0" t="n">
        <f aca="false">1+A905</f>
        <v>905</v>
      </c>
      <c r="B906" s="0" t="n">
        <v>0.460613</v>
      </c>
    </row>
    <row r="907" customFormat="false" ht="13.8" hidden="false" customHeight="false" outlineLevel="0" collapsed="false">
      <c r="A907" s="0" t="n">
        <f aca="false">1+A906</f>
        <v>906</v>
      </c>
      <c r="B907" s="0" t="n">
        <v>0.462788</v>
      </c>
    </row>
    <row r="908" customFormat="false" ht="13.8" hidden="false" customHeight="false" outlineLevel="0" collapsed="false">
      <c r="A908" s="0" t="n">
        <f aca="false">1+A907</f>
        <v>907</v>
      </c>
      <c r="B908" s="0" t="n">
        <v>0.4561</v>
      </c>
    </row>
    <row r="909" customFormat="false" ht="13.8" hidden="false" customHeight="false" outlineLevel="0" collapsed="false">
      <c r="A909" s="0" t="n">
        <f aca="false">1+A908</f>
        <v>908</v>
      </c>
      <c r="B909" s="0" t="n">
        <v>0.448003</v>
      </c>
    </row>
    <row r="910" customFormat="false" ht="13.8" hidden="false" customHeight="false" outlineLevel="0" collapsed="false">
      <c r="A910" s="0" t="n">
        <f aca="false">1+A909</f>
        <v>909</v>
      </c>
      <c r="B910" s="0" t="n">
        <v>0.449675</v>
      </c>
    </row>
    <row r="911" customFormat="false" ht="13.8" hidden="false" customHeight="false" outlineLevel="0" collapsed="false">
      <c r="A911" s="0" t="n">
        <f aca="false">1+A910</f>
        <v>910</v>
      </c>
      <c r="B911" s="0" t="n">
        <v>0.451749</v>
      </c>
    </row>
    <row r="912" customFormat="false" ht="13.8" hidden="false" customHeight="false" outlineLevel="0" collapsed="false">
      <c r="A912" s="0" t="n">
        <f aca="false">1+A911</f>
        <v>911</v>
      </c>
      <c r="B912" s="0" t="n">
        <v>0.453712</v>
      </c>
    </row>
    <row r="913" customFormat="false" ht="13.8" hidden="false" customHeight="false" outlineLevel="0" collapsed="false">
      <c r="A913" s="0" t="n">
        <f aca="false">1+A912</f>
        <v>912</v>
      </c>
      <c r="B913" s="0" t="n">
        <v>0.455912</v>
      </c>
    </row>
    <row r="914" customFormat="false" ht="13.8" hidden="false" customHeight="false" outlineLevel="0" collapsed="false">
      <c r="A914" s="0" t="n">
        <f aca="false">1+A913</f>
        <v>913</v>
      </c>
      <c r="B914" s="0" t="n">
        <v>0.458671</v>
      </c>
    </row>
    <row r="915" customFormat="false" ht="13.8" hidden="false" customHeight="false" outlineLevel="0" collapsed="false">
      <c r="A915" s="0" t="n">
        <f aca="false">1+A914</f>
        <v>914</v>
      </c>
      <c r="B915" s="0" t="n">
        <v>0.460513</v>
      </c>
    </row>
    <row r="916" customFormat="false" ht="13.8" hidden="false" customHeight="false" outlineLevel="0" collapsed="false">
      <c r="A916" s="0" t="n">
        <f aca="false">1+A915</f>
        <v>915</v>
      </c>
      <c r="B916" s="0" t="n">
        <v>0.452756</v>
      </c>
    </row>
    <row r="917" customFormat="false" ht="13.8" hidden="false" customHeight="false" outlineLevel="0" collapsed="false">
      <c r="A917" s="0" t="n">
        <f aca="false">1+A916</f>
        <v>916</v>
      </c>
      <c r="B917" s="0" t="n">
        <v>0.45513</v>
      </c>
    </row>
    <row r="918" customFormat="false" ht="13.8" hidden="false" customHeight="false" outlineLevel="0" collapsed="false">
      <c r="A918" s="0" t="n">
        <f aca="false">1+A917</f>
        <v>917</v>
      </c>
      <c r="B918" s="0" t="n">
        <v>0.457848</v>
      </c>
    </row>
    <row r="919" customFormat="false" ht="13.8" hidden="false" customHeight="false" outlineLevel="0" collapsed="false">
      <c r="A919" s="0" t="n">
        <f aca="false">1+A918</f>
        <v>918</v>
      </c>
      <c r="B919" s="0" t="n">
        <v>0.45045</v>
      </c>
    </row>
    <row r="920" customFormat="false" ht="13.8" hidden="false" customHeight="false" outlineLevel="0" collapsed="false">
      <c r="A920" s="0" t="n">
        <f aca="false">1+A919</f>
        <v>919</v>
      </c>
      <c r="B920" s="0" t="n">
        <v>0.45258</v>
      </c>
    </row>
    <row r="921" customFormat="false" ht="13.8" hidden="false" customHeight="false" outlineLevel="0" collapsed="false">
      <c r="A921" s="0" t="n">
        <f aca="false">1+A920</f>
        <v>920</v>
      </c>
      <c r="B921" s="0" t="n">
        <v>0.455327</v>
      </c>
    </row>
    <row r="922" customFormat="false" ht="13.8" hidden="false" customHeight="false" outlineLevel="0" collapsed="false">
      <c r="A922" s="0" t="n">
        <f aca="false">1+A921</f>
        <v>921</v>
      </c>
      <c r="B922" s="0" t="n">
        <v>0.457736</v>
      </c>
    </row>
    <row r="923" customFormat="false" ht="13.8" hidden="false" customHeight="false" outlineLevel="0" collapsed="false">
      <c r="A923" s="0" t="n">
        <f aca="false">1+A922</f>
        <v>922</v>
      </c>
      <c r="B923" s="0" t="n">
        <v>0.460405</v>
      </c>
    </row>
    <row r="924" customFormat="false" ht="13.8" hidden="false" customHeight="false" outlineLevel="0" collapsed="false">
      <c r="A924" s="0" t="n">
        <f aca="false">1+A923</f>
        <v>923</v>
      </c>
      <c r="B924" s="0" t="n">
        <v>0.463106</v>
      </c>
    </row>
    <row r="925" customFormat="false" ht="13.8" hidden="false" customHeight="false" outlineLevel="0" collapsed="false">
      <c r="A925" s="0" t="n">
        <f aca="false">1+A924</f>
        <v>924</v>
      </c>
      <c r="B925" s="0" t="n">
        <v>0.465309</v>
      </c>
    </row>
    <row r="926" customFormat="false" ht="13.8" hidden="false" customHeight="false" outlineLevel="0" collapsed="false">
      <c r="A926" s="0" t="n">
        <f aca="false">1+A925</f>
        <v>925</v>
      </c>
      <c r="B926" s="0" t="n">
        <v>0.467824</v>
      </c>
    </row>
    <row r="927" customFormat="false" ht="13.8" hidden="false" customHeight="false" outlineLevel="0" collapsed="false">
      <c r="A927" s="0" t="n">
        <f aca="false">1+A926</f>
        <v>926</v>
      </c>
      <c r="B927" s="0" t="n">
        <v>0.459722</v>
      </c>
    </row>
    <row r="928" customFormat="false" ht="13.8" hidden="false" customHeight="false" outlineLevel="0" collapsed="false">
      <c r="A928" s="0" t="n">
        <f aca="false">1+A927</f>
        <v>927</v>
      </c>
      <c r="B928" s="0" t="n">
        <v>0.451017</v>
      </c>
    </row>
    <row r="929" customFormat="false" ht="13.8" hidden="false" customHeight="false" outlineLevel="0" collapsed="false">
      <c r="A929" s="0" t="n">
        <f aca="false">1+A928</f>
        <v>928</v>
      </c>
      <c r="B929" s="0" t="n">
        <v>0.453443</v>
      </c>
    </row>
    <row r="930" customFormat="false" ht="13.8" hidden="false" customHeight="false" outlineLevel="0" collapsed="false">
      <c r="A930" s="0" t="n">
        <f aca="false">1+A929</f>
        <v>929</v>
      </c>
      <c r="B930" s="0" t="n">
        <v>0.445151</v>
      </c>
    </row>
    <row r="931" customFormat="false" ht="13.8" hidden="false" customHeight="false" outlineLevel="0" collapsed="false">
      <c r="A931" s="0" t="n">
        <f aca="false">1+A930</f>
        <v>930</v>
      </c>
      <c r="B931" s="0" t="n">
        <v>0.447332</v>
      </c>
    </row>
    <row r="932" customFormat="false" ht="13.8" hidden="false" customHeight="false" outlineLevel="0" collapsed="false">
      <c r="A932" s="0" t="n">
        <f aca="false">1+A931</f>
        <v>931</v>
      </c>
      <c r="B932" s="0" t="n">
        <v>0.428311</v>
      </c>
    </row>
    <row r="933" customFormat="false" ht="13.8" hidden="false" customHeight="false" outlineLevel="0" collapsed="false">
      <c r="A933" s="0" t="n">
        <f aca="false">1+A932</f>
        <v>932</v>
      </c>
      <c r="B933" s="0" t="n">
        <v>0.430385</v>
      </c>
    </row>
    <row r="934" customFormat="false" ht="13.8" hidden="false" customHeight="false" outlineLevel="0" collapsed="false">
      <c r="A934" s="0" t="n">
        <f aca="false">1+A933</f>
        <v>933</v>
      </c>
      <c r="B934" s="0" t="n">
        <v>0.431965</v>
      </c>
    </row>
    <row r="935" customFormat="false" ht="13.8" hidden="false" customHeight="false" outlineLevel="0" collapsed="false">
      <c r="A935" s="0" t="n">
        <f aca="false">1+A934</f>
        <v>934</v>
      </c>
      <c r="B935" s="0" t="n">
        <v>0.434924</v>
      </c>
    </row>
    <row r="936" customFormat="false" ht="13.8" hidden="false" customHeight="false" outlineLevel="0" collapsed="false">
      <c r="A936" s="0" t="n">
        <f aca="false">1+A935</f>
        <v>935</v>
      </c>
      <c r="B936" s="0" t="n">
        <v>0.437063</v>
      </c>
    </row>
    <row r="937" customFormat="false" ht="13.8" hidden="false" customHeight="false" outlineLevel="0" collapsed="false">
      <c r="A937" s="0" t="n">
        <f aca="false">1+A936</f>
        <v>936</v>
      </c>
      <c r="B937" s="0" t="n">
        <v>0.439416</v>
      </c>
    </row>
    <row r="938" customFormat="false" ht="13.8" hidden="false" customHeight="false" outlineLevel="0" collapsed="false">
      <c r="A938" s="0" t="n">
        <f aca="false">1+A937</f>
        <v>937</v>
      </c>
      <c r="B938" s="0" t="n">
        <v>0.442038</v>
      </c>
    </row>
    <row r="939" customFormat="false" ht="13.8" hidden="false" customHeight="false" outlineLevel="0" collapsed="false">
      <c r="A939" s="0" t="n">
        <f aca="false">1+A938</f>
        <v>938</v>
      </c>
      <c r="B939" s="0" t="n">
        <v>0.444741</v>
      </c>
    </row>
    <row r="940" customFormat="false" ht="13.8" hidden="false" customHeight="false" outlineLevel="0" collapsed="false">
      <c r="A940" s="0" t="n">
        <f aca="false">1+A939</f>
        <v>939</v>
      </c>
      <c r="B940" s="0" t="n">
        <v>0.446728</v>
      </c>
    </row>
    <row r="941" customFormat="false" ht="13.8" hidden="false" customHeight="false" outlineLevel="0" collapsed="false">
      <c r="A941" s="0" t="n">
        <f aca="false">1+A940</f>
        <v>940</v>
      </c>
      <c r="B941" s="0" t="n">
        <v>0.43776</v>
      </c>
    </row>
    <row r="942" customFormat="false" ht="13.8" hidden="false" customHeight="false" outlineLevel="0" collapsed="false">
      <c r="A942" s="0" t="n">
        <f aca="false">1+A941</f>
        <v>941</v>
      </c>
      <c r="B942" s="0" t="n">
        <v>0.428121</v>
      </c>
    </row>
    <row r="943" customFormat="false" ht="13.8" hidden="false" customHeight="false" outlineLevel="0" collapsed="false">
      <c r="A943" s="0" t="n">
        <f aca="false">1+A942</f>
        <v>942</v>
      </c>
      <c r="B943" s="0" t="n">
        <v>0.429767</v>
      </c>
    </row>
    <row r="944" customFormat="false" ht="13.8" hidden="false" customHeight="false" outlineLevel="0" collapsed="false">
      <c r="A944" s="0" t="n">
        <f aca="false">1+A943</f>
        <v>943</v>
      </c>
      <c r="B944" s="0" t="n">
        <v>0.43172</v>
      </c>
    </row>
    <row r="945" customFormat="false" ht="13.8" hidden="false" customHeight="false" outlineLevel="0" collapsed="false">
      <c r="A945" s="0" t="n">
        <f aca="false">1+A944</f>
        <v>944</v>
      </c>
      <c r="B945" s="0" t="n">
        <v>0.434236</v>
      </c>
    </row>
    <row r="946" customFormat="false" ht="13.8" hidden="false" customHeight="false" outlineLevel="0" collapsed="false">
      <c r="A946" s="0" t="n">
        <f aca="false">1+A945</f>
        <v>945</v>
      </c>
      <c r="B946" s="0" t="n">
        <v>0.43598</v>
      </c>
    </row>
    <row r="947" customFormat="false" ht="13.8" hidden="false" customHeight="false" outlineLevel="0" collapsed="false">
      <c r="A947" s="0" t="n">
        <f aca="false">1+A946</f>
        <v>946</v>
      </c>
      <c r="B947" s="0" t="n">
        <v>0.438192</v>
      </c>
    </row>
    <row r="948" customFormat="false" ht="13.8" hidden="false" customHeight="false" outlineLevel="0" collapsed="false">
      <c r="A948" s="0" t="n">
        <f aca="false">1+A947</f>
        <v>947</v>
      </c>
      <c r="B948" s="0" t="n">
        <v>0.440427</v>
      </c>
    </row>
    <row r="949" customFormat="false" ht="13.8" hidden="false" customHeight="false" outlineLevel="0" collapsed="false">
      <c r="A949" s="0" t="n">
        <f aca="false">1+A948</f>
        <v>948</v>
      </c>
      <c r="B949" s="0" t="n">
        <v>0.430934</v>
      </c>
    </row>
    <row r="950" customFormat="false" ht="13.8" hidden="false" customHeight="false" outlineLevel="0" collapsed="false">
      <c r="A950" s="0" t="n">
        <f aca="false">1+A949</f>
        <v>949</v>
      </c>
      <c r="B950" s="0" t="n">
        <v>0.420905</v>
      </c>
    </row>
    <row r="951" customFormat="false" ht="13.8" hidden="false" customHeight="false" outlineLevel="0" collapsed="false">
      <c r="A951" s="0" t="n">
        <f aca="false">1+A950</f>
        <v>950</v>
      </c>
      <c r="B951" s="0" t="n">
        <v>0.411136</v>
      </c>
    </row>
    <row r="952" customFormat="false" ht="13.8" hidden="false" customHeight="false" outlineLevel="0" collapsed="false">
      <c r="A952" s="0" t="n">
        <f aca="false">1+A951</f>
        <v>951</v>
      </c>
      <c r="B952" s="0" t="n">
        <v>0.412882</v>
      </c>
    </row>
    <row r="953" customFormat="false" ht="13.8" hidden="false" customHeight="false" outlineLevel="0" collapsed="false">
      <c r="A953" s="0" t="n">
        <f aca="false">1+A952</f>
        <v>952</v>
      </c>
      <c r="B953" s="0" t="n">
        <v>0.415282</v>
      </c>
    </row>
    <row r="954" customFormat="false" ht="13.8" hidden="false" customHeight="false" outlineLevel="0" collapsed="false">
      <c r="A954" s="0" t="n">
        <f aca="false">1+A953</f>
        <v>953</v>
      </c>
      <c r="B954" s="0" t="n">
        <v>0.416518</v>
      </c>
    </row>
    <row r="955" customFormat="false" ht="13.8" hidden="false" customHeight="false" outlineLevel="0" collapsed="false">
      <c r="A955" s="0" t="n">
        <f aca="false">1+A954</f>
        <v>954</v>
      </c>
      <c r="B955" s="0" t="n">
        <v>0.406261</v>
      </c>
    </row>
    <row r="956" customFormat="false" ht="13.8" hidden="false" customHeight="false" outlineLevel="0" collapsed="false">
      <c r="A956" s="0" t="n">
        <f aca="false">1+A955</f>
        <v>955</v>
      </c>
      <c r="B956" s="0" t="n">
        <v>0.409195</v>
      </c>
    </row>
    <row r="957" customFormat="false" ht="13.8" hidden="false" customHeight="false" outlineLevel="0" collapsed="false">
      <c r="A957" s="0" t="n">
        <f aca="false">1+A956</f>
        <v>956</v>
      </c>
      <c r="B957" s="0" t="n">
        <v>0.411174</v>
      </c>
    </row>
    <row r="958" customFormat="false" ht="13.8" hidden="false" customHeight="false" outlineLevel="0" collapsed="false">
      <c r="A958" s="0" t="n">
        <f aca="false">1+A957</f>
        <v>957</v>
      </c>
      <c r="B958" s="0" t="n">
        <v>0.413123</v>
      </c>
    </row>
    <row r="959" customFormat="false" ht="13.8" hidden="false" customHeight="false" outlineLevel="0" collapsed="false">
      <c r="A959" s="0" t="n">
        <f aca="false">1+A958</f>
        <v>958</v>
      </c>
      <c r="B959" s="0" t="n">
        <v>0.414533</v>
      </c>
    </row>
    <row r="960" customFormat="false" ht="13.8" hidden="false" customHeight="false" outlineLevel="0" collapsed="false">
      <c r="A960" s="0" t="n">
        <f aca="false">1+A959</f>
        <v>959</v>
      </c>
      <c r="B960" s="0" t="n">
        <v>0.417127</v>
      </c>
    </row>
    <row r="961" customFormat="false" ht="13.8" hidden="false" customHeight="false" outlineLevel="0" collapsed="false">
      <c r="A961" s="0" t="n">
        <f aca="false">1+A960</f>
        <v>960</v>
      </c>
      <c r="B961" s="0" t="n">
        <v>0.418977</v>
      </c>
    </row>
    <row r="962" customFormat="false" ht="13.8" hidden="false" customHeight="false" outlineLevel="0" collapsed="false">
      <c r="A962" s="0" t="n">
        <f aca="false">1+A961</f>
        <v>961</v>
      </c>
      <c r="B962" s="0" t="n">
        <v>0.421941</v>
      </c>
    </row>
    <row r="963" customFormat="false" ht="13.8" hidden="false" customHeight="false" outlineLevel="0" collapsed="false">
      <c r="A963" s="0" t="n">
        <f aca="false">1+A962</f>
        <v>962</v>
      </c>
      <c r="B963" s="0" t="n">
        <v>0.424152</v>
      </c>
    </row>
    <row r="964" customFormat="false" ht="13.8" hidden="false" customHeight="false" outlineLevel="0" collapsed="false">
      <c r="A964" s="0" t="n">
        <f aca="false">1+A963</f>
        <v>963</v>
      </c>
      <c r="B964" s="0" t="n">
        <v>0.426065</v>
      </c>
    </row>
    <row r="965" customFormat="false" ht="13.8" hidden="false" customHeight="false" outlineLevel="0" collapsed="false">
      <c r="A965" s="0" t="n">
        <f aca="false">1+A964</f>
        <v>964</v>
      </c>
      <c r="B965" s="0" t="n">
        <v>0.428104</v>
      </c>
    </row>
    <row r="966" customFormat="false" ht="13.8" hidden="false" customHeight="false" outlineLevel="0" collapsed="false">
      <c r="A966" s="0" t="n">
        <f aca="false">1+A965</f>
        <v>965</v>
      </c>
      <c r="B966" s="0" t="n">
        <v>0.430216</v>
      </c>
    </row>
    <row r="967" customFormat="false" ht="13.8" hidden="false" customHeight="false" outlineLevel="0" collapsed="false">
      <c r="A967" s="0" t="n">
        <f aca="false">1+A966</f>
        <v>966</v>
      </c>
      <c r="B967" s="0" t="n">
        <v>0.432295</v>
      </c>
    </row>
    <row r="968" customFormat="false" ht="13.8" hidden="false" customHeight="false" outlineLevel="0" collapsed="false">
      <c r="A968" s="0" t="n">
        <f aca="false">1+A967</f>
        <v>967</v>
      </c>
      <c r="B968" s="0" t="n">
        <v>0.434061</v>
      </c>
    </row>
    <row r="969" customFormat="false" ht="13.8" hidden="false" customHeight="false" outlineLevel="0" collapsed="false">
      <c r="A969" s="0" t="n">
        <f aca="false">1+A968</f>
        <v>968</v>
      </c>
      <c r="B969" s="0" t="n">
        <v>0.435786</v>
      </c>
    </row>
    <row r="970" customFormat="false" ht="13.8" hidden="false" customHeight="false" outlineLevel="0" collapsed="false">
      <c r="A970" s="0" t="n">
        <f aca="false">1+A969</f>
        <v>969</v>
      </c>
      <c r="B970" s="0" t="n">
        <v>0.438257</v>
      </c>
    </row>
    <row r="971" customFormat="false" ht="13.8" hidden="false" customHeight="false" outlineLevel="0" collapsed="false">
      <c r="A971" s="0" t="n">
        <f aca="false">1+A970</f>
        <v>970</v>
      </c>
      <c r="B971" s="0" t="n">
        <v>0.441043</v>
      </c>
    </row>
    <row r="972" customFormat="false" ht="13.8" hidden="false" customHeight="false" outlineLevel="0" collapsed="false">
      <c r="A972" s="0" t="n">
        <f aca="false">1+A971</f>
        <v>971</v>
      </c>
      <c r="B972" s="0" t="n">
        <v>0.443459</v>
      </c>
    </row>
    <row r="973" customFormat="false" ht="13.8" hidden="false" customHeight="false" outlineLevel="0" collapsed="false">
      <c r="A973" s="0" t="n">
        <f aca="false">1+A972</f>
        <v>972</v>
      </c>
      <c r="B973" s="0" t="n">
        <v>0.445434</v>
      </c>
    </row>
    <row r="974" customFormat="false" ht="13.8" hidden="false" customHeight="false" outlineLevel="0" collapsed="false">
      <c r="A974" s="0" t="n">
        <f aca="false">1+A973</f>
        <v>973</v>
      </c>
      <c r="B974" s="0" t="n">
        <v>0.447368</v>
      </c>
    </row>
    <row r="975" customFormat="false" ht="13.8" hidden="false" customHeight="false" outlineLevel="0" collapsed="false">
      <c r="A975" s="0" t="n">
        <f aca="false">1+A974</f>
        <v>974</v>
      </c>
      <c r="B975" s="0" t="n">
        <v>0.449974</v>
      </c>
    </row>
    <row r="976" customFormat="false" ht="13.8" hidden="false" customHeight="false" outlineLevel="0" collapsed="false">
      <c r="A976" s="0" t="n">
        <f aca="false">1+A975</f>
        <v>975</v>
      </c>
      <c r="B976" s="0" t="n">
        <v>0.439707</v>
      </c>
    </row>
    <row r="977" customFormat="false" ht="13.8" hidden="false" customHeight="false" outlineLevel="0" collapsed="false">
      <c r="A977" s="0" t="n">
        <f aca="false">1+A976</f>
        <v>976</v>
      </c>
      <c r="B977" s="0" t="n">
        <v>0.442004</v>
      </c>
    </row>
    <row r="978" customFormat="false" ht="13.8" hidden="false" customHeight="false" outlineLevel="0" collapsed="false">
      <c r="A978" s="0" t="n">
        <f aca="false">1+A977</f>
        <v>977</v>
      </c>
      <c r="B978" s="0" t="n">
        <v>0.444145</v>
      </c>
    </row>
    <row r="979" customFormat="false" ht="13.8" hidden="false" customHeight="false" outlineLevel="0" collapsed="false">
      <c r="A979" s="0" t="n">
        <f aca="false">1+A978</f>
        <v>978</v>
      </c>
      <c r="B979" s="0" t="n">
        <v>0.432549</v>
      </c>
    </row>
    <row r="980" customFormat="false" ht="13.8" hidden="false" customHeight="false" outlineLevel="0" collapsed="false">
      <c r="A980" s="0" t="n">
        <f aca="false">1+A979</f>
        <v>979</v>
      </c>
      <c r="B980" s="0" t="n">
        <v>0.434783</v>
      </c>
    </row>
    <row r="981" customFormat="false" ht="13.8" hidden="false" customHeight="false" outlineLevel="0" collapsed="false">
      <c r="A981" s="0" t="n">
        <f aca="false">1+A980</f>
        <v>980</v>
      </c>
      <c r="B981" s="0" t="n">
        <v>0.43692</v>
      </c>
    </row>
    <row r="982" customFormat="false" ht="13.8" hidden="false" customHeight="false" outlineLevel="0" collapsed="false">
      <c r="A982" s="0" t="n">
        <f aca="false">1+A981</f>
        <v>981</v>
      </c>
      <c r="B982" s="0" t="n">
        <v>0.439379</v>
      </c>
    </row>
    <row r="983" customFormat="false" ht="13.8" hidden="false" customHeight="false" outlineLevel="0" collapsed="false">
      <c r="A983" s="0" t="n">
        <f aca="false">1+A982</f>
        <v>982</v>
      </c>
      <c r="B983" s="0" t="n">
        <v>0.427822</v>
      </c>
    </row>
    <row r="984" customFormat="false" ht="13.8" hidden="false" customHeight="false" outlineLevel="0" collapsed="false">
      <c r="A984" s="0" t="n">
        <f aca="false">1+A983</f>
        <v>983</v>
      </c>
      <c r="B984" s="0" t="n">
        <v>0.429839</v>
      </c>
    </row>
    <row r="985" customFormat="false" ht="13.8" hidden="false" customHeight="false" outlineLevel="0" collapsed="false">
      <c r="A985" s="0" t="n">
        <f aca="false">1+A984</f>
        <v>984</v>
      </c>
      <c r="B985" s="0" t="n">
        <v>0.432056</v>
      </c>
    </row>
    <row r="986" customFormat="false" ht="13.8" hidden="false" customHeight="false" outlineLevel="0" collapsed="false">
      <c r="A986" s="0" t="n">
        <f aca="false">1+A985</f>
        <v>985</v>
      </c>
      <c r="B986" s="0" t="n">
        <v>0.434174</v>
      </c>
    </row>
    <row r="987" customFormat="false" ht="13.8" hidden="false" customHeight="false" outlineLevel="0" collapsed="false">
      <c r="A987" s="0" t="n">
        <f aca="false">1+A986</f>
        <v>986</v>
      </c>
      <c r="B987" s="0" t="n">
        <v>0.435822</v>
      </c>
    </row>
    <row r="988" customFormat="false" ht="13.8" hidden="false" customHeight="false" outlineLevel="0" collapsed="false">
      <c r="A988" s="0" t="n">
        <f aca="false">1+A987</f>
        <v>987</v>
      </c>
      <c r="B988" s="0" t="n">
        <v>0.42343</v>
      </c>
    </row>
    <row r="989" customFormat="false" ht="13.8" hidden="false" customHeight="false" outlineLevel="0" collapsed="false">
      <c r="A989" s="0" t="n">
        <f aca="false">1+A988</f>
        <v>988</v>
      </c>
      <c r="B989" s="0" t="n">
        <v>0.411289</v>
      </c>
    </row>
    <row r="990" customFormat="false" ht="13.8" hidden="false" customHeight="false" outlineLevel="0" collapsed="false">
      <c r="A990" s="0" t="n">
        <f aca="false">1+A989</f>
        <v>989</v>
      </c>
      <c r="B990" s="0" t="n">
        <v>0.41287</v>
      </c>
    </row>
    <row r="991" customFormat="false" ht="13.8" hidden="false" customHeight="false" outlineLevel="0" collapsed="false">
      <c r="A991" s="0" t="n">
        <f aca="false">1+A990</f>
        <v>990</v>
      </c>
      <c r="B991" s="0" t="n">
        <v>0.415413</v>
      </c>
    </row>
    <row r="992" customFormat="false" ht="13.8" hidden="false" customHeight="false" outlineLevel="0" collapsed="false">
      <c r="A992" s="0" t="n">
        <f aca="false">1+A991</f>
        <v>991</v>
      </c>
      <c r="B992" s="0" t="n">
        <v>0.403866</v>
      </c>
    </row>
    <row r="993" customFormat="false" ht="13.8" hidden="false" customHeight="false" outlineLevel="0" collapsed="false">
      <c r="A993" s="0" t="n">
        <f aca="false">1+A992</f>
        <v>992</v>
      </c>
      <c r="B993" s="0" t="n">
        <v>0.406386</v>
      </c>
    </row>
    <row r="994" customFormat="false" ht="13.8" hidden="false" customHeight="false" outlineLevel="0" collapsed="false">
      <c r="A994" s="0" t="n">
        <f aca="false">1+A993</f>
        <v>993</v>
      </c>
      <c r="B994" s="0" t="n">
        <v>0.408282</v>
      </c>
    </row>
    <row r="995" customFormat="false" ht="13.8" hidden="false" customHeight="false" outlineLevel="0" collapsed="false">
      <c r="A995" s="0" t="n">
        <f aca="false">1+A994</f>
        <v>994</v>
      </c>
      <c r="B995" s="0" t="n">
        <v>0.409956</v>
      </c>
    </row>
    <row r="996" customFormat="false" ht="13.8" hidden="false" customHeight="false" outlineLevel="0" collapsed="false">
      <c r="A996" s="0" t="n">
        <f aca="false">1+A995</f>
        <v>995</v>
      </c>
      <c r="B996" s="0" t="n">
        <v>0.411946</v>
      </c>
    </row>
    <row r="997" customFormat="false" ht="13.8" hidden="false" customHeight="false" outlineLevel="0" collapsed="false">
      <c r="A997" s="0" t="n">
        <f aca="false">1+A996</f>
        <v>996</v>
      </c>
      <c r="B997" s="0" t="n">
        <v>0.413956</v>
      </c>
    </row>
    <row r="998" customFormat="false" ht="13.8" hidden="false" customHeight="false" outlineLevel="0" collapsed="false">
      <c r="A998" s="0" t="n">
        <f aca="false">1+A997</f>
        <v>997</v>
      </c>
      <c r="B998" s="0" t="n">
        <v>0.386387</v>
      </c>
    </row>
    <row r="999" customFormat="false" ht="13.8" hidden="false" customHeight="false" outlineLevel="0" collapsed="false">
      <c r="A999" s="0" t="n">
        <f aca="false">1+A998</f>
        <v>998</v>
      </c>
      <c r="B999" s="0" t="n">
        <v>0.388582</v>
      </c>
    </row>
    <row r="1000" customFormat="false" ht="13.8" hidden="false" customHeight="false" outlineLevel="0" collapsed="false">
      <c r="A1000" s="0" t="n">
        <f aca="false">1+A999</f>
        <v>999</v>
      </c>
      <c r="B1000" s="0" t="n">
        <v>0.375488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2.75" customHeight="false" zeroHeight="false" outlineLevelRow="0" outlineLevelCol="0"/>
  <cols>
    <col collapsed="false" customWidth="true" hidden="false" outlineLevel="0" max="3" min="1" style="0" width="12.15"/>
    <col collapsed="false" customWidth="true" hidden="false" outlineLevel="0" max="4" min="4" style="0" width="11.43"/>
  </cols>
  <sheetData>
    <row r="1" customFormat="false" ht="13.8" hidden="false" customHeight="false" outlineLevel="0" collapsed="false">
      <c r="A1" s="0" t="n">
        <v>0</v>
      </c>
      <c r="B1" s="0" t="n">
        <v>30.0361</v>
      </c>
    </row>
    <row r="2" customFormat="false" ht="13.8" hidden="false" customHeight="false" outlineLevel="0" collapsed="false">
      <c r="A2" s="0" t="n">
        <f aca="false">1+A1</f>
        <v>1</v>
      </c>
      <c r="B2" s="0" t="n">
        <v>29.8268</v>
      </c>
    </row>
    <row r="3" customFormat="false" ht="13.8" hidden="false" customHeight="false" outlineLevel="0" collapsed="false">
      <c r="A3" s="0" t="n">
        <f aca="false">1+A2</f>
        <v>2</v>
      </c>
      <c r="B3" s="0" t="n">
        <v>29.6282</v>
      </c>
    </row>
    <row r="4" customFormat="false" ht="13.8" hidden="false" customHeight="false" outlineLevel="0" collapsed="false">
      <c r="A4" s="0" t="n">
        <f aca="false">1+A3</f>
        <v>3</v>
      </c>
      <c r="B4" s="0" t="n">
        <v>29.43</v>
      </c>
    </row>
    <row r="5" customFormat="false" ht="13.8" hidden="false" customHeight="false" outlineLevel="0" collapsed="false">
      <c r="A5" s="0" t="n">
        <f aca="false">1+A4</f>
        <v>4</v>
      </c>
      <c r="B5" s="0" t="n">
        <v>29.2313</v>
      </c>
    </row>
    <row r="6" customFormat="false" ht="13.8" hidden="false" customHeight="false" outlineLevel="0" collapsed="false">
      <c r="A6" s="0" t="n">
        <f aca="false">1+A5</f>
        <v>5</v>
      </c>
      <c r="B6" s="0" t="n">
        <v>29.028</v>
      </c>
    </row>
    <row r="7" customFormat="false" ht="13.8" hidden="false" customHeight="false" outlineLevel="0" collapsed="false">
      <c r="A7" s="0" t="n">
        <f aca="false">1+A6</f>
        <v>6</v>
      </c>
      <c r="B7" s="0" t="n">
        <v>28.8382</v>
      </c>
    </row>
    <row r="8" customFormat="false" ht="13.8" hidden="false" customHeight="false" outlineLevel="0" collapsed="false">
      <c r="A8" s="0" t="n">
        <f aca="false">1+A7</f>
        <v>7</v>
      </c>
      <c r="B8" s="0" t="n">
        <v>28.645</v>
      </c>
    </row>
    <row r="9" customFormat="false" ht="13.8" hidden="false" customHeight="false" outlineLevel="0" collapsed="false">
      <c r="A9" s="0" t="n">
        <f aca="false">1+A8</f>
        <v>8</v>
      </c>
      <c r="B9" s="0" t="n">
        <v>28.4585</v>
      </c>
    </row>
    <row r="10" customFormat="false" ht="13.8" hidden="false" customHeight="false" outlineLevel="0" collapsed="false">
      <c r="A10" s="0" t="n">
        <f aca="false">1+A9</f>
        <v>9</v>
      </c>
      <c r="B10" s="0" t="n">
        <v>28.275</v>
      </c>
    </row>
    <row r="11" customFormat="false" ht="13.8" hidden="false" customHeight="false" outlineLevel="0" collapsed="false">
      <c r="A11" s="0" t="n">
        <f aca="false">1+A10</f>
        <v>10</v>
      </c>
      <c r="B11" s="0" t="n">
        <v>28.0948</v>
      </c>
    </row>
    <row r="12" customFormat="false" ht="13.8" hidden="false" customHeight="false" outlineLevel="0" collapsed="false">
      <c r="A12" s="0" t="n">
        <f aca="false">1+A11</f>
        <v>11</v>
      </c>
      <c r="B12" s="0" t="n">
        <v>27.9149</v>
      </c>
    </row>
    <row r="13" customFormat="false" ht="13.8" hidden="false" customHeight="false" outlineLevel="0" collapsed="false">
      <c r="A13" s="0" t="n">
        <f aca="false">1+A12</f>
        <v>12</v>
      </c>
      <c r="B13" s="0" t="n">
        <v>27.7438</v>
      </c>
    </row>
    <row r="14" customFormat="false" ht="13.8" hidden="false" customHeight="false" outlineLevel="0" collapsed="false">
      <c r="A14" s="0" t="n">
        <f aca="false">1+A13</f>
        <v>13</v>
      </c>
      <c r="B14" s="0" t="n">
        <v>27.5749</v>
      </c>
    </row>
    <row r="15" customFormat="false" ht="13.8" hidden="false" customHeight="false" outlineLevel="0" collapsed="false">
      <c r="A15" s="0" t="n">
        <f aca="false">1+A14</f>
        <v>14</v>
      </c>
      <c r="B15" s="0" t="n">
        <v>27.4074</v>
      </c>
    </row>
    <row r="16" customFormat="false" ht="13.8" hidden="false" customHeight="false" outlineLevel="0" collapsed="false">
      <c r="A16" s="0" t="n">
        <f aca="false">1+A15</f>
        <v>15</v>
      </c>
      <c r="B16" s="0" t="n">
        <v>27.2424</v>
      </c>
    </row>
    <row r="17" customFormat="false" ht="13.8" hidden="false" customHeight="false" outlineLevel="0" collapsed="false">
      <c r="A17" s="0" t="n">
        <f aca="false">1+A16</f>
        <v>16</v>
      </c>
      <c r="B17" s="0" t="n">
        <v>27.0734</v>
      </c>
    </row>
    <row r="18" customFormat="false" ht="13.8" hidden="false" customHeight="false" outlineLevel="0" collapsed="false">
      <c r="A18" s="0" t="n">
        <f aca="false">1+A17</f>
        <v>17</v>
      </c>
      <c r="B18" s="0" t="n">
        <v>26.9106</v>
      </c>
    </row>
    <row r="19" customFormat="false" ht="13.8" hidden="false" customHeight="false" outlineLevel="0" collapsed="false">
      <c r="A19" s="0" t="n">
        <f aca="false">1+A18</f>
        <v>18</v>
      </c>
      <c r="B19" s="0" t="n">
        <v>26.7542</v>
      </c>
    </row>
    <row r="20" customFormat="false" ht="13.8" hidden="false" customHeight="false" outlineLevel="0" collapsed="false">
      <c r="A20" s="0" t="n">
        <f aca="false">1+A19</f>
        <v>19</v>
      </c>
      <c r="B20" s="0" t="n">
        <v>26.5955</v>
      </c>
    </row>
    <row r="21" customFormat="false" ht="13.8" hidden="false" customHeight="false" outlineLevel="0" collapsed="false">
      <c r="A21" s="0" t="n">
        <f aca="false">1+A20</f>
        <v>20</v>
      </c>
      <c r="B21" s="0" t="n">
        <v>26.4429</v>
      </c>
    </row>
    <row r="22" customFormat="false" ht="13.8" hidden="false" customHeight="false" outlineLevel="0" collapsed="false">
      <c r="A22" s="0" t="n">
        <f aca="false">1+A21</f>
        <v>21</v>
      </c>
      <c r="B22" s="0" t="n">
        <v>26.2914</v>
      </c>
    </row>
    <row r="23" customFormat="false" ht="13.8" hidden="false" customHeight="false" outlineLevel="0" collapsed="false">
      <c r="A23" s="0" t="n">
        <f aca="false">1+A22</f>
        <v>22</v>
      </c>
      <c r="B23" s="0" t="n">
        <v>26.1443</v>
      </c>
    </row>
    <row r="24" customFormat="false" ht="13.8" hidden="false" customHeight="false" outlineLevel="0" collapsed="false">
      <c r="A24" s="0" t="n">
        <f aca="false">1+A23</f>
        <v>23</v>
      </c>
      <c r="B24" s="0" t="n">
        <v>25.9998</v>
      </c>
    </row>
    <row r="25" customFormat="false" ht="13.8" hidden="false" customHeight="false" outlineLevel="0" collapsed="false">
      <c r="A25" s="0" t="n">
        <f aca="false">1+A24</f>
        <v>24</v>
      </c>
      <c r="B25" s="0" t="n">
        <v>25.8615</v>
      </c>
    </row>
    <row r="26" customFormat="false" ht="13.8" hidden="false" customHeight="false" outlineLevel="0" collapsed="false">
      <c r="A26" s="0" t="n">
        <f aca="false">1+A25</f>
        <v>25</v>
      </c>
      <c r="B26" s="0" t="n">
        <v>25.7179</v>
      </c>
    </row>
    <row r="27" customFormat="false" ht="13.8" hidden="false" customHeight="false" outlineLevel="0" collapsed="false">
      <c r="A27" s="0" t="n">
        <f aca="false">1+A26</f>
        <v>26</v>
      </c>
      <c r="B27" s="0" t="n">
        <v>25.5758</v>
      </c>
    </row>
    <row r="28" customFormat="false" ht="13.8" hidden="false" customHeight="false" outlineLevel="0" collapsed="false">
      <c r="A28" s="0" t="n">
        <f aca="false">1+A27</f>
        <v>27</v>
      </c>
      <c r="B28" s="0" t="n">
        <v>25.4404</v>
      </c>
    </row>
    <row r="29" customFormat="false" ht="13.8" hidden="false" customHeight="false" outlineLevel="0" collapsed="false">
      <c r="A29" s="0" t="n">
        <f aca="false">1+A28</f>
        <v>28</v>
      </c>
      <c r="B29" s="0" t="n">
        <v>25.3092</v>
      </c>
    </row>
    <row r="30" customFormat="false" ht="13.8" hidden="false" customHeight="false" outlineLevel="0" collapsed="false">
      <c r="A30" s="0" t="n">
        <f aca="false">1+A29</f>
        <v>29</v>
      </c>
      <c r="B30" s="0" t="n">
        <v>25.1814</v>
      </c>
    </row>
    <row r="31" customFormat="false" ht="13.8" hidden="false" customHeight="false" outlineLevel="0" collapsed="false">
      <c r="A31" s="0" t="n">
        <f aca="false">1+A30</f>
        <v>30</v>
      </c>
      <c r="B31" s="0" t="n">
        <v>25.0476</v>
      </c>
    </row>
    <row r="32" customFormat="false" ht="13.8" hidden="false" customHeight="false" outlineLevel="0" collapsed="false">
      <c r="A32" s="0" t="n">
        <f aca="false">1+A31</f>
        <v>31</v>
      </c>
      <c r="B32" s="0" t="n">
        <v>24.9161</v>
      </c>
    </row>
    <row r="33" customFormat="false" ht="13.8" hidden="false" customHeight="false" outlineLevel="0" collapsed="false">
      <c r="A33" s="0" t="n">
        <f aca="false">1+A32</f>
        <v>32</v>
      </c>
      <c r="B33" s="0" t="n">
        <v>24.7829</v>
      </c>
    </row>
    <row r="34" customFormat="false" ht="13.8" hidden="false" customHeight="false" outlineLevel="0" collapsed="false">
      <c r="A34" s="0" t="n">
        <f aca="false">1+A33</f>
        <v>33</v>
      </c>
      <c r="B34" s="0" t="n">
        <v>24.6549</v>
      </c>
    </row>
    <row r="35" customFormat="false" ht="13.8" hidden="false" customHeight="false" outlineLevel="0" collapsed="false">
      <c r="A35" s="0" t="n">
        <f aca="false">1+A34</f>
        <v>34</v>
      </c>
      <c r="B35" s="0" t="n">
        <v>24.5297</v>
      </c>
    </row>
    <row r="36" customFormat="false" ht="13.8" hidden="false" customHeight="false" outlineLevel="0" collapsed="false">
      <c r="A36" s="0" t="n">
        <f aca="false">1+A35</f>
        <v>35</v>
      </c>
      <c r="B36" s="0" t="n">
        <v>24.4086</v>
      </c>
    </row>
    <row r="37" customFormat="false" ht="13.8" hidden="false" customHeight="false" outlineLevel="0" collapsed="false">
      <c r="A37" s="0" t="n">
        <f aca="false">1+A36</f>
        <v>36</v>
      </c>
      <c r="B37" s="0" t="n">
        <v>24.2866</v>
      </c>
    </row>
    <row r="38" customFormat="false" ht="13.8" hidden="false" customHeight="false" outlineLevel="0" collapsed="false">
      <c r="A38" s="0" t="n">
        <f aca="false">1+A37</f>
        <v>37</v>
      </c>
      <c r="B38" s="0" t="n">
        <v>24.1728</v>
      </c>
    </row>
    <row r="39" customFormat="false" ht="13.8" hidden="false" customHeight="false" outlineLevel="0" collapsed="false">
      <c r="A39" s="0" t="n">
        <f aca="false">1+A38</f>
        <v>38</v>
      </c>
      <c r="B39" s="0" t="n">
        <v>24.0558</v>
      </c>
    </row>
    <row r="40" customFormat="false" ht="13.8" hidden="false" customHeight="false" outlineLevel="0" collapsed="false">
      <c r="A40" s="0" t="n">
        <f aca="false">1+A39</f>
        <v>39</v>
      </c>
      <c r="B40" s="0" t="n">
        <v>23.9387</v>
      </c>
    </row>
    <row r="41" customFormat="false" ht="13.8" hidden="false" customHeight="false" outlineLevel="0" collapsed="false">
      <c r="A41" s="0" t="n">
        <f aca="false">1+A40</f>
        <v>40</v>
      </c>
      <c r="B41" s="0" t="n">
        <v>23.8248</v>
      </c>
    </row>
    <row r="42" customFormat="false" ht="13.8" hidden="false" customHeight="false" outlineLevel="0" collapsed="false">
      <c r="A42" s="0" t="n">
        <f aca="false">1+A41</f>
        <v>41</v>
      </c>
      <c r="B42" s="0" t="n">
        <v>23.7181</v>
      </c>
    </row>
    <row r="43" customFormat="false" ht="13.8" hidden="false" customHeight="false" outlineLevel="0" collapsed="false">
      <c r="A43" s="0" t="n">
        <f aca="false">1+A42</f>
        <v>42</v>
      </c>
      <c r="B43" s="0" t="n">
        <v>23.6076</v>
      </c>
    </row>
    <row r="44" customFormat="false" ht="13.8" hidden="false" customHeight="false" outlineLevel="0" collapsed="false">
      <c r="A44" s="0" t="n">
        <f aca="false">1+A43</f>
        <v>43</v>
      </c>
      <c r="B44" s="0" t="n">
        <v>23.4945</v>
      </c>
    </row>
    <row r="45" customFormat="false" ht="13.8" hidden="false" customHeight="false" outlineLevel="0" collapsed="false">
      <c r="A45" s="0" t="n">
        <f aca="false">1+A44</f>
        <v>44</v>
      </c>
      <c r="B45" s="0" t="n">
        <v>23.3914</v>
      </c>
    </row>
    <row r="46" customFormat="false" ht="13.8" hidden="false" customHeight="false" outlineLevel="0" collapsed="false">
      <c r="A46" s="0" t="n">
        <f aca="false">1+A45</f>
        <v>45</v>
      </c>
      <c r="B46" s="0" t="n">
        <v>23.2841</v>
      </c>
    </row>
    <row r="47" customFormat="false" ht="13.8" hidden="false" customHeight="false" outlineLevel="0" collapsed="false">
      <c r="A47" s="0" t="n">
        <f aca="false">1+A46</f>
        <v>46</v>
      </c>
      <c r="B47" s="0" t="n">
        <v>23.182</v>
      </c>
    </row>
    <row r="48" customFormat="false" ht="13.8" hidden="false" customHeight="false" outlineLevel="0" collapsed="false">
      <c r="A48" s="0" t="n">
        <f aca="false">1+A47</f>
        <v>47</v>
      </c>
      <c r="B48" s="0" t="n">
        <v>23.0766</v>
      </c>
    </row>
    <row r="49" customFormat="false" ht="13.8" hidden="false" customHeight="false" outlineLevel="0" collapsed="false">
      <c r="A49" s="0" t="n">
        <f aca="false">1+A48</f>
        <v>48</v>
      </c>
      <c r="B49" s="0" t="n">
        <v>22.9689</v>
      </c>
    </row>
    <row r="50" customFormat="false" ht="13.8" hidden="false" customHeight="false" outlineLevel="0" collapsed="false">
      <c r="A50" s="0" t="n">
        <f aca="false">1+A49</f>
        <v>49</v>
      </c>
      <c r="B50" s="0" t="n">
        <v>22.8692</v>
      </c>
    </row>
    <row r="51" customFormat="false" ht="13.8" hidden="false" customHeight="false" outlineLevel="0" collapsed="false">
      <c r="A51" s="0" t="n">
        <f aca="false">1+A50</f>
        <v>50</v>
      </c>
      <c r="B51" s="0" t="n">
        <v>22.7644</v>
      </c>
    </row>
    <row r="52" customFormat="false" ht="13.8" hidden="false" customHeight="false" outlineLevel="0" collapsed="false">
      <c r="A52" s="0" t="n">
        <f aca="false">1+A51</f>
        <v>51</v>
      </c>
      <c r="B52" s="0" t="n">
        <v>22.6637</v>
      </c>
    </row>
    <row r="53" customFormat="false" ht="13.8" hidden="false" customHeight="false" outlineLevel="0" collapsed="false">
      <c r="A53" s="0" t="n">
        <f aca="false">1+A52</f>
        <v>52</v>
      </c>
      <c r="B53" s="0" t="n">
        <v>22.5644</v>
      </c>
    </row>
    <row r="54" customFormat="false" ht="13.8" hidden="false" customHeight="false" outlineLevel="0" collapsed="false">
      <c r="A54" s="0" t="n">
        <f aca="false">1+A53</f>
        <v>53</v>
      </c>
      <c r="B54" s="0" t="n">
        <v>22.4595</v>
      </c>
    </row>
    <row r="55" customFormat="false" ht="13.8" hidden="false" customHeight="false" outlineLevel="0" collapsed="false">
      <c r="A55" s="0" t="n">
        <f aca="false">1+A54</f>
        <v>54</v>
      </c>
      <c r="B55" s="0" t="n">
        <v>22.3591</v>
      </c>
    </row>
    <row r="56" customFormat="false" ht="13.8" hidden="false" customHeight="false" outlineLevel="0" collapsed="false">
      <c r="A56" s="0" t="n">
        <f aca="false">1+A55</f>
        <v>55</v>
      </c>
      <c r="B56" s="0" t="n">
        <v>22.2648</v>
      </c>
    </row>
    <row r="57" customFormat="false" ht="13.8" hidden="false" customHeight="false" outlineLevel="0" collapsed="false">
      <c r="A57" s="0" t="n">
        <f aca="false">1+A56</f>
        <v>56</v>
      </c>
      <c r="B57" s="0" t="n">
        <v>22.171</v>
      </c>
    </row>
    <row r="58" customFormat="false" ht="13.8" hidden="false" customHeight="false" outlineLevel="0" collapsed="false">
      <c r="A58" s="0" t="n">
        <f aca="false">1+A57</f>
        <v>57</v>
      </c>
      <c r="B58" s="0" t="n">
        <v>22.0726</v>
      </c>
    </row>
    <row r="59" customFormat="false" ht="13.8" hidden="false" customHeight="false" outlineLevel="0" collapsed="false">
      <c r="A59" s="0" t="n">
        <f aca="false">1+A58</f>
        <v>58</v>
      </c>
      <c r="B59" s="0" t="n">
        <v>21.983</v>
      </c>
    </row>
    <row r="60" customFormat="false" ht="13.8" hidden="false" customHeight="false" outlineLevel="0" collapsed="false">
      <c r="A60" s="0" t="n">
        <f aca="false">1+A59</f>
        <v>59</v>
      </c>
      <c r="B60" s="0" t="n">
        <v>21.8899</v>
      </c>
    </row>
    <row r="61" customFormat="false" ht="13.8" hidden="false" customHeight="false" outlineLevel="0" collapsed="false">
      <c r="A61" s="0" t="n">
        <f aca="false">1+A60</f>
        <v>60</v>
      </c>
      <c r="B61" s="0" t="n">
        <v>21.7947</v>
      </c>
    </row>
    <row r="62" customFormat="false" ht="13.8" hidden="false" customHeight="false" outlineLevel="0" collapsed="false">
      <c r="A62" s="0" t="n">
        <f aca="false">1+A61</f>
        <v>61</v>
      </c>
      <c r="B62" s="0" t="n">
        <v>21.7037</v>
      </c>
    </row>
    <row r="63" customFormat="false" ht="13.8" hidden="false" customHeight="false" outlineLevel="0" collapsed="false">
      <c r="A63" s="0" t="n">
        <f aca="false">1+A62</f>
        <v>62</v>
      </c>
      <c r="B63" s="0" t="n">
        <v>21.6108</v>
      </c>
    </row>
    <row r="64" customFormat="false" ht="13.8" hidden="false" customHeight="false" outlineLevel="0" collapsed="false">
      <c r="A64" s="0" t="n">
        <f aca="false">1+A63</f>
        <v>63</v>
      </c>
      <c r="B64" s="0" t="n">
        <v>21.5199</v>
      </c>
    </row>
    <row r="65" customFormat="false" ht="13.8" hidden="false" customHeight="false" outlineLevel="0" collapsed="false">
      <c r="A65" s="0" t="n">
        <f aca="false">1+A64</f>
        <v>64</v>
      </c>
      <c r="B65" s="0" t="n">
        <v>21.4314</v>
      </c>
    </row>
    <row r="66" customFormat="false" ht="13.8" hidden="false" customHeight="false" outlineLevel="0" collapsed="false">
      <c r="A66" s="0" t="n">
        <f aca="false">1+A65</f>
        <v>65</v>
      </c>
      <c r="B66" s="0" t="n">
        <v>21.3495</v>
      </c>
    </row>
    <row r="67" customFormat="false" ht="13.8" hidden="false" customHeight="false" outlineLevel="0" collapsed="false">
      <c r="A67" s="0" t="n">
        <f aca="false">1+A66</f>
        <v>66</v>
      </c>
      <c r="B67" s="0" t="n">
        <v>21.259</v>
      </c>
    </row>
    <row r="68" customFormat="false" ht="13.8" hidden="false" customHeight="false" outlineLevel="0" collapsed="false">
      <c r="A68" s="0" t="n">
        <f aca="false">1+A67</f>
        <v>67</v>
      </c>
      <c r="B68" s="0" t="n">
        <v>21.1713</v>
      </c>
    </row>
    <row r="69" customFormat="false" ht="13.8" hidden="false" customHeight="false" outlineLevel="0" collapsed="false">
      <c r="A69" s="0" t="n">
        <f aca="false">1+A68</f>
        <v>68</v>
      </c>
      <c r="B69" s="0" t="n">
        <v>21.0869</v>
      </c>
    </row>
    <row r="70" customFormat="false" ht="13.8" hidden="false" customHeight="false" outlineLevel="0" collapsed="false">
      <c r="A70" s="0" t="n">
        <f aca="false">1+A69</f>
        <v>69</v>
      </c>
      <c r="B70" s="0" t="n">
        <v>20.9982</v>
      </c>
    </row>
    <row r="71" customFormat="false" ht="13.8" hidden="false" customHeight="false" outlineLevel="0" collapsed="false">
      <c r="A71" s="0" t="n">
        <f aca="false">1+A70</f>
        <v>70</v>
      </c>
      <c r="B71" s="0" t="n">
        <v>20.913</v>
      </c>
    </row>
    <row r="72" customFormat="false" ht="13.8" hidden="false" customHeight="false" outlineLevel="0" collapsed="false">
      <c r="A72" s="0" t="n">
        <f aca="false">1+A71</f>
        <v>71</v>
      </c>
      <c r="B72" s="0" t="n">
        <v>20.834</v>
      </c>
    </row>
    <row r="73" customFormat="false" ht="13.8" hidden="false" customHeight="false" outlineLevel="0" collapsed="false">
      <c r="A73" s="0" t="n">
        <f aca="false">1+A72</f>
        <v>72</v>
      </c>
      <c r="B73" s="0" t="n">
        <v>20.7448</v>
      </c>
    </row>
    <row r="74" customFormat="false" ht="13.8" hidden="false" customHeight="false" outlineLevel="0" collapsed="false">
      <c r="A74" s="0" t="n">
        <f aca="false">1+A73</f>
        <v>73</v>
      </c>
      <c r="B74" s="0" t="n">
        <v>20.6634</v>
      </c>
    </row>
    <row r="75" customFormat="false" ht="13.8" hidden="false" customHeight="false" outlineLevel="0" collapsed="false">
      <c r="A75" s="0" t="n">
        <f aca="false">1+A74</f>
        <v>74</v>
      </c>
      <c r="B75" s="0" t="n">
        <v>20.5774</v>
      </c>
    </row>
    <row r="76" customFormat="false" ht="13.8" hidden="false" customHeight="false" outlineLevel="0" collapsed="false">
      <c r="A76" s="0" t="n">
        <f aca="false">1+A75</f>
        <v>75</v>
      </c>
      <c r="B76" s="0" t="n">
        <v>20.4978</v>
      </c>
    </row>
    <row r="77" customFormat="false" ht="13.8" hidden="false" customHeight="false" outlineLevel="0" collapsed="false">
      <c r="A77" s="0" t="n">
        <f aca="false">1+A76</f>
        <v>76</v>
      </c>
      <c r="B77" s="0" t="n">
        <v>20.4189</v>
      </c>
    </row>
    <row r="78" customFormat="false" ht="13.8" hidden="false" customHeight="false" outlineLevel="0" collapsed="false">
      <c r="A78" s="0" t="n">
        <f aca="false">1+A77</f>
        <v>77</v>
      </c>
      <c r="B78" s="0" t="n">
        <v>20.3417</v>
      </c>
    </row>
    <row r="79" customFormat="false" ht="13.8" hidden="false" customHeight="false" outlineLevel="0" collapsed="false">
      <c r="A79" s="0" t="n">
        <f aca="false">1+A78</f>
        <v>78</v>
      </c>
      <c r="B79" s="0" t="n">
        <v>20.2578</v>
      </c>
    </row>
    <row r="80" customFormat="false" ht="13.8" hidden="false" customHeight="false" outlineLevel="0" collapsed="false">
      <c r="A80" s="0" t="n">
        <f aca="false">1+A79</f>
        <v>79</v>
      </c>
      <c r="B80" s="0" t="n">
        <v>20.1769</v>
      </c>
    </row>
    <row r="81" customFormat="false" ht="13.8" hidden="false" customHeight="false" outlineLevel="0" collapsed="false">
      <c r="A81" s="0" t="n">
        <f aca="false">1+A80</f>
        <v>80</v>
      </c>
      <c r="B81" s="0" t="n">
        <v>20.0989</v>
      </c>
    </row>
    <row r="82" customFormat="false" ht="13.8" hidden="false" customHeight="false" outlineLevel="0" collapsed="false">
      <c r="A82" s="0" t="n">
        <f aca="false">1+A81</f>
        <v>81</v>
      </c>
      <c r="B82" s="0" t="n">
        <v>20.0171</v>
      </c>
    </row>
    <row r="83" customFormat="false" ht="13.8" hidden="false" customHeight="false" outlineLevel="0" collapsed="false">
      <c r="A83" s="0" t="n">
        <f aca="false">1+A82</f>
        <v>82</v>
      </c>
      <c r="B83" s="0" t="n">
        <v>19.9385</v>
      </c>
    </row>
    <row r="84" customFormat="false" ht="13.8" hidden="false" customHeight="false" outlineLevel="0" collapsed="false">
      <c r="A84" s="0" t="n">
        <f aca="false">1+A83</f>
        <v>83</v>
      </c>
      <c r="B84" s="0" t="n">
        <v>19.8527</v>
      </c>
    </row>
    <row r="85" customFormat="false" ht="13.8" hidden="false" customHeight="false" outlineLevel="0" collapsed="false">
      <c r="A85" s="0" t="n">
        <f aca="false">1+A84</f>
        <v>84</v>
      </c>
      <c r="B85" s="0" t="n">
        <v>19.7738</v>
      </c>
    </row>
    <row r="86" customFormat="false" ht="13.8" hidden="false" customHeight="false" outlineLevel="0" collapsed="false">
      <c r="A86" s="0" t="n">
        <f aca="false">1+A85</f>
        <v>85</v>
      </c>
      <c r="B86" s="0" t="n">
        <v>19.6999</v>
      </c>
    </row>
    <row r="87" customFormat="false" ht="13.8" hidden="false" customHeight="false" outlineLevel="0" collapsed="false">
      <c r="A87" s="0" t="n">
        <f aca="false">1+A86</f>
        <v>86</v>
      </c>
      <c r="B87" s="0" t="n">
        <v>19.6261</v>
      </c>
    </row>
    <row r="88" customFormat="false" ht="13.8" hidden="false" customHeight="false" outlineLevel="0" collapsed="false">
      <c r="A88" s="0" t="n">
        <f aca="false">1+A87</f>
        <v>87</v>
      </c>
      <c r="B88" s="0" t="n">
        <v>19.556</v>
      </c>
    </row>
    <row r="89" customFormat="false" ht="13.8" hidden="false" customHeight="false" outlineLevel="0" collapsed="false">
      <c r="A89" s="0" t="n">
        <f aca="false">1+A88</f>
        <v>88</v>
      </c>
      <c r="B89" s="0" t="n">
        <v>19.4746</v>
      </c>
    </row>
    <row r="90" customFormat="false" ht="13.8" hidden="false" customHeight="false" outlineLevel="0" collapsed="false">
      <c r="A90" s="0" t="n">
        <f aca="false">1+A89</f>
        <v>89</v>
      </c>
      <c r="B90" s="0" t="n">
        <v>19.4055</v>
      </c>
    </row>
    <row r="91" customFormat="false" ht="13.8" hidden="false" customHeight="false" outlineLevel="0" collapsed="false">
      <c r="A91" s="0" t="n">
        <f aca="false">1+A90</f>
        <v>90</v>
      </c>
      <c r="B91" s="0" t="n">
        <v>19.3286</v>
      </c>
    </row>
    <row r="92" customFormat="false" ht="13.8" hidden="false" customHeight="false" outlineLevel="0" collapsed="false">
      <c r="A92" s="0" t="n">
        <f aca="false">1+A91</f>
        <v>91</v>
      </c>
      <c r="B92" s="0" t="n">
        <v>19.258</v>
      </c>
    </row>
    <row r="93" customFormat="false" ht="13.8" hidden="false" customHeight="false" outlineLevel="0" collapsed="false">
      <c r="A93" s="0" t="n">
        <f aca="false">1+A92</f>
        <v>92</v>
      </c>
      <c r="B93" s="0" t="n">
        <v>19.1891</v>
      </c>
    </row>
    <row r="94" customFormat="false" ht="13.8" hidden="false" customHeight="false" outlineLevel="0" collapsed="false">
      <c r="A94" s="0" t="n">
        <f aca="false">1+A93</f>
        <v>93</v>
      </c>
      <c r="B94" s="0" t="n">
        <v>19.1161</v>
      </c>
    </row>
    <row r="95" customFormat="false" ht="13.8" hidden="false" customHeight="false" outlineLevel="0" collapsed="false">
      <c r="A95" s="0" t="n">
        <f aca="false">1+A94</f>
        <v>94</v>
      </c>
      <c r="B95" s="0" t="n">
        <v>19.0409</v>
      </c>
    </row>
    <row r="96" customFormat="false" ht="13.8" hidden="false" customHeight="false" outlineLevel="0" collapsed="false">
      <c r="A96" s="0" t="n">
        <f aca="false">1+A95</f>
        <v>95</v>
      </c>
      <c r="B96" s="0" t="n">
        <v>18.9714</v>
      </c>
    </row>
    <row r="97" customFormat="false" ht="13.8" hidden="false" customHeight="false" outlineLevel="0" collapsed="false">
      <c r="A97" s="0" t="n">
        <f aca="false">1+A96</f>
        <v>96</v>
      </c>
      <c r="B97" s="0" t="n">
        <v>18.9091</v>
      </c>
    </row>
    <row r="98" customFormat="false" ht="13.8" hidden="false" customHeight="false" outlineLevel="0" collapsed="false">
      <c r="A98" s="0" t="n">
        <f aca="false">1+A97</f>
        <v>97</v>
      </c>
      <c r="B98" s="0" t="n">
        <v>18.8398</v>
      </c>
    </row>
    <row r="99" customFormat="false" ht="13.8" hidden="false" customHeight="false" outlineLevel="0" collapsed="false">
      <c r="A99" s="0" t="n">
        <f aca="false">1+A98</f>
        <v>98</v>
      </c>
      <c r="B99" s="0" t="n">
        <v>18.7746</v>
      </c>
    </row>
    <row r="100" customFormat="false" ht="13.8" hidden="false" customHeight="false" outlineLevel="0" collapsed="false">
      <c r="A100" s="0" t="n">
        <f aca="false">1+A99</f>
        <v>99</v>
      </c>
      <c r="B100" s="0" t="n">
        <v>18.7075</v>
      </c>
    </row>
    <row r="101" customFormat="false" ht="13.8" hidden="false" customHeight="false" outlineLevel="0" collapsed="false">
      <c r="A101" s="0" t="n">
        <f aca="false">1+A100</f>
        <v>100</v>
      </c>
      <c r="B101" s="0" t="n">
        <v>18.6407</v>
      </c>
    </row>
    <row r="102" customFormat="false" ht="13.8" hidden="false" customHeight="false" outlineLevel="0" collapsed="false">
      <c r="A102" s="0" t="n">
        <f aca="false">1+A101</f>
        <v>101</v>
      </c>
      <c r="B102" s="0" t="n">
        <v>18.5775</v>
      </c>
    </row>
    <row r="103" customFormat="false" ht="13.8" hidden="false" customHeight="false" outlineLevel="0" collapsed="false">
      <c r="A103" s="0" t="n">
        <f aca="false">1+A102</f>
        <v>102</v>
      </c>
      <c r="B103" s="0" t="n">
        <v>18.5131</v>
      </c>
    </row>
    <row r="104" customFormat="false" ht="13.8" hidden="false" customHeight="false" outlineLevel="0" collapsed="false">
      <c r="A104" s="0" t="n">
        <f aca="false">1+A103</f>
        <v>103</v>
      </c>
      <c r="B104" s="0" t="n">
        <v>18.4418</v>
      </c>
    </row>
    <row r="105" customFormat="false" ht="13.8" hidden="false" customHeight="false" outlineLevel="0" collapsed="false">
      <c r="A105" s="0" t="n">
        <f aca="false">1+A104</f>
        <v>104</v>
      </c>
      <c r="B105" s="0" t="n">
        <v>18.3787</v>
      </c>
    </row>
    <row r="106" customFormat="false" ht="13.8" hidden="false" customHeight="false" outlineLevel="0" collapsed="false">
      <c r="A106" s="0" t="n">
        <f aca="false">1+A105</f>
        <v>105</v>
      </c>
      <c r="B106" s="0" t="n">
        <v>18.3139</v>
      </c>
    </row>
    <row r="107" customFormat="false" ht="13.8" hidden="false" customHeight="false" outlineLevel="0" collapsed="false">
      <c r="A107" s="0" t="n">
        <f aca="false">1+A106</f>
        <v>106</v>
      </c>
      <c r="B107" s="0" t="n">
        <v>18.2503</v>
      </c>
    </row>
    <row r="108" customFormat="false" ht="13.8" hidden="false" customHeight="false" outlineLevel="0" collapsed="false">
      <c r="A108" s="0" t="n">
        <f aca="false">1+A107</f>
        <v>107</v>
      </c>
      <c r="B108" s="0" t="n">
        <v>18.1865</v>
      </c>
    </row>
    <row r="109" customFormat="false" ht="13.8" hidden="false" customHeight="false" outlineLevel="0" collapsed="false">
      <c r="A109" s="0" t="n">
        <f aca="false">1+A108</f>
        <v>108</v>
      </c>
      <c r="B109" s="0" t="n">
        <v>18.1207</v>
      </c>
    </row>
    <row r="110" customFormat="false" ht="13.8" hidden="false" customHeight="false" outlineLevel="0" collapsed="false">
      <c r="A110" s="0" t="n">
        <f aca="false">1+A109</f>
        <v>109</v>
      </c>
      <c r="B110" s="0" t="n">
        <v>18.0564</v>
      </c>
    </row>
    <row r="111" customFormat="false" ht="13.8" hidden="false" customHeight="false" outlineLevel="0" collapsed="false">
      <c r="A111" s="0" t="n">
        <f aca="false">1+A110</f>
        <v>110</v>
      </c>
      <c r="B111" s="0" t="n">
        <v>17.9917</v>
      </c>
    </row>
    <row r="112" customFormat="false" ht="13.8" hidden="false" customHeight="false" outlineLevel="0" collapsed="false">
      <c r="A112" s="0" t="n">
        <f aca="false">1+A111</f>
        <v>111</v>
      </c>
      <c r="B112" s="0" t="n">
        <v>17.926</v>
      </c>
    </row>
    <row r="113" customFormat="false" ht="13.8" hidden="false" customHeight="false" outlineLevel="0" collapsed="false">
      <c r="A113" s="0" t="n">
        <f aca="false">1+A112</f>
        <v>112</v>
      </c>
      <c r="B113" s="0" t="n">
        <v>17.8684</v>
      </c>
    </row>
    <row r="114" customFormat="false" ht="13.8" hidden="false" customHeight="false" outlineLevel="0" collapsed="false">
      <c r="A114" s="0" t="n">
        <f aca="false">1+A113</f>
        <v>113</v>
      </c>
      <c r="B114" s="0" t="n">
        <v>17.8034</v>
      </c>
    </row>
    <row r="115" customFormat="false" ht="13.8" hidden="false" customHeight="false" outlineLevel="0" collapsed="false">
      <c r="A115" s="0" t="n">
        <f aca="false">1+A114</f>
        <v>114</v>
      </c>
      <c r="B115" s="0" t="n">
        <v>17.7447</v>
      </c>
    </row>
    <row r="116" customFormat="false" ht="13.8" hidden="false" customHeight="false" outlineLevel="0" collapsed="false">
      <c r="A116" s="0" t="n">
        <f aca="false">1+A115</f>
        <v>115</v>
      </c>
      <c r="B116" s="0" t="n">
        <v>17.6832</v>
      </c>
    </row>
    <row r="117" customFormat="false" ht="13.8" hidden="false" customHeight="false" outlineLevel="0" collapsed="false">
      <c r="A117" s="0" t="n">
        <f aca="false">1+A116</f>
        <v>116</v>
      </c>
      <c r="B117" s="0" t="n">
        <v>17.6143</v>
      </c>
    </row>
    <row r="118" customFormat="false" ht="13.8" hidden="false" customHeight="false" outlineLevel="0" collapsed="false">
      <c r="A118" s="0" t="n">
        <f aca="false">1+A117</f>
        <v>117</v>
      </c>
      <c r="B118" s="0" t="n">
        <v>17.5546</v>
      </c>
    </row>
    <row r="119" customFormat="false" ht="13.8" hidden="false" customHeight="false" outlineLevel="0" collapsed="false">
      <c r="A119" s="0" t="n">
        <f aca="false">1+A118</f>
        <v>118</v>
      </c>
      <c r="B119" s="0" t="n">
        <v>17.4947</v>
      </c>
    </row>
    <row r="120" customFormat="false" ht="13.8" hidden="false" customHeight="false" outlineLevel="0" collapsed="false">
      <c r="A120" s="0" t="n">
        <f aca="false">1+A119</f>
        <v>119</v>
      </c>
      <c r="B120" s="0" t="n">
        <v>17.4333</v>
      </c>
    </row>
    <row r="121" customFormat="false" ht="13.8" hidden="false" customHeight="false" outlineLevel="0" collapsed="false">
      <c r="A121" s="0" t="n">
        <f aca="false">1+A120</f>
        <v>120</v>
      </c>
      <c r="B121" s="0" t="n">
        <v>17.369</v>
      </c>
    </row>
    <row r="122" customFormat="false" ht="13.8" hidden="false" customHeight="false" outlineLevel="0" collapsed="false">
      <c r="A122" s="0" t="n">
        <f aca="false">1+A121</f>
        <v>121</v>
      </c>
      <c r="B122" s="0" t="n">
        <v>17.3094</v>
      </c>
    </row>
    <row r="123" customFormat="false" ht="13.8" hidden="false" customHeight="false" outlineLevel="0" collapsed="false">
      <c r="A123" s="0" t="n">
        <f aca="false">1+A122</f>
        <v>122</v>
      </c>
      <c r="B123" s="0" t="n">
        <v>17.2471</v>
      </c>
    </row>
    <row r="124" customFormat="false" ht="13.8" hidden="false" customHeight="false" outlineLevel="0" collapsed="false">
      <c r="A124" s="0" t="n">
        <f aca="false">1+A123</f>
        <v>123</v>
      </c>
      <c r="B124" s="0" t="n">
        <v>17.1911</v>
      </c>
    </row>
    <row r="125" customFormat="false" ht="13.8" hidden="false" customHeight="false" outlineLevel="0" collapsed="false">
      <c r="A125" s="0" t="n">
        <f aca="false">1+A124</f>
        <v>124</v>
      </c>
      <c r="B125" s="0" t="n">
        <v>17.1234</v>
      </c>
    </row>
    <row r="126" customFormat="false" ht="13.8" hidden="false" customHeight="false" outlineLevel="0" collapsed="false">
      <c r="A126" s="0" t="n">
        <f aca="false">1+A125</f>
        <v>125</v>
      </c>
      <c r="B126" s="0" t="n">
        <v>17.0643</v>
      </c>
    </row>
    <row r="127" customFormat="false" ht="13.8" hidden="false" customHeight="false" outlineLevel="0" collapsed="false">
      <c r="A127" s="0" t="n">
        <f aca="false">1+A126</f>
        <v>126</v>
      </c>
      <c r="B127" s="0" t="n">
        <v>17.0055</v>
      </c>
    </row>
    <row r="128" customFormat="false" ht="13.8" hidden="false" customHeight="false" outlineLevel="0" collapsed="false">
      <c r="A128" s="0" t="n">
        <f aca="false">1+A127</f>
        <v>127</v>
      </c>
      <c r="B128" s="0" t="n">
        <v>16.9472</v>
      </c>
    </row>
    <row r="129" customFormat="false" ht="13.8" hidden="false" customHeight="false" outlineLevel="0" collapsed="false">
      <c r="A129" s="0" t="n">
        <f aca="false">1+A128</f>
        <v>128</v>
      </c>
      <c r="B129" s="0" t="n">
        <v>16.8943</v>
      </c>
    </row>
    <row r="130" customFormat="false" ht="13.8" hidden="false" customHeight="false" outlineLevel="0" collapsed="false">
      <c r="A130" s="0" t="n">
        <f aca="false">1+A129</f>
        <v>129</v>
      </c>
      <c r="B130" s="0" t="n">
        <v>16.8389</v>
      </c>
    </row>
    <row r="131" customFormat="false" ht="13.8" hidden="false" customHeight="false" outlineLevel="0" collapsed="false">
      <c r="A131" s="0" t="n">
        <f aca="false">1+A130</f>
        <v>130</v>
      </c>
      <c r="B131" s="0" t="n">
        <v>16.779</v>
      </c>
    </row>
    <row r="132" customFormat="false" ht="13.8" hidden="false" customHeight="false" outlineLevel="0" collapsed="false">
      <c r="A132" s="0" t="n">
        <f aca="false">1+A131</f>
        <v>131</v>
      </c>
      <c r="B132" s="0" t="n">
        <v>16.7251</v>
      </c>
    </row>
    <row r="133" customFormat="false" ht="13.8" hidden="false" customHeight="false" outlineLevel="0" collapsed="false">
      <c r="A133" s="0" t="n">
        <f aca="false">1+A132</f>
        <v>132</v>
      </c>
      <c r="B133" s="0" t="n">
        <v>16.6673</v>
      </c>
    </row>
    <row r="134" customFormat="false" ht="13.8" hidden="false" customHeight="false" outlineLevel="0" collapsed="false">
      <c r="A134" s="0" t="n">
        <f aca="false">1+A133</f>
        <v>133</v>
      </c>
      <c r="B134" s="0" t="n">
        <v>16.6163</v>
      </c>
    </row>
    <row r="135" customFormat="false" ht="13.8" hidden="false" customHeight="false" outlineLevel="0" collapsed="false">
      <c r="A135" s="0" t="n">
        <f aca="false">1+A134</f>
        <v>134</v>
      </c>
      <c r="B135" s="0" t="n">
        <v>16.5546</v>
      </c>
    </row>
    <row r="136" customFormat="false" ht="13.8" hidden="false" customHeight="false" outlineLevel="0" collapsed="false">
      <c r="A136" s="0" t="n">
        <f aca="false">1+A135</f>
        <v>135</v>
      </c>
      <c r="B136" s="0" t="n">
        <v>16.5005</v>
      </c>
    </row>
    <row r="137" customFormat="false" ht="13.8" hidden="false" customHeight="false" outlineLevel="0" collapsed="false">
      <c r="A137" s="0" t="n">
        <f aca="false">1+A136</f>
        <v>136</v>
      </c>
      <c r="B137" s="0" t="n">
        <v>16.4462</v>
      </c>
    </row>
    <row r="138" customFormat="false" ht="13.8" hidden="false" customHeight="false" outlineLevel="0" collapsed="false">
      <c r="A138" s="0" t="n">
        <f aca="false">1+A137</f>
        <v>137</v>
      </c>
      <c r="B138" s="0" t="n">
        <v>16.3915</v>
      </c>
    </row>
    <row r="139" customFormat="false" ht="13.8" hidden="false" customHeight="false" outlineLevel="0" collapsed="false">
      <c r="A139" s="0" t="n">
        <f aca="false">1+A138</f>
        <v>138</v>
      </c>
      <c r="B139" s="0" t="n">
        <v>16.3359</v>
      </c>
    </row>
    <row r="140" customFormat="false" ht="13.8" hidden="false" customHeight="false" outlineLevel="0" collapsed="false">
      <c r="A140" s="0" t="n">
        <f aca="false">1+A139</f>
        <v>139</v>
      </c>
      <c r="B140" s="0" t="n">
        <v>16.2758</v>
      </c>
    </row>
    <row r="141" customFormat="false" ht="13.8" hidden="false" customHeight="false" outlineLevel="0" collapsed="false">
      <c r="A141" s="0" t="n">
        <f aca="false">1+A140</f>
        <v>140</v>
      </c>
      <c r="B141" s="0" t="n">
        <v>16.2175</v>
      </c>
    </row>
    <row r="142" customFormat="false" ht="13.8" hidden="false" customHeight="false" outlineLevel="0" collapsed="false">
      <c r="A142" s="0" t="n">
        <f aca="false">1+A141</f>
        <v>141</v>
      </c>
      <c r="B142" s="0" t="n">
        <v>16.1685</v>
      </c>
    </row>
    <row r="143" customFormat="false" ht="13.8" hidden="false" customHeight="false" outlineLevel="0" collapsed="false">
      <c r="A143" s="0" t="n">
        <f aca="false">1+A142</f>
        <v>142</v>
      </c>
      <c r="B143" s="0" t="n">
        <v>16.1127</v>
      </c>
    </row>
    <row r="144" customFormat="false" ht="13.8" hidden="false" customHeight="false" outlineLevel="0" collapsed="false">
      <c r="A144" s="0" t="n">
        <f aca="false">1+A143</f>
        <v>143</v>
      </c>
      <c r="B144" s="0" t="n">
        <v>16.0622</v>
      </c>
    </row>
    <row r="145" customFormat="false" ht="13.8" hidden="false" customHeight="false" outlineLevel="0" collapsed="false">
      <c r="A145" s="0" t="n">
        <f aca="false">1+A144</f>
        <v>144</v>
      </c>
      <c r="B145" s="0" t="n">
        <v>16.0056</v>
      </c>
    </row>
    <row r="146" customFormat="false" ht="13.8" hidden="false" customHeight="false" outlineLevel="0" collapsed="false">
      <c r="A146" s="0" t="n">
        <f aca="false">1+A145</f>
        <v>145</v>
      </c>
      <c r="B146" s="0" t="n">
        <v>15.9507</v>
      </c>
    </row>
    <row r="147" customFormat="false" ht="13.8" hidden="false" customHeight="false" outlineLevel="0" collapsed="false">
      <c r="A147" s="0" t="n">
        <f aca="false">1+A146</f>
        <v>146</v>
      </c>
      <c r="B147" s="0" t="n">
        <v>15.8915</v>
      </c>
    </row>
    <row r="148" customFormat="false" ht="13.8" hidden="false" customHeight="false" outlineLevel="0" collapsed="false">
      <c r="A148" s="0" t="n">
        <f aca="false">1+A147</f>
        <v>147</v>
      </c>
      <c r="B148" s="0" t="n">
        <v>15.8367</v>
      </c>
    </row>
    <row r="149" customFormat="false" ht="13.8" hidden="false" customHeight="false" outlineLevel="0" collapsed="false">
      <c r="A149" s="0" t="n">
        <f aca="false">1+A148</f>
        <v>148</v>
      </c>
      <c r="B149" s="0" t="n">
        <v>15.7792</v>
      </c>
    </row>
    <row r="150" customFormat="false" ht="13.8" hidden="false" customHeight="false" outlineLevel="0" collapsed="false">
      <c r="A150" s="0" t="n">
        <f aca="false">1+A149</f>
        <v>149</v>
      </c>
      <c r="B150" s="0" t="n">
        <v>15.7222</v>
      </c>
    </row>
    <row r="151" customFormat="false" ht="13.8" hidden="false" customHeight="false" outlineLevel="0" collapsed="false">
      <c r="A151" s="0" t="n">
        <f aca="false">1+A150</f>
        <v>150</v>
      </c>
      <c r="B151" s="0" t="n">
        <v>15.6756</v>
      </c>
    </row>
    <row r="152" customFormat="false" ht="13.8" hidden="false" customHeight="false" outlineLevel="0" collapsed="false">
      <c r="A152" s="0" t="n">
        <f aca="false">1+A151</f>
        <v>151</v>
      </c>
      <c r="B152" s="0" t="n">
        <v>15.619</v>
      </c>
    </row>
    <row r="153" customFormat="false" ht="13.8" hidden="false" customHeight="false" outlineLevel="0" collapsed="false">
      <c r="A153" s="0" t="n">
        <f aca="false">1+A152</f>
        <v>152</v>
      </c>
      <c r="B153" s="0" t="n">
        <v>15.5685</v>
      </c>
    </row>
    <row r="154" customFormat="false" ht="13.8" hidden="false" customHeight="false" outlineLevel="0" collapsed="false">
      <c r="A154" s="0" t="n">
        <f aca="false">1+A153</f>
        <v>153</v>
      </c>
      <c r="B154" s="0" t="n">
        <v>15.5147</v>
      </c>
    </row>
    <row r="155" customFormat="false" ht="13.8" hidden="false" customHeight="false" outlineLevel="0" collapsed="false">
      <c r="A155" s="0" t="n">
        <f aca="false">1+A154</f>
        <v>154</v>
      </c>
      <c r="B155" s="0" t="n">
        <v>15.4636</v>
      </c>
    </row>
    <row r="156" customFormat="false" ht="13.8" hidden="false" customHeight="false" outlineLevel="0" collapsed="false">
      <c r="A156" s="0" t="n">
        <f aca="false">1+A155</f>
        <v>155</v>
      </c>
      <c r="B156" s="0" t="n">
        <v>15.4167</v>
      </c>
    </row>
    <row r="157" customFormat="false" ht="13.8" hidden="false" customHeight="false" outlineLevel="0" collapsed="false">
      <c r="A157" s="0" t="n">
        <f aca="false">1+A156</f>
        <v>156</v>
      </c>
      <c r="B157" s="0" t="n">
        <v>15.3669</v>
      </c>
    </row>
    <row r="158" customFormat="false" ht="13.8" hidden="false" customHeight="false" outlineLevel="0" collapsed="false">
      <c r="A158" s="0" t="n">
        <f aca="false">1+A157</f>
        <v>157</v>
      </c>
      <c r="B158" s="0" t="n">
        <v>15.3166</v>
      </c>
    </row>
    <row r="159" customFormat="false" ht="13.8" hidden="false" customHeight="false" outlineLevel="0" collapsed="false">
      <c r="A159" s="0" t="n">
        <f aca="false">1+A158</f>
        <v>158</v>
      </c>
      <c r="B159" s="0" t="n">
        <v>15.2652</v>
      </c>
    </row>
    <row r="160" customFormat="false" ht="13.8" hidden="false" customHeight="false" outlineLevel="0" collapsed="false">
      <c r="A160" s="0" t="n">
        <f aca="false">1+A159</f>
        <v>159</v>
      </c>
      <c r="B160" s="0" t="n">
        <v>15.2131</v>
      </c>
    </row>
    <row r="161" customFormat="false" ht="13.8" hidden="false" customHeight="false" outlineLevel="0" collapsed="false">
      <c r="A161" s="0" t="n">
        <f aca="false">1+A160</f>
        <v>160</v>
      </c>
      <c r="B161" s="0" t="n">
        <v>15.1561</v>
      </c>
    </row>
    <row r="162" customFormat="false" ht="13.8" hidden="false" customHeight="false" outlineLevel="0" collapsed="false">
      <c r="A162" s="0" t="n">
        <f aca="false">1+A161</f>
        <v>161</v>
      </c>
      <c r="B162" s="0" t="n">
        <v>15.1025</v>
      </c>
    </row>
    <row r="163" customFormat="false" ht="13.8" hidden="false" customHeight="false" outlineLevel="0" collapsed="false">
      <c r="A163" s="0" t="n">
        <f aca="false">1+A162</f>
        <v>162</v>
      </c>
      <c r="B163" s="0" t="n">
        <v>15.0495</v>
      </c>
    </row>
    <row r="164" customFormat="false" ht="13.8" hidden="false" customHeight="false" outlineLevel="0" collapsed="false">
      <c r="A164" s="0" t="n">
        <f aca="false">1+A163</f>
        <v>163</v>
      </c>
      <c r="B164" s="0" t="n">
        <v>15.0007</v>
      </c>
    </row>
    <row r="165" customFormat="false" ht="13.8" hidden="false" customHeight="false" outlineLevel="0" collapsed="false">
      <c r="A165" s="0" t="n">
        <f aca="false">1+A164</f>
        <v>164</v>
      </c>
      <c r="B165" s="0" t="n">
        <v>14.9515</v>
      </c>
    </row>
    <row r="166" customFormat="false" ht="13.8" hidden="false" customHeight="false" outlineLevel="0" collapsed="false">
      <c r="A166" s="0" t="n">
        <f aca="false">1+A165</f>
        <v>165</v>
      </c>
      <c r="B166" s="0" t="n">
        <v>14.9042</v>
      </c>
    </row>
    <row r="167" customFormat="false" ht="13.8" hidden="false" customHeight="false" outlineLevel="0" collapsed="false">
      <c r="A167" s="0" t="n">
        <f aca="false">1+A166</f>
        <v>166</v>
      </c>
      <c r="B167" s="0" t="n">
        <v>14.8601</v>
      </c>
    </row>
    <row r="168" customFormat="false" ht="13.8" hidden="false" customHeight="false" outlineLevel="0" collapsed="false">
      <c r="A168" s="0" t="n">
        <f aca="false">1+A167</f>
        <v>167</v>
      </c>
      <c r="B168" s="0" t="n">
        <v>14.8124</v>
      </c>
    </row>
    <row r="169" customFormat="false" ht="13.8" hidden="false" customHeight="false" outlineLevel="0" collapsed="false">
      <c r="A169" s="0" t="n">
        <f aca="false">1+A168</f>
        <v>168</v>
      </c>
      <c r="B169" s="0" t="n">
        <v>14.7675</v>
      </c>
    </row>
    <row r="170" customFormat="false" ht="13.8" hidden="false" customHeight="false" outlineLevel="0" collapsed="false">
      <c r="A170" s="0" t="n">
        <f aca="false">1+A169</f>
        <v>169</v>
      </c>
      <c r="B170" s="0" t="n">
        <v>14.7197</v>
      </c>
    </row>
    <row r="171" customFormat="false" ht="13.8" hidden="false" customHeight="false" outlineLevel="0" collapsed="false">
      <c r="A171" s="0" t="n">
        <f aca="false">1+A170</f>
        <v>170</v>
      </c>
      <c r="B171" s="0" t="n">
        <v>14.6647</v>
      </c>
    </row>
    <row r="172" customFormat="false" ht="13.8" hidden="false" customHeight="false" outlineLevel="0" collapsed="false">
      <c r="A172" s="0" t="n">
        <f aca="false">1+A171</f>
        <v>171</v>
      </c>
      <c r="B172" s="0" t="n">
        <v>14.6113</v>
      </c>
    </row>
    <row r="173" customFormat="false" ht="13.8" hidden="false" customHeight="false" outlineLevel="0" collapsed="false">
      <c r="A173" s="0" t="n">
        <f aca="false">1+A172</f>
        <v>172</v>
      </c>
      <c r="B173" s="0" t="n">
        <v>14.558</v>
      </c>
    </row>
    <row r="174" customFormat="false" ht="13.8" hidden="false" customHeight="false" outlineLevel="0" collapsed="false">
      <c r="A174" s="0" t="n">
        <f aca="false">1+A173</f>
        <v>173</v>
      </c>
      <c r="B174" s="0" t="n">
        <v>14.5068</v>
      </c>
    </row>
    <row r="175" customFormat="false" ht="13.8" hidden="false" customHeight="false" outlineLevel="0" collapsed="false">
      <c r="A175" s="0" t="n">
        <f aca="false">1+A174</f>
        <v>174</v>
      </c>
      <c r="B175" s="0" t="n">
        <v>14.4617</v>
      </c>
    </row>
    <row r="176" customFormat="false" ht="13.8" hidden="false" customHeight="false" outlineLevel="0" collapsed="false">
      <c r="A176" s="0" t="n">
        <f aca="false">1+A175</f>
        <v>175</v>
      </c>
      <c r="B176" s="0" t="n">
        <v>14.4139</v>
      </c>
    </row>
    <row r="177" customFormat="false" ht="13.8" hidden="false" customHeight="false" outlineLevel="0" collapsed="false">
      <c r="A177" s="0" t="n">
        <f aca="false">1+A176</f>
        <v>176</v>
      </c>
      <c r="B177" s="0" t="n">
        <v>14.3703</v>
      </c>
    </row>
    <row r="178" customFormat="false" ht="13.8" hidden="false" customHeight="false" outlineLevel="0" collapsed="false">
      <c r="A178" s="0" t="n">
        <f aca="false">1+A177</f>
        <v>177</v>
      </c>
      <c r="B178" s="0" t="n">
        <v>14.3288</v>
      </c>
    </row>
    <row r="179" customFormat="false" ht="13.8" hidden="false" customHeight="false" outlineLevel="0" collapsed="false">
      <c r="A179" s="0" t="n">
        <f aca="false">1+A178</f>
        <v>178</v>
      </c>
      <c r="B179" s="0" t="n">
        <v>14.2742</v>
      </c>
    </row>
    <row r="180" customFormat="false" ht="13.8" hidden="false" customHeight="false" outlineLevel="0" collapsed="false">
      <c r="A180" s="0" t="n">
        <f aca="false">1+A179</f>
        <v>179</v>
      </c>
      <c r="B180" s="0" t="n">
        <v>14.2298</v>
      </c>
    </row>
    <row r="181" customFormat="false" ht="13.8" hidden="false" customHeight="false" outlineLevel="0" collapsed="false">
      <c r="A181" s="0" t="n">
        <f aca="false">1+A180</f>
        <v>180</v>
      </c>
      <c r="B181" s="0" t="n">
        <v>14.1745</v>
      </c>
    </row>
    <row r="182" customFormat="false" ht="13.8" hidden="false" customHeight="false" outlineLevel="0" collapsed="false">
      <c r="A182" s="0" t="n">
        <f aca="false">1+A181</f>
        <v>181</v>
      </c>
      <c r="B182" s="0" t="n">
        <v>14.1297</v>
      </c>
    </row>
    <row r="183" customFormat="false" ht="13.8" hidden="false" customHeight="false" outlineLevel="0" collapsed="false">
      <c r="A183" s="0" t="n">
        <f aca="false">1+A182</f>
        <v>182</v>
      </c>
      <c r="B183" s="0" t="n">
        <v>14.084</v>
      </c>
    </row>
    <row r="184" customFormat="false" ht="13.8" hidden="false" customHeight="false" outlineLevel="0" collapsed="false">
      <c r="A184" s="0" t="n">
        <f aca="false">1+A183</f>
        <v>183</v>
      </c>
      <c r="B184" s="0" t="n">
        <v>14.0417</v>
      </c>
    </row>
    <row r="185" customFormat="false" ht="13.8" hidden="false" customHeight="false" outlineLevel="0" collapsed="false">
      <c r="A185" s="0" t="n">
        <f aca="false">1+A184</f>
        <v>184</v>
      </c>
      <c r="B185" s="0" t="n">
        <v>13.9917</v>
      </c>
    </row>
    <row r="186" customFormat="false" ht="13.8" hidden="false" customHeight="false" outlineLevel="0" collapsed="false">
      <c r="A186" s="0" t="n">
        <f aca="false">1+A185</f>
        <v>185</v>
      </c>
      <c r="B186" s="0" t="n">
        <v>13.9529</v>
      </c>
    </row>
    <row r="187" customFormat="false" ht="13.8" hidden="false" customHeight="false" outlineLevel="0" collapsed="false">
      <c r="A187" s="0" t="n">
        <f aca="false">1+A186</f>
        <v>186</v>
      </c>
      <c r="B187" s="0" t="n">
        <v>13.9048</v>
      </c>
    </row>
    <row r="188" customFormat="false" ht="13.8" hidden="false" customHeight="false" outlineLevel="0" collapsed="false">
      <c r="A188" s="0" t="n">
        <f aca="false">1+A187</f>
        <v>187</v>
      </c>
      <c r="B188" s="0" t="n">
        <v>13.8647</v>
      </c>
    </row>
    <row r="189" customFormat="false" ht="13.8" hidden="false" customHeight="false" outlineLevel="0" collapsed="false">
      <c r="A189" s="0" t="n">
        <f aca="false">1+A188</f>
        <v>188</v>
      </c>
      <c r="B189" s="0" t="n">
        <v>13.8158</v>
      </c>
    </row>
    <row r="190" customFormat="false" ht="13.8" hidden="false" customHeight="false" outlineLevel="0" collapsed="false">
      <c r="A190" s="0" t="n">
        <f aca="false">1+A189</f>
        <v>189</v>
      </c>
      <c r="B190" s="0" t="n">
        <v>13.7759</v>
      </c>
    </row>
    <row r="191" customFormat="false" ht="13.8" hidden="false" customHeight="false" outlineLevel="0" collapsed="false">
      <c r="A191" s="0" t="n">
        <f aca="false">1+A190</f>
        <v>190</v>
      </c>
      <c r="B191" s="0" t="n">
        <v>13.7345</v>
      </c>
    </row>
    <row r="192" customFormat="false" ht="13.8" hidden="false" customHeight="false" outlineLevel="0" collapsed="false">
      <c r="A192" s="0" t="n">
        <f aca="false">1+A191</f>
        <v>191</v>
      </c>
      <c r="B192" s="0" t="n">
        <v>13.6838</v>
      </c>
    </row>
    <row r="193" customFormat="false" ht="13.8" hidden="false" customHeight="false" outlineLevel="0" collapsed="false">
      <c r="A193" s="0" t="n">
        <f aca="false">1+A192</f>
        <v>192</v>
      </c>
      <c r="B193" s="0" t="n">
        <v>13.6468</v>
      </c>
    </row>
    <row r="194" customFormat="false" ht="13.8" hidden="false" customHeight="false" outlineLevel="0" collapsed="false">
      <c r="A194" s="0" t="n">
        <f aca="false">1+A193</f>
        <v>193</v>
      </c>
      <c r="B194" s="0" t="n">
        <v>13.5993</v>
      </c>
    </row>
    <row r="195" customFormat="false" ht="13.8" hidden="false" customHeight="false" outlineLevel="0" collapsed="false">
      <c r="A195" s="0" t="n">
        <f aca="false">1+A194</f>
        <v>194</v>
      </c>
      <c r="B195" s="0" t="n">
        <v>13.5553</v>
      </c>
    </row>
    <row r="196" customFormat="false" ht="13.8" hidden="false" customHeight="false" outlineLevel="0" collapsed="false">
      <c r="A196" s="0" t="n">
        <f aca="false">1+A195</f>
        <v>195</v>
      </c>
      <c r="B196" s="0" t="n">
        <v>13.5191</v>
      </c>
    </row>
    <row r="197" customFormat="false" ht="13.8" hidden="false" customHeight="false" outlineLevel="0" collapsed="false">
      <c r="A197" s="0" t="n">
        <f aca="false">1+A196</f>
        <v>196</v>
      </c>
      <c r="B197" s="0" t="n">
        <v>13.4708</v>
      </c>
    </row>
    <row r="198" customFormat="false" ht="13.8" hidden="false" customHeight="false" outlineLevel="0" collapsed="false">
      <c r="A198" s="0" t="n">
        <f aca="false">1+A197</f>
        <v>197</v>
      </c>
      <c r="B198" s="0" t="n">
        <v>13.4265</v>
      </c>
    </row>
    <row r="199" customFormat="false" ht="13.8" hidden="false" customHeight="false" outlineLevel="0" collapsed="false">
      <c r="A199" s="0" t="n">
        <f aca="false">1+A198</f>
        <v>198</v>
      </c>
      <c r="B199" s="0" t="n">
        <v>13.3796</v>
      </c>
    </row>
    <row r="200" customFormat="false" ht="13.8" hidden="false" customHeight="false" outlineLevel="0" collapsed="false">
      <c r="A200" s="0" t="n">
        <f aca="false">1+A199</f>
        <v>199</v>
      </c>
      <c r="B200" s="0" t="n">
        <v>13.3348</v>
      </c>
    </row>
    <row r="201" customFormat="false" ht="13.8" hidden="false" customHeight="false" outlineLevel="0" collapsed="false">
      <c r="A201" s="0" t="n">
        <f aca="false">1+A200</f>
        <v>200</v>
      </c>
      <c r="B201" s="0" t="n">
        <v>13.2921</v>
      </c>
    </row>
    <row r="202" customFormat="false" ht="13.8" hidden="false" customHeight="false" outlineLevel="0" collapsed="false">
      <c r="A202" s="0" t="n">
        <f aca="false">1+A201</f>
        <v>201</v>
      </c>
      <c r="B202" s="0" t="n">
        <v>13.253</v>
      </c>
    </row>
    <row r="203" customFormat="false" ht="13.8" hidden="false" customHeight="false" outlineLevel="0" collapsed="false">
      <c r="A203" s="0" t="n">
        <f aca="false">1+A202</f>
        <v>202</v>
      </c>
      <c r="B203" s="0" t="n">
        <v>13.2127</v>
      </c>
    </row>
    <row r="204" customFormat="false" ht="13.8" hidden="false" customHeight="false" outlineLevel="0" collapsed="false">
      <c r="A204" s="0" t="n">
        <f aca="false">1+A203</f>
        <v>203</v>
      </c>
      <c r="B204" s="0" t="n">
        <v>13.172</v>
      </c>
    </row>
    <row r="205" customFormat="false" ht="13.8" hidden="false" customHeight="false" outlineLevel="0" collapsed="false">
      <c r="A205" s="0" t="n">
        <f aca="false">1+A204</f>
        <v>204</v>
      </c>
      <c r="B205" s="0" t="n">
        <v>13.1205</v>
      </c>
    </row>
    <row r="206" customFormat="false" ht="13.8" hidden="false" customHeight="false" outlineLevel="0" collapsed="false">
      <c r="A206" s="0" t="n">
        <f aca="false">1+A205</f>
        <v>205</v>
      </c>
      <c r="B206" s="0" t="n">
        <v>13.081</v>
      </c>
    </row>
    <row r="207" customFormat="false" ht="13.8" hidden="false" customHeight="false" outlineLevel="0" collapsed="false">
      <c r="A207" s="0" t="n">
        <f aca="false">1+A206</f>
        <v>206</v>
      </c>
      <c r="B207" s="0" t="n">
        <v>13.0403</v>
      </c>
    </row>
    <row r="208" customFormat="false" ht="13.8" hidden="false" customHeight="false" outlineLevel="0" collapsed="false">
      <c r="A208" s="0" t="n">
        <f aca="false">1+A207</f>
        <v>207</v>
      </c>
      <c r="B208" s="0" t="n">
        <v>13.0071</v>
      </c>
    </row>
    <row r="209" customFormat="false" ht="13.8" hidden="false" customHeight="false" outlineLevel="0" collapsed="false">
      <c r="A209" s="0" t="n">
        <f aca="false">1+A208</f>
        <v>208</v>
      </c>
      <c r="B209" s="0" t="n">
        <v>12.9652</v>
      </c>
    </row>
    <row r="210" customFormat="false" ht="13.8" hidden="false" customHeight="false" outlineLevel="0" collapsed="false">
      <c r="A210" s="0" t="n">
        <f aca="false">1+A209</f>
        <v>209</v>
      </c>
      <c r="B210" s="0" t="n">
        <v>12.9264</v>
      </c>
    </row>
    <row r="211" customFormat="false" ht="13.8" hidden="false" customHeight="false" outlineLevel="0" collapsed="false">
      <c r="A211" s="0" t="n">
        <f aca="false">1+A210</f>
        <v>210</v>
      </c>
      <c r="B211" s="0" t="n">
        <v>12.8812</v>
      </c>
    </row>
    <row r="212" customFormat="false" ht="13.8" hidden="false" customHeight="false" outlineLevel="0" collapsed="false">
      <c r="A212" s="0" t="n">
        <f aca="false">1+A211</f>
        <v>211</v>
      </c>
      <c r="B212" s="0" t="n">
        <v>12.8458</v>
      </c>
    </row>
    <row r="213" customFormat="false" ht="13.8" hidden="false" customHeight="false" outlineLevel="0" collapsed="false">
      <c r="A213" s="0" t="n">
        <f aca="false">1+A212</f>
        <v>212</v>
      </c>
      <c r="B213" s="0" t="n">
        <v>12.8087</v>
      </c>
    </row>
    <row r="214" customFormat="false" ht="13.8" hidden="false" customHeight="false" outlineLevel="0" collapsed="false">
      <c r="A214" s="0" t="n">
        <f aca="false">1+A213</f>
        <v>213</v>
      </c>
      <c r="B214" s="0" t="n">
        <v>12.7765</v>
      </c>
    </row>
    <row r="215" customFormat="false" ht="13.8" hidden="false" customHeight="false" outlineLevel="0" collapsed="false">
      <c r="A215" s="0" t="n">
        <f aca="false">1+A214</f>
        <v>214</v>
      </c>
      <c r="B215" s="0" t="n">
        <v>12.7311</v>
      </c>
    </row>
    <row r="216" customFormat="false" ht="13.8" hidden="false" customHeight="false" outlineLevel="0" collapsed="false">
      <c r="A216" s="0" t="n">
        <f aca="false">1+A215</f>
        <v>215</v>
      </c>
      <c r="B216" s="0" t="n">
        <v>12.6911</v>
      </c>
    </row>
    <row r="217" customFormat="false" ht="13.8" hidden="false" customHeight="false" outlineLevel="0" collapsed="false">
      <c r="A217" s="0" t="n">
        <f aca="false">1+A216</f>
        <v>216</v>
      </c>
      <c r="B217" s="0" t="n">
        <v>12.6494</v>
      </c>
    </row>
    <row r="218" customFormat="false" ht="13.8" hidden="false" customHeight="false" outlineLevel="0" collapsed="false">
      <c r="A218" s="0" t="n">
        <f aca="false">1+A217</f>
        <v>217</v>
      </c>
      <c r="B218" s="0" t="n">
        <v>12.6077</v>
      </c>
    </row>
    <row r="219" customFormat="false" ht="13.8" hidden="false" customHeight="false" outlineLevel="0" collapsed="false">
      <c r="A219" s="0" t="n">
        <f aca="false">1+A218</f>
        <v>218</v>
      </c>
      <c r="B219" s="0" t="n">
        <v>12.5749</v>
      </c>
    </row>
    <row r="220" customFormat="false" ht="13.8" hidden="false" customHeight="false" outlineLevel="0" collapsed="false">
      <c r="A220" s="0" t="n">
        <f aca="false">1+A219</f>
        <v>219</v>
      </c>
      <c r="B220" s="0" t="n">
        <v>12.5381</v>
      </c>
    </row>
    <row r="221" customFormat="false" ht="13.8" hidden="false" customHeight="false" outlineLevel="0" collapsed="false">
      <c r="A221" s="0" t="n">
        <f aca="false">1+A220</f>
        <v>220</v>
      </c>
      <c r="B221" s="0" t="n">
        <v>12.4945</v>
      </c>
    </row>
    <row r="222" customFormat="false" ht="13.8" hidden="false" customHeight="false" outlineLevel="0" collapsed="false">
      <c r="A222" s="0" t="n">
        <f aca="false">1+A221</f>
        <v>221</v>
      </c>
      <c r="B222" s="0" t="n">
        <v>12.4633</v>
      </c>
    </row>
    <row r="223" customFormat="false" ht="13.8" hidden="false" customHeight="false" outlineLevel="0" collapsed="false">
      <c r="A223" s="0" t="n">
        <f aca="false">1+A222</f>
        <v>222</v>
      </c>
      <c r="B223" s="0" t="n">
        <v>12.4126</v>
      </c>
    </row>
    <row r="224" customFormat="false" ht="13.8" hidden="false" customHeight="false" outlineLevel="0" collapsed="false">
      <c r="A224" s="0" t="n">
        <f aca="false">1+A223</f>
        <v>223</v>
      </c>
      <c r="B224" s="0" t="n">
        <v>12.3718</v>
      </c>
    </row>
    <row r="225" customFormat="false" ht="13.8" hidden="false" customHeight="false" outlineLevel="0" collapsed="false">
      <c r="A225" s="0" t="n">
        <f aca="false">1+A224</f>
        <v>224</v>
      </c>
      <c r="B225" s="0" t="n">
        <v>12.3399</v>
      </c>
    </row>
    <row r="226" customFormat="false" ht="13.8" hidden="false" customHeight="false" outlineLevel="0" collapsed="false">
      <c r="A226" s="0" t="n">
        <f aca="false">1+A225</f>
        <v>225</v>
      </c>
      <c r="B226" s="0" t="n">
        <v>12.3042</v>
      </c>
    </row>
    <row r="227" customFormat="false" ht="13.8" hidden="false" customHeight="false" outlineLevel="0" collapsed="false">
      <c r="A227" s="0" t="n">
        <f aca="false">1+A226</f>
        <v>226</v>
      </c>
      <c r="B227" s="0" t="n">
        <v>12.2682</v>
      </c>
    </row>
    <row r="228" customFormat="false" ht="13.8" hidden="false" customHeight="false" outlineLevel="0" collapsed="false">
      <c r="A228" s="0" t="n">
        <f aca="false">1+A227</f>
        <v>227</v>
      </c>
      <c r="B228" s="0" t="n">
        <v>12.2239</v>
      </c>
    </row>
    <row r="229" customFormat="false" ht="13.8" hidden="false" customHeight="false" outlineLevel="0" collapsed="false">
      <c r="A229" s="0" t="n">
        <f aca="false">1+A228</f>
        <v>228</v>
      </c>
      <c r="B229" s="0" t="n">
        <v>12.19</v>
      </c>
    </row>
    <row r="230" customFormat="false" ht="13.8" hidden="false" customHeight="false" outlineLevel="0" collapsed="false">
      <c r="A230" s="0" t="n">
        <f aca="false">1+A229</f>
        <v>229</v>
      </c>
      <c r="B230" s="0" t="n">
        <v>12.1584</v>
      </c>
    </row>
    <row r="231" customFormat="false" ht="13.8" hidden="false" customHeight="false" outlineLevel="0" collapsed="false">
      <c r="A231" s="0" t="n">
        <f aca="false">1+A230</f>
        <v>230</v>
      </c>
      <c r="B231" s="0" t="n">
        <v>12.1311</v>
      </c>
    </row>
    <row r="232" customFormat="false" ht="13.8" hidden="false" customHeight="false" outlineLevel="0" collapsed="false">
      <c r="A232" s="0" t="n">
        <f aca="false">1+A231</f>
        <v>231</v>
      </c>
      <c r="B232" s="0" t="n">
        <v>12.0939</v>
      </c>
    </row>
    <row r="233" customFormat="false" ht="13.8" hidden="false" customHeight="false" outlineLevel="0" collapsed="false">
      <c r="A233" s="0" t="n">
        <f aca="false">1+A232</f>
        <v>232</v>
      </c>
      <c r="B233" s="0" t="n">
        <v>12.0567</v>
      </c>
    </row>
    <row r="234" customFormat="false" ht="13.8" hidden="false" customHeight="false" outlineLevel="0" collapsed="false">
      <c r="A234" s="0" t="n">
        <f aca="false">1+A233</f>
        <v>233</v>
      </c>
      <c r="B234" s="0" t="n">
        <v>12.0204</v>
      </c>
    </row>
    <row r="235" customFormat="false" ht="13.8" hidden="false" customHeight="false" outlineLevel="0" collapsed="false">
      <c r="A235" s="0" t="n">
        <f aca="false">1+A234</f>
        <v>234</v>
      </c>
      <c r="B235" s="0" t="n">
        <v>11.979</v>
      </c>
    </row>
    <row r="236" customFormat="false" ht="13.8" hidden="false" customHeight="false" outlineLevel="0" collapsed="false">
      <c r="A236" s="0" t="n">
        <f aca="false">1+A235</f>
        <v>235</v>
      </c>
      <c r="B236" s="0" t="n">
        <v>11.9437</v>
      </c>
    </row>
    <row r="237" customFormat="false" ht="13.8" hidden="false" customHeight="false" outlineLevel="0" collapsed="false">
      <c r="A237" s="0" t="n">
        <f aca="false">1+A236</f>
        <v>236</v>
      </c>
      <c r="B237" s="0" t="n">
        <v>11.9124</v>
      </c>
    </row>
    <row r="238" customFormat="false" ht="13.8" hidden="false" customHeight="false" outlineLevel="0" collapsed="false">
      <c r="A238" s="0" t="n">
        <f aca="false">1+A237</f>
        <v>237</v>
      </c>
      <c r="B238" s="0" t="n">
        <v>11.8786</v>
      </c>
    </row>
    <row r="239" customFormat="false" ht="13.8" hidden="false" customHeight="false" outlineLevel="0" collapsed="false">
      <c r="A239" s="0" t="n">
        <f aca="false">1+A238</f>
        <v>238</v>
      </c>
      <c r="B239" s="0" t="n">
        <v>11.8385</v>
      </c>
    </row>
    <row r="240" customFormat="false" ht="13.8" hidden="false" customHeight="false" outlineLevel="0" collapsed="false">
      <c r="A240" s="0" t="n">
        <f aca="false">1+A239</f>
        <v>239</v>
      </c>
      <c r="B240" s="0" t="n">
        <v>11.7989</v>
      </c>
    </row>
    <row r="241" customFormat="false" ht="13.8" hidden="false" customHeight="false" outlineLevel="0" collapsed="false">
      <c r="A241" s="0" t="n">
        <f aca="false">1+A240</f>
        <v>240</v>
      </c>
      <c r="B241" s="0" t="n">
        <v>11.7661</v>
      </c>
    </row>
    <row r="242" customFormat="false" ht="13.8" hidden="false" customHeight="false" outlineLevel="0" collapsed="false">
      <c r="A242" s="0" t="n">
        <f aca="false">1+A241</f>
        <v>241</v>
      </c>
      <c r="B242" s="0" t="n">
        <v>11.7337</v>
      </c>
    </row>
    <row r="243" customFormat="false" ht="13.8" hidden="false" customHeight="false" outlineLevel="0" collapsed="false">
      <c r="A243" s="0" t="n">
        <f aca="false">1+A242</f>
        <v>242</v>
      </c>
      <c r="B243" s="0" t="n">
        <v>11.6957</v>
      </c>
    </row>
    <row r="244" customFormat="false" ht="13.8" hidden="false" customHeight="false" outlineLevel="0" collapsed="false">
      <c r="A244" s="0" t="n">
        <f aca="false">1+A243</f>
        <v>243</v>
      </c>
      <c r="B244" s="0" t="n">
        <v>11.6617</v>
      </c>
    </row>
    <row r="245" customFormat="false" ht="13.8" hidden="false" customHeight="false" outlineLevel="0" collapsed="false">
      <c r="A245" s="0" t="n">
        <f aca="false">1+A244</f>
        <v>244</v>
      </c>
      <c r="B245" s="0" t="n">
        <v>11.6233</v>
      </c>
    </row>
    <row r="246" customFormat="false" ht="13.8" hidden="false" customHeight="false" outlineLevel="0" collapsed="false">
      <c r="A246" s="0" t="n">
        <f aca="false">1+A245</f>
        <v>245</v>
      </c>
      <c r="B246" s="0" t="n">
        <v>11.5832</v>
      </c>
    </row>
    <row r="247" customFormat="false" ht="13.8" hidden="false" customHeight="false" outlineLevel="0" collapsed="false">
      <c r="A247" s="0" t="n">
        <f aca="false">1+A246</f>
        <v>246</v>
      </c>
      <c r="B247" s="0" t="n">
        <v>11.549</v>
      </c>
    </row>
    <row r="248" customFormat="false" ht="13.8" hidden="false" customHeight="false" outlineLevel="0" collapsed="false">
      <c r="A248" s="0" t="n">
        <f aca="false">1+A247</f>
        <v>247</v>
      </c>
      <c r="B248" s="0" t="n">
        <v>11.515</v>
      </c>
    </row>
    <row r="249" customFormat="false" ht="13.8" hidden="false" customHeight="false" outlineLevel="0" collapsed="false">
      <c r="A249" s="0" t="n">
        <f aca="false">1+A248</f>
        <v>248</v>
      </c>
      <c r="B249" s="0" t="n">
        <v>11.485</v>
      </c>
    </row>
    <row r="250" customFormat="false" ht="13.8" hidden="false" customHeight="false" outlineLevel="0" collapsed="false">
      <c r="A250" s="0" t="n">
        <f aca="false">1+A249</f>
        <v>249</v>
      </c>
      <c r="B250" s="0" t="n">
        <v>11.4521</v>
      </c>
    </row>
    <row r="251" customFormat="false" ht="13.8" hidden="false" customHeight="false" outlineLevel="0" collapsed="false">
      <c r="A251" s="0" t="n">
        <f aca="false">1+A250</f>
        <v>250</v>
      </c>
      <c r="B251" s="0" t="n">
        <v>11.4253</v>
      </c>
    </row>
    <row r="252" customFormat="false" ht="13.8" hidden="false" customHeight="false" outlineLevel="0" collapsed="false">
      <c r="A252" s="0" t="n">
        <f aca="false">1+A251</f>
        <v>251</v>
      </c>
      <c r="B252" s="0" t="n">
        <v>11.3944</v>
      </c>
    </row>
    <row r="253" customFormat="false" ht="13.8" hidden="false" customHeight="false" outlineLevel="0" collapsed="false">
      <c r="A253" s="0" t="n">
        <f aca="false">1+A252</f>
        <v>252</v>
      </c>
      <c r="B253" s="0" t="n">
        <v>11.3567</v>
      </c>
    </row>
    <row r="254" customFormat="false" ht="13.8" hidden="false" customHeight="false" outlineLevel="0" collapsed="false">
      <c r="A254" s="0" t="n">
        <f aca="false">1+A253</f>
        <v>253</v>
      </c>
      <c r="B254" s="0" t="n">
        <v>11.3126</v>
      </c>
    </row>
    <row r="255" customFormat="false" ht="13.8" hidden="false" customHeight="false" outlineLevel="0" collapsed="false">
      <c r="A255" s="0" t="n">
        <f aca="false">1+A254</f>
        <v>254</v>
      </c>
      <c r="B255" s="0" t="n">
        <v>11.2776</v>
      </c>
    </row>
    <row r="256" customFormat="false" ht="13.8" hidden="false" customHeight="false" outlineLevel="0" collapsed="false">
      <c r="A256" s="0" t="n">
        <f aca="false">1+A255</f>
        <v>255</v>
      </c>
      <c r="B256" s="0" t="n">
        <v>11.2455</v>
      </c>
    </row>
    <row r="257" customFormat="false" ht="13.8" hidden="false" customHeight="false" outlineLevel="0" collapsed="false">
      <c r="A257" s="0" t="n">
        <f aca="false">1+A256</f>
        <v>256</v>
      </c>
      <c r="B257" s="0" t="n">
        <v>11.2121</v>
      </c>
    </row>
    <row r="258" customFormat="false" ht="13.8" hidden="false" customHeight="false" outlineLevel="0" collapsed="false">
      <c r="A258" s="0" t="n">
        <f aca="false">1+A257</f>
        <v>257</v>
      </c>
      <c r="B258" s="0" t="n">
        <v>11.1724</v>
      </c>
    </row>
    <row r="259" customFormat="false" ht="13.8" hidden="false" customHeight="false" outlineLevel="0" collapsed="false">
      <c r="A259" s="0" t="n">
        <f aca="false">1+A258</f>
        <v>258</v>
      </c>
      <c r="B259" s="0" t="n">
        <v>11.1351</v>
      </c>
    </row>
    <row r="260" customFormat="false" ht="13.8" hidden="false" customHeight="false" outlineLevel="0" collapsed="false">
      <c r="A260" s="0" t="n">
        <f aca="false">1+A259</f>
        <v>259</v>
      </c>
      <c r="B260" s="0" t="n">
        <v>11.1044</v>
      </c>
    </row>
    <row r="261" customFormat="false" ht="13.8" hidden="false" customHeight="false" outlineLevel="0" collapsed="false">
      <c r="A261" s="0" t="n">
        <f aca="false">1+A260</f>
        <v>260</v>
      </c>
      <c r="B261" s="0" t="n">
        <v>11.0766</v>
      </c>
    </row>
    <row r="262" customFormat="false" ht="13.8" hidden="false" customHeight="false" outlineLevel="0" collapsed="false">
      <c r="A262" s="0" t="n">
        <f aca="false">1+A261</f>
        <v>261</v>
      </c>
      <c r="B262" s="0" t="n">
        <v>11.0414</v>
      </c>
    </row>
    <row r="263" customFormat="false" ht="13.8" hidden="false" customHeight="false" outlineLevel="0" collapsed="false">
      <c r="A263" s="0" t="n">
        <f aca="false">1+A262</f>
        <v>262</v>
      </c>
      <c r="B263" s="0" t="n">
        <v>11.0046</v>
      </c>
    </row>
    <row r="264" customFormat="false" ht="13.8" hidden="false" customHeight="false" outlineLevel="0" collapsed="false">
      <c r="A264" s="0" t="n">
        <f aca="false">1+A263</f>
        <v>263</v>
      </c>
      <c r="B264" s="0" t="n">
        <v>10.9674</v>
      </c>
    </row>
    <row r="265" customFormat="false" ht="13.8" hidden="false" customHeight="false" outlineLevel="0" collapsed="false">
      <c r="A265" s="0" t="n">
        <f aca="false">1+A264</f>
        <v>264</v>
      </c>
      <c r="B265" s="0" t="n">
        <v>10.9397</v>
      </c>
    </row>
    <row r="266" customFormat="false" ht="13.8" hidden="false" customHeight="false" outlineLevel="0" collapsed="false">
      <c r="A266" s="0" t="n">
        <f aca="false">1+A265</f>
        <v>265</v>
      </c>
      <c r="B266" s="0" t="n">
        <v>10.9037</v>
      </c>
    </row>
    <row r="267" customFormat="false" ht="13.8" hidden="false" customHeight="false" outlineLevel="0" collapsed="false">
      <c r="A267" s="0" t="n">
        <f aca="false">1+A266</f>
        <v>266</v>
      </c>
      <c r="B267" s="0" t="n">
        <v>10.8701</v>
      </c>
    </row>
    <row r="268" customFormat="false" ht="13.8" hidden="false" customHeight="false" outlineLevel="0" collapsed="false">
      <c r="A268" s="0" t="n">
        <f aca="false">1+A267</f>
        <v>267</v>
      </c>
      <c r="B268" s="0" t="n">
        <v>10.836</v>
      </c>
    </row>
    <row r="269" customFormat="false" ht="13.8" hidden="false" customHeight="false" outlineLevel="0" collapsed="false">
      <c r="A269" s="0" t="n">
        <f aca="false">1+A268</f>
        <v>268</v>
      </c>
      <c r="B269" s="0" t="n">
        <v>10.8011</v>
      </c>
    </row>
    <row r="270" customFormat="false" ht="13.8" hidden="false" customHeight="false" outlineLevel="0" collapsed="false">
      <c r="A270" s="0" t="n">
        <f aca="false">1+A269</f>
        <v>269</v>
      </c>
      <c r="B270" s="0" t="n">
        <v>10.7757</v>
      </c>
    </row>
    <row r="271" customFormat="false" ht="13.8" hidden="false" customHeight="false" outlineLevel="0" collapsed="false">
      <c r="A271" s="0" t="n">
        <f aca="false">1+A270</f>
        <v>270</v>
      </c>
      <c r="B271" s="0" t="n">
        <v>10.7501</v>
      </c>
    </row>
    <row r="272" customFormat="false" ht="13.8" hidden="false" customHeight="false" outlineLevel="0" collapsed="false">
      <c r="A272" s="0" t="n">
        <f aca="false">1+A271</f>
        <v>271</v>
      </c>
      <c r="B272" s="0" t="n">
        <v>10.7136</v>
      </c>
    </row>
    <row r="273" customFormat="false" ht="13.8" hidden="false" customHeight="false" outlineLevel="0" collapsed="false">
      <c r="A273" s="0" t="n">
        <f aca="false">1+A272</f>
        <v>272</v>
      </c>
      <c r="B273" s="0" t="n">
        <v>10.6758</v>
      </c>
    </row>
    <row r="274" customFormat="false" ht="13.8" hidden="false" customHeight="false" outlineLevel="0" collapsed="false">
      <c r="A274" s="0" t="n">
        <f aca="false">1+A273</f>
        <v>273</v>
      </c>
      <c r="B274" s="0" t="n">
        <v>10.6459</v>
      </c>
    </row>
    <row r="275" customFormat="false" ht="13.8" hidden="false" customHeight="false" outlineLevel="0" collapsed="false">
      <c r="A275" s="0" t="n">
        <f aca="false">1+A274</f>
        <v>274</v>
      </c>
      <c r="B275" s="0" t="n">
        <v>10.6142</v>
      </c>
    </row>
    <row r="276" customFormat="false" ht="13.8" hidden="false" customHeight="false" outlineLevel="0" collapsed="false">
      <c r="A276" s="0" t="n">
        <f aca="false">1+A275</f>
        <v>275</v>
      </c>
      <c r="B276" s="0" t="n">
        <v>10.5856</v>
      </c>
    </row>
    <row r="277" customFormat="false" ht="13.8" hidden="false" customHeight="false" outlineLevel="0" collapsed="false">
      <c r="A277" s="0" t="n">
        <f aca="false">1+A276</f>
        <v>276</v>
      </c>
      <c r="B277" s="0" t="n">
        <v>10.5571</v>
      </c>
    </row>
    <row r="278" customFormat="false" ht="13.8" hidden="false" customHeight="false" outlineLevel="0" collapsed="false">
      <c r="A278" s="0" t="n">
        <f aca="false">1+A277</f>
        <v>277</v>
      </c>
      <c r="B278" s="0" t="n">
        <v>10.5165</v>
      </c>
    </row>
    <row r="279" customFormat="false" ht="13.8" hidden="false" customHeight="false" outlineLevel="0" collapsed="false">
      <c r="A279" s="0" t="n">
        <f aca="false">1+A278</f>
        <v>278</v>
      </c>
      <c r="B279" s="0" t="n">
        <v>10.4834</v>
      </c>
    </row>
    <row r="280" customFormat="false" ht="13.8" hidden="false" customHeight="false" outlineLevel="0" collapsed="false">
      <c r="A280" s="0" t="n">
        <f aca="false">1+A279</f>
        <v>279</v>
      </c>
      <c r="B280" s="0" t="n">
        <v>10.4567</v>
      </c>
    </row>
    <row r="281" customFormat="false" ht="13.8" hidden="false" customHeight="false" outlineLevel="0" collapsed="false">
      <c r="A281" s="0" t="n">
        <f aca="false">1+A280</f>
        <v>280</v>
      </c>
      <c r="B281" s="0" t="n">
        <v>10.4235</v>
      </c>
    </row>
    <row r="282" customFormat="false" ht="13.8" hidden="false" customHeight="false" outlineLevel="0" collapsed="false">
      <c r="A282" s="0" t="n">
        <f aca="false">1+A281</f>
        <v>281</v>
      </c>
      <c r="B282" s="0" t="n">
        <v>10.3873</v>
      </c>
    </row>
    <row r="283" customFormat="false" ht="13.8" hidden="false" customHeight="false" outlineLevel="0" collapsed="false">
      <c r="A283" s="0" t="n">
        <f aca="false">1+A282</f>
        <v>282</v>
      </c>
      <c r="B283" s="0" t="n">
        <v>10.3556</v>
      </c>
    </row>
    <row r="284" customFormat="false" ht="13.8" hidden="false" customHeight="false" outlineLevel="0" collapsed="false">
      <c r="A284" s="0" t="n">
        <f aca="false">1+A283</f>
        <v>283</v>
      </c>
      <c r="B284" s="0" t="n">
        <v>10.3289</v>
      </c>
    </row>
    <row r="285" customFormat="false" ht="13.8" hidden="false" customHeight="false" outlineLevel="0" collapsed="false">
      <c r="A285" s="0" t="n">
        <f aca="false">1+A284</f>
        <v>284</v>
      </c>
      <c r="B285" s="0" t="n">
        <v>10.3012</v>
      </c>
    </row>
    <row r="286" customFormat="false" ht="13.8" hidden="false" customHeight="false" outlineLevel="0" collapsed="false">
      <c r="A286" s="0" t="n">
        <f aca="false">1+A285</f>
        <v>285</v>
      </c>
      <c r="B286" s="0" t="n">
        <v>10.2655</v>
      </c>
    </row>
    <row r="287" customFormat="false" ht="13.8" hidden="false" customHeight="false" outlineLevel="0" collapsed="false">
      <c r="A287" s="0" t="n">
        <f aca="false">1+A286</f>
        <v>286</v>
      </c>
      <c r="B287" s="0" t="n">
        <v>10.2385</v>
      </c>
    </row>
    <row r="288" customFormat="false" ht="13.8" hidden="false" customHeight="false" outlineLevel="0" collapsed="false">
      <c r="A288" s="0" t="n">
        <f aca="false">1+A287</f>
        <v>287</v>
      </c>
      <c r="B288" s="0" t="n">
        <v>10.2061</v>
      </c>
    </row>
    <row r="289" customFormat="false" ht="13.8" hidden="false" customHeight="false" outlineLevel="0" collapsed="false">
      <c r="A289" s="0" t="n">
        <f aca="false">1+A288</f>
        <v>288</v>
      </c>
      <c r="B289" s="0" t="n">
        <v>10.1865</v>
      </c>
    </row>
    <row r="290" customFormat="false" ht="13.8" hidden="false" customHeight="false" outlineLevel="0" collapsed="false">
      <c r="A290" s="0" t="n">
        <f aca="false">1+A289</f>
        <v>289</v>
      </c>
      <c r="B290" s="0" t="n">
        <v>10.1535</v>
      </c>
    </row>
    <row r="291" customFormat="false" ht="13.8" hidden="false" customHeight="false" outlineLevel="0" collapsed="false">
      <c r="A291" s="0" t="n">
        <f aca="false">1+A290</f>
        <v>290</v>
      </c>
      <c r="B291" s="0" t="n">
        <v>10.1231</v>
      </c>
    </row>
    <row r="292" customFormat="false" ht="13.8" hidden="false" customHeight="false" outlineLevel="0" collapsed="false">
      <c r="A292" s="0" t="n">
        <f aca="false">1+A291</f>
        <v>291</v>
      </c>
      <c r="B292" s="0" t="n">
        <v>10.097</v>
      </c>
    </row>
    <row r="293" customFormat="false" ht="13.8" hidden="false" customHeight="false" outlineLevel="0" collapsed="false">
      <c r="A293" s="0" t="n">
        <f aca="false">1+A292</f>
        <v>292</v>
      </c>
      <c r="B293" s="0" t="n">
        <v>10.0642</v>
      </c>
    </row>
    <row r="294" customFormat="false" ht="13.8" hidden="false" customHeight="false" outlineLevel="0" collapsed="false">
      <c r="A294" s="0" t="n">
        <f aca="false">1+A293</f>
        <v>293</v>
      </c>
      <c r="B294" s="0" t="n">
        <v>10.0436</v>
      </c>
    </row>
    <row r="295" customFormat="false" ht="13.8" hidden="false" customHeight="false" outlineLevel="0" collapsed="false">
      <c r="A295" s="0" t="n">
        <f aca="false">1+A294</f>
        <v>294</v>
      </c>
      <c r="B295" s="0" t="n">
        <v>10.0147</v>
      </c>
    </row>
    <row r="296" customFormat="false" ht="13.8" hidden="false" customHeight="false" outlineLevel="0" collapsed="false">
      <c r="A296" s="0" t="n">
        <f aca="false">1+A295</f>
        <v>295</v>
      </c>
      <c r="B296" s="0" t="n">
        <v>9.97862</v>
      </c>
    </row>
    <row r="297" customFormat="false" ht="13.8" hidden="false" customHeight="false" outlineLevel="0" collapsed="false">
      <c r="A297" s="0" t="n">
        <f aca="false">1+A296</f>
        <v>296</v>
      </c>
      <c r="B297" s="0" t="n">
        <v>9.94692</v>
      </c>
    </row>
    <row r="298" customFormat="false" ht="13.8" hidden="false" customHeight="false" outlineLevel="0" collapsed="false">
      <c r="A298" s="0" t="n">
        <f aca="false">1+A297</f>
        <v>297</v>
      </c>
      <c r="B298" s="0" t="n">
        <v>9.91621</v>
      </c>
    </row>
    <row r="299" customFormat="false" ht="13.8" hidden="false" customHeight="false" outlineLevel="0" collapsed="false">
      <c r="A299" s="0" t="n">
        <f aca="false">1+A298</f>
        <v>298</v>
      </c>
      <c r="B299" s="0" t="n">
        <v>9.87898</v>
      </c>
    </row>
    <row r="300" customFormat="false" ht="13.8" hidden="false" customHeight="false" outlineLevel="0" collapsed="false">
      <c r="A300" s="0" t="n">
        <f aca="false">1+A299</f>
        <v>299</v>
      </c>
      <c r="B300" s="0" t="n">
        <v>9.85183</v>
      </c>
    </row>
    <row r="301" customFormat="false" ht="13.8" hidden="false" customHeight="false" outlineLevel="0" collapsed="false">
      <c r="A301" s="0" t="n">
        <f aca="false">1+A300</f>
        <v>300</v>
      </c>
      <c r="B301" s="0" t="n">
        <v>9.82277</v>
      </c>
    </row>
    <row r="302" customFormat="false" ht="13.8" hidden="false" customHeight="false" outlineLevel="0" collapsed="false">
      <c r="A302" s="0" t="n">
        <f aca="false">1+A301</f>
        <v>301</v>
      </c>
      <c r="B302" s="0" t="n">
        <v>9.79056</v>
      </c>
    </row>
    <row r="303" customFormat="false" ht="13.8" hidden="false" customHeight="false" outlineLevel="0" collapsed="false">
      <c r="A303" s="0" t="n">
        <f aca="false">1+A302</f>
        <v>302</v>
      </c>
      <c r="B303" s="0" t="n">
        <v>9.76078</v>
      </c>
    </row>
    <row r="304" customFormat="false" ht="13.8" hidden="false" customHeight="false" outlineLevel="0" collapsed="false">
      <c r="A304" s="0" t="n">
        <f aca="false">1+A303</f>
        <v>303</v>
      </c>
      <c r="B304" s="0" t="n">
        <v>9.7263</v>
      </c>
    </row>
    <row r="305" customFormat="false" ht="13.8" hidden="false" customHeight="false" outlineLevel="0" collapsed="false">
      <c r="A305" s="0" t="n">
        <f aca="false">1+A304</f>
        <v>304</v>
      </c>
      <c r="B305" s="0" t="n">
        <v>9.70343</v>
      </c>
    </row>
    <row r="306" customFormat="false" ht="13.8" hidden="false" customHeight="false" outlineLevel="0" collapsed="false">
      <c r="A306" s="0" t="n">
        <f aca="false">1+A305</f>
        <v>305</v>
      </c>
      <c r="B306" s="0" t="n">
        <v>9.67069</v>
      </c>
    </row>
    <row r="307" customFormat="false" ht="13.8" hidden="false" customHeight="false" outlineLevel="0" collapsed="false">
      <c r="A307" s="0" t="n">
        <f aca="false">1+A306</f>
        <v>306</v>
      </c>
      <c r="B307" s="0" t="n">
        <v>9.63583</v>
      </c>
    </row>
    <row r="308" customFormat="false" ht="13.8" hidden="false" customHeight="false" outlineLevel="0" collapsed="false">
      <c r="A308" s="0" t="n">
        <f aca="false">1+A307</f>
        <v>307</v>
      </c>
      <c r="B308" s="0" t="n">
        <v>9.60417</v>
      </c>
    </row>
    <row r="309" customFormat="false" ht="13.8" hidden="false" customHeight="false" outlineLevel="0" collapsed="false">
      <c r="A309" s="0" t="n">
        <f aca="false">1+A308</f>
        <v>308</v>
      </c>
      <c r="B309" s="0" t="n">
        <v>9.57334</v>
      </c>
    </row>
    <row r="310" customFormat="false" ht="13.8" hidden="false" customHeight="false" outlineLevel="0" collapsed="false">
      <c r="A310" s="0" t="n">
        <f aca="false">1+A309</f>
        <v>309</v>
      </c>
      <c r="B310" s="0" t="n">
        <v>9.53296</v>
      </c>
    </row>
    <row r="311" customFormat="false" ht="13.8" hidden="false" customHeight="false" outlineLevel="0" collapsed="false">
      <c r="A311" s="0" t="n">
        <f aca="false">1+A310</f>
        <v>310</v>
      </c>
      <c r="B311" s="0" t="n">
        <v>9.49939</v>
      </c>
    </row>
    <row r="312" customFormat="false" ht="13.8" hidden="false" customHeight="false" outlineLevel="0" collapsed="false">
      <c r="A312" s="0" t="n">
        <f aca="false">1+A311</f>
        <v>311</v>
      </c>
      <c r="B312" s="0" t="n">
        <v>9.47141</v>
      </c>
    </row>
    <row r="313" customFormat="false" ht="13.8" hidden="false" customHeight="false" outlineLevel="0" collapsed="false">
      <c r="A313" s="0" t="n">
        <f aca="false">1+A312</f>
        <v>312</v>
      </c>
      <c r="B313" s="0" t="n">
        <v>9.44808</v>
      </c>
    </row>
    <row r="314" customFormat="false" ht="13.8" hidden="false" customHeight="false" outlineLevel="0" collapsed="false">
      <c r="A314" s="0" t="n">
        <f aca="false">1+A313</f>
        <v>313</v>
      </c>
      <c r="B314" s="0" t="n">
        <v>9.41675</v>
      </c>
    </row>
    <row r="315" customFormat="false" ht="13.8" hidden="false" customHeight="false" outlineLevel="0" collapsed="false">
      <c r="A315" s="0" t="n">
        <f aca="false">1+A314</f>
        <v>314</v>
      </c>
      <c r="B315" s="0" t="n">
        <v>9.3865</v>
      </c>
    </row>
    <row r="316" customFormat="false" ht="13.8" hidden="false" customHeight="false" outlineLevel="0" collapsed="false">
      <c r="A316" s="0" t="n">
        <f aca="false">1+A315</f>
        <v>315</v>
      </c>
      <c r="B316" s="0" t="n">
        <v>9.34821</v>
      </c>
    </row>
    <row r="317" customFormat="false" ht="13.8" hidden="false" customHeight="false" outlineLevel="0" collapsed="false">
      <c r="A317" s="0" t="n">
        <f aca="false">1+A316</f>
        <v>316</v>
      </c>
      <c r="B317" s="0" t="n">
        <v>9.30731</v>
      </c>
    </row>
    <row r="318" customFormat="false" ht="13.8" hidden="false" customHeight="false" outlineLevel="0" collapsed="false">
      <c r="A318" s="0" t="n">
        <f aca="false">1+A317</f>
        <v>317</v>
      </c>
      <c r="B318" s="0" t="n">
        <v>9.27481</v>
      </c>
    </row>
    <row r="319" customFormat="false" ht="13.8" hidden="false" customHeight="false" outlineLevel="0" collapsed="false">
      <c r="A319" s="0" t="n">
        <f aca="false">1+A318</f>
        <v>318</v>
      </c>
      <c r="B319" s="0" t="n">
        <v>9.24003</v>
      </c>
    </row>
    <row r="320" customFormat="false" ht="13.8" hidden="false" customHeight="false" outlineLevel="0" collapsed="false">
      <c r="A320" s="0" t="n">
        <f aca="false">1+A319</f>
        <v>319</v>
      </c>
      <c r="B320" s="0" t="n">
        <v>9.20529</v>
      </c>
    </row>
    <row r="321" customFormat="false" ht="13.8" hidden="false" customHeight="false" outlineLevel="0" collapsed="false">
      <c r="A321" s="0" t="n">
        <f aca="false">1+A320</f>
        <v>320</v>
      </c>
      <c r="B321" s="0" t="n">
        <v>9.16951</v>
      </c>
    </row>
    <row r="322" customFormat="false" ht="13.8" hidden="false" customHeight="false" outlineLevel="0" collapsed="false">
      <c r="A322" s="0" t="n">
        <f aca="false">1+A321</f>
        <v>321</v>
      </c>
      <c r="B322" s="0" t="n">
        <v>9.13853</v>
      </c>
    </row>
    <row r="323" customFormat="false" ht="13.8" hidden="false" customHeight="false" outlineLevel="0" collapsed="false">
      <c r="A323" s="0" t="n">
        <f aca="false">1+A322</f>
        <v>322</v>
      </c>
      <c r="B323" s="0" t="n">
        <v>9.10942</v>
      </c>
    </row>
    <row r="324" customFormat="false" ht="13.8" hidden="false" customHeight="false" outlineLevel="0" collapsed="false">
      <c r="A324" s="0" t="n">
        <f aca="false">1+A323</f>
        <v>323</v>
      </c>
      <c r="B324" s="0" t="n">
        <v>9.08243</v>
      </c>
    </row>
    <row r="325" customFormat="false" ht="13.8" hidden="false" customHeight="false" outlineLevel="0" collapsed="false">
      <c r="A325" s="0" t="n">
        <f aca="false">1+A324</f>
        <v>324</v>
      </c>
      <c r="B325" s="0" t="n">
        <v>9.05938</v>
      </c>
    </row>
    <row r="326" customFormat="false" ht="13.8" hidden="false" customHeight="false" outlineLevel="0" collapsed="false">
      <c r="A326" s="0" t="n">
        <f aca="false">1+A325</f>
        <v>325</v>
      </c>
      <c r="B326" s="0" t="n">
        <v>9.02429</v>
      </c>
    </row>
    <row r="327" customFormat="false" ht="13.8" hidden="false" customHeight="false" outlineLevel="0" collapsed="false">
      <c r="A327" s="0" t="n">
        <f aca="false">1+A326</f>
        <v>326</v>
      </c>
      <c r="B327" s="0" t="n">
        <v>8.99677</v>
      </c>
    </row>
    <row r="328" customFormat="false" ht="13.8" hidden="false" customHeight="false" outlineLevel="0" collapsed="false">
      <c r="A328" s="0" t="n">
        <f aca="false">1+A327</f>
        <v>327</v>
      </c>
      <c r="B328" s="0" t="n">
        <v>8.96714</v>
      </c>
    </row>
    <row r="329" customFormat="false" ht="13.8" hidden="false" customHeight="false" outlineLevel="0" collapsed="false">
      <c r="A329" s="0" t="n">
        <f aca="false">1+A328</f>
        <v>328</v>
      </c>
      <c r="B329" s="0" t="n">
        <v>8.9413</v>
      </c>
    </row>
    <row r="330" customFormat="false" ht="13.8" hidden="false" customHeight="false" outlineLevel="0" collapsed="false">
      <c r="A330" s="0" t="n">
        <f aca="false">1+A329</f>
        <v>329</v>
      </c>
      <c r="B330" s="0" t="n">
        <v>8.91435</v>
      </c>
    </row>
    <row r="331" customFormat="false" ht="13.8" hidden="false" customHeight="false" outlineLevel="0" collapsed="false">
      <c r="A331" s="0" t="n">
        <f aca="false">1+A330</f>
        <v>330</v>
      </c>
      <c r="B331" s="0" t="n">
        <v>8.87899</v>
      </c>
    </row>
    <row r="332" customFormat="false" ht="13.8" hidden="false" customHeight="false" outlineLevel="0" collapsed="false">
      <c r="A332" s="0" t="n">
        <f aca="false">1+A331</f>
        <v>331</v>
      </c>
      <c r="B332" s="0" t="n">
        <v>8.84553</v>
      </c>
    </row>
    <row r="333" customFormat="false" ht="13.8" hidden="false" customHeight="false" outlineLevel="0" collapsed="false">
      <c r="A333" s="0" t="n">
        <f aca="false">1+A332</f>
        <v>332</v>
      </c>
      <c r="B333" s="0" t="n">
        <v>8.8224</v>
      </c>
    </row>
    <row r="334" customFormat="false" ht="13.8" hidden="false" customHeight="false" outlineLevel="0" collapsed="false">
      <c r="A334" s="0" t="n">
        <f aca="false">1+A333</f>
        <v>333</v>
      </c>
      <c r="B334" s="0" t="n">
        <v>8.79612</v>
      </c>
    </row>
    <row r="335" customFormat="false" ht="13.8" hidden="false" customHeight="false" outlineLevel="0" collapsed="false">
      <c r="A335" s="0" t="n">
        <f aca="false">1+A334</f>
        <v>334</v>
      </c>
      <c r="B335" s="0" t="n">
        <v>8.77606</v>
      </c>
    </row>
    <row r="336" customFormat="false" ht="13.8" hidden="false" customHeight="false" outlineLevel="0" collapsed="false">
      <c r="A336" s="0" t="n">
        <f aca="false">1+A335</f>
        <v>335</v>
      </c>
      <c r="B336" s="0" t="n">
        <v>8.75413</v>
      </c>
    </row>
    <row r="337" customFormat="false" ht="13.8" hidden="false" customHeight="false" outlineLevel="0" collapsed="false">
      <c r="A337" s="0" t="n">
        <f aca="false">1+A336</f>
        <v>336</v>
      </c>
      <c r="B337" s="0" t="n">
        <v>8.72711</v>
      </c>
    </row>
    <row r="338" customFormat="false" ht="13.8" hidden="false" customHeight="false" outlineLevel="0" collapsed="false">
      <c r="A338" s="0" t="n">
        <f aca="false">1+A337</f>
        <v>337</v>
      </c>
      <c r="B338" s="0" t="n">
        <v>8.69662</v>
      </c>
    </row>
    <row r="339" customFormat="false" ht="13.8" hidden="false" customHeight="false" outlineLevel="0" collapsed="false">
      <c r="A339" s="0" t="n">
        <f aca="false">1+A338</f>
        <v>338</v>
      </c>
      <c r="B339" s="0" t="n">
        <v>8.67394</v>
      </c>
    </row>
    <row r="340" customFormat="false" ht="13.8" hidden="false" customHeight="false" outlineLevel="0" collapsed="false">
      <c r="A340" s="0" t="n">
        <f aca="false">1+A339</f>
        <v>339</v>
      </c>
      <c r="B340" s="0" t="n">
        <v>8.64315</v>
      </c>
    </row>
    <row r="341" customFormat="false" ht="13.8" hidden="false" customHeight="false" outlineLevel="0" collapsed="false">
      <c r="A341" s="0" t="n">
        <f aca="false">1+A340</f>
        <v>340</v>
      </c>
      <c r="B341" s="0" t="n">
        <v>8.61962</v>
      </c>
    </row>
    <row r="342" customFormat="false" ht="13.8" hidden="false" customHeight="false" outlineLevel="0" collapsed="false">
      <c r="A342" s="0" t="n">
        <f aca="false">1+A341</f>
        <v>341</v>
      </c>
      <c r="B342" s="0" t="n">
        <v>8.59338</v>
      </c>
    </row>
    <row r="343" customFormat="false" ht="13.8" hidden="false" customHeight="false" outlineLevel="0" collapsed="false">
      <c r="A343" s="0" t="n">
        <f aca="false">1+A342</f>
        <v>342</v>
      </c>
      <c r="B343" s="0" t="n">
        <v>8.57254</v>
      </c>
    </row>
    <row r="344" customFormat="false" ht="13.8" hidden="false" customHeight="false" outlineLevel="0" collapsed="false">
      <c r="A344" s="0" t="n">
        <f aca="false">1+A343</f>
        <v>343</v>
      </c>
      <c r="B344" s="0" t="n">
        <v>8.5528</v>
      </c>
    </row>
    <row r="345" customFormat="false" ht="13.8" hidden="false" customHeight="false" outlineLevel="0" collapsed="false">
      <c r="A345" s="0" t="n">
        <f aca="false">1+A344</f>
        <v>344</v>
      </c>
      <c r="B345" s="0" t="n">
        <v>8.52986</v>
      </c>
    </row>
    <row r="346" customFormat="false" ht="13.8" hidden="false" customHeight="false" outlineLevel="0" collapsed="false">
      <c r="A346" s="0" t="n">
        <f aca="false">1+A345</f>
        <v>345</v>
      </c>
      <c r="B346" s="0" t="n">
        <v>8.50968</v>
      </c>
    </row>
    <row r="347" customFormat="false" ht="13.8" hidden="false" customHeight="false" outlineLevel="0" collapsed="false">
      <c r="A347" s="0" t="n">
        <f aca="false">1+A346</f>
        <v>346</v>
      </c>
      <c r="B347" s="0" t="n">
        <v>8.48049</v>
      </c>
    </row>
    <row r="348" customFormat="false" ht="13.8" hidden="false" customHeight="false" outlineLevel="0" collapsed="false">
      <c r="A348" s="0" t="n">
        <f aca="false">1+A347</f>
        <v>347</v>
      </c>
      <c r="B348" s="0" t="n">
        <v>8.44547</v>
      </c>
    </row>
    <row r="349" customFormat="false" ht="13.8" hidden="false" customHeight="false" outlineLevel="0" collapsed="false">
      <c r="A349" s="0" t="n">
        <f aca="false">1+A348</f>
        <v>348</v>
      </c>
      <c r="B349" s="0" t="n">
        <v>8.42459</v>
      </c>
    </row>
    <row r="350" customFormat="false" ht="13.8" hidden="false" customHeight="false" outlineLevel="0" collapsed="false">
      <c r="A350" s="0" t="n">
        <f aca="false">1+A349</f>
        <v>349</v>
      </c>
      <c r="B350" s="0" t="n">
        <v>8.40205</v>
      </c>
    </row>
    <row r="351" customFormat="false" ht="13.8" hidden="false" customHeight="false" outlineLevel="0" collapsed="false">
      <c r="A351" s="0" t="n">
        <f aca="false">1+A350</f>
        <v>350</v>
      </c>
      <c r="B351" s="0" t="n">
        <v>8.37975</v>
      </c>
    </row>
    <row r="352" customFormat="false" ht="13.8" hidden="false" customHeight="false" outlineLevel="0" collapsed="false">
      <c r="A352" s="0" t="n">
        <f aca="false">1+A351</f>
        <v>351</v>
      </c>
      <c r="B352" s="0" t="n">
        <v>8.34535</v>
      </c>
    </row>
    <row r="353" customFormat="false" ht="13.8" hidden="false" customHeight="false" outlineLevel="0" collapsed="false">
      <c r="A353" s="0" t="n">
        <f aca="false">1+A352</f>
        <v>352</v>
      </c>
      <c r="B353" s="0" t="n">
        <v>8.32532</v>
      </c>
    </row>
    <row r="354" customFormat="false" ht="13.8" hidden="false" customHeight="false" outlineLevel="0" collapsed="false">
      <c r="A354" s="0" t="n">
        <f aca="false">1+A353</f>
        <v>353</v>
      </c>
      <c r="B354" s="0" t="n">
        <v>8.29403</v>
      </c>
    </row>
    <row r="355" customFormat="false" ht="13.8" hidden="false" customHeight="false" outlineLevel="0" collapsed="false">
      <c r="A355" s="0" t="n">
        <f aca="false">1+A354</f>
        <v>354</v>
      </c>
      <c r="B355" s="0" t="n">
        <v>8.26385</v>
      </c>
    </row>
    <row r="356" customFormat="false" ht="13.8" hidden="false" customHeight="false" outlineLevel="0" collapsed="false">
      <c r="A356" s="0" t="n">
        <f aca="false">1+A355</f>
        <v>355</v>
      </c>
      <c r="B356" s="0" t="n">
        <v>8.25284</v>
      </c>
    </row>
    <row r="357" customFormat="false" ht="13.8" hidden="false" customHeight="false" outlineLevel="0" collapsed="false">
      <c r="A357" s="0" t="n">
        <f aca="false">1+A356</f>
        <v>356</v>
      </c>
      <c r="B357" s="0" t="n">
        <v>8.22447</v>
      </c>
    </row>
    <row r="358" customFormat="false" ht="13.8" hidden="false" customHeight="false" outlineLevel="0" collapsed="false">
      <c r="A358" s="0" t="n">
        <f aca="false">1+A357</f>
        <v>357</v>
      </c>
      <c r="B358" s="0" t="n">
        <v>8.19293</v>
      </c>
    </row>
    <row r="359" customFormat="false" ht="13.8" hidden="false" customHeight="false" outlineLevel="0" collapsed="false">
      <c r="A359" s="0" t="n">
        <f aca="false">1+A358</f>
        <v>358</v>
      </c>
      <c r="B359" s="0" t="n">
        <v>8.17204</v>
      </c>
    </row>
    <row r="360" customFormat="false" ht="13.8" hidden="false" customHeight="false" outlineLevel="0" collapsed="false">
      <c r="A360" s="0" t="n">
        <f aca="false">1+A359</f>
        <v>359</v>
      </c>
      <c r="B360" s="0" t="n">
        <v>8.15528</v>
      </c>
    </row>
    <row r="361" customFormat="false" ht="13.8" hidden="false" customHeight="false" outlineLevel="0" collapsed="false">
      <c r="A361" s="0" t="n">
        <f aca="false">1+A360</f>
        <v>360</v>
      </c>
      <c r="B361" s="0" t="n">
        <v>8.13012</v>
      </c>
    </row>
    <row r="362" customFormat="false" ht="13.8" hidden="false" customHeight="false" outlineLevel="0" collapsed="false">
      <c r="A362" s="0" t="n">
        <f aca="false">1+A361</f>
        <v>361</v>
      </c>
      <c r="B362" s="0" t="n">
        <v>8.11219</v>
      </c>
    </row>
    <row r="363" customFormat="false" ht="13.8" hidden="false" customHeight="false" outlineLevel="0" collapsed="false">
      <c r="A363" s="0" t="n">
        <f aca="false">1+A362</f>
        <v>362</v>
      </c>
      <c r="B363" s="0" t="n">
        <v>8.0923</v>
      </c>
    </row>
    <row r="364" customFormat="false" ht="13.8" hidden="false" customHeight="false" outlineLevel="0" collapsed="false">
      <c r="A364" s="0" t="n">
        <f aca="false">1+A363</f>
        <v>363</v>
      </c>
      <c r="B364" s="0" t="n">
        <v>8.0647</v>
      </c>
    </row>
    <row r="365" customFormat="false" ht="13.8" hidden="false" customHeight="false" outlineLevel="0" collapsed="false">
      <c r="A365" s="0" t="n">
        <f aca="false">1+A364</f>
        <v>364</v>
      </c>
      <c r="B365" s="0" t="n">
        <v>8.04627</v>
      </c>
    </row>
    <row r="366" customFormat="false" ht="13.8" hidden="false" customHeight="false" outlineLevel="0" collapsed="false">
      <c r="A366" s="0" t="n">
        <f aca="false">1+A365</f>
        <v>365</v>
      </c>
      <c r="B366" s="0" t="n">
        <v>8.02559</v>
      </c>
    </row>
    <row r="367" customFormat="false" ht="13.8" hidden="false" customHeight="false" outlineLevel="0" collapsed="false">
      <c r="A367" s="0" t="n">
        <f aca="false">1+A366</f>
        <v>366</v>
      </c>
      <c r="B367" s="0" t="n">
        <v>8.00022</v>
      </c>
    </row>
    <row r="368" customFormat="false" ht="13.8" hidden="false" customHeight="false" outlineLevel="0" collapsed="false">
      <c r="A368" s="0" t="n">
        <f aca="false">1+A367</f>
        <v>367</v>
      </c>
      <c r="B368" s="0" t="n">
        <v>7.98333</v>
      </c>
    </row>
    <row r="369" customFormat="false" ht="13.8" hidden="false" customHeight="false" outlineLevel="0" collapsed="false">
      <c r="A369" s="0" t="n">
        <f aca="false">1+A368</f>
        <v>368</v>
      </c>
      <c r="B369" s="0" t="n">
        <v>7.95742</v>
      </c>
    </row>
    <row r="370" customFormat="false" ht="13.8" hidden="false" customHeight="false" outlineLevel="0" collapsed="false">
      <c r="A370" s="0" t="n">
        <f aca="false">1+A369</f>
        <v>369</v>
      </c>
      <c r="B370" s="0" t="n">
        <v>7.92946</v>
      </c>
    </row>
    <row r="371" customFormat="false" ht="13.8" hidden="false" customHeight="false" outlineLevel="0" collapsed="false">
      <c r="A371" s="0" t="n">
        <f aca="false">1+A370</f>
        <v>370</v>
      </c>
      <c r="B371" s="0" t="n">
        <v>7.90631</v>
      </c>
    </row>
    <row r="372" customFormat="false" ht="13.8" hidden="false" customHeight="false" outlineLevel="0" collapsed="false">
      <c r="A372" s="0" t="n">
        <f aca="false">1+A371</f>
        <v>371</v>
      </c>
      <c r="B372" s="0" t="n">
        <v>7.88465</v>
      </c>
    </row>
    <row r="373" customFormat="false" ht="13.8" hidden="false" customHeight="false" outlineLevel="0" collapsed="false">
      <c r="A373" s="0" t="n">
        <f aca="false">1+A372</f>
        <v>372</v>
      </c>
      <c r="B373" s="0" t="n">
        <v>7.86108</v>
      </c>
    </row>
    <row r="374" customFormat="false" ht="13.8" hidden="false" customHeight="false" outlineLevel="0" collapsed="false">
      <c r="A374" s="0" t="n">
        <f aca="false">1+A373</f>
        <v>373</v>
      </c>
      <c r="B374" s="0" t="n">
        <v>7.83796</v>
      </c>
    </row>
    <row r="375" customFormat="false" ht="13.8" hidden="false" customHeight="false" outlineLevel="0" collapsed="false">
      <c r="A375" s="0" t="n">
        <f aca="false">1+A374</f>
        <v>374</v>
      </c>
      <c r="B375" s="0" t="n">
        <v>7.8264</v>
      </c>
    </row>
    <row r="376" customFormat="false" ht="13.8" hidden="false" customHeight="false" outlineLevel="0" collapsed="false">
      <c r="A376" s="0" t="n">
        <f aca="false">1+A375</f>
        <v>375</v>
      </c>
      <c r="B376" s="0" t="n">
        <v>7.80323</v>
      </c>
    </row>
    <row r="377" customFormat="false" ht="13.8" hidden="false" customHeight="false" outlineLevel="0" collapsed="false">
      <c r="A377" s="0" t="n">
        <f aca="false">1+A376</f>
        <v>376</v>
      </c>
      <c r="B377" s="0" t="n">
        <v>7.78326</v>
      </c>
    </row>
    <row r="378" customFormat="false" ht="13.8" hidden="false" customHeight="false" outlineLevel="0" collapsed="false">
      <c r="A378" s="0" t="n">
        <f aca="false">1+A377</f>
        <v>377</v>
      </c>
      <c r="B378" s="0" t="n">
        <v>7.76011</v>
      </c>
    </row>
    <row r="379" customFormat="false" ht="13.8" hidden="false" customHeight="false" outlineLevel="0" collapsed="false">
      <c r="A379" s="0" t="n">
        <f aca="false">1+A378</f>
        <v>378</v>
      </c>
      <c r="B379" s="0" t="n">
        <v>7.74184</v>
      </c>
    </row>
    <row r="380" customFormat="false" ht="13.8" hidden="false" customHeight="false" outlineLevel="0" collapsed="false">
      <c r="A380" s="0" t="n">
        <f aca="false">1+A379</f>
        <v>379</v>
      </c>
      <c r="B380" s="0" t="n">
        <v>7.72279</v>
      </c>
    </row>
    <row r="381" customFormat="false" ht="13.8" hidden="false" customHeight="false" outlineLevel="0" collapsed="false">
      <c r="A381" s="0" t="n">
        <f aca="false">1+A380</f>
        <v>380</v>
      </c>
      <c r="B381" s="0" t="n">
        <v>7.69622</v>
      </c>
    </row>
    <row r="382" customFormat="false" ht="13.8" hidden="false" customHeight="false" outlineLevel="0" collapsed="false">
      <c r="A382" s="0" t="n">
        <f aca="false">1+A381</f>
        <v>381</v>
      </c>
      <c r="B382" s="0" t="n">
        <v>7.67831</v>
      </c>
    </row>
    <row r="383" customFormat="false" ht="13.8" hidden="false" customHeight="false" outlineLevel="0" collapsed="false">
      <c r="A383" s="0" t="n">
        <f aca="false">1+A382</f>
        <v>382</v>
      </c>
      <c r="B383" s="0" t="n">
        <v>7.65359</v>
      </c>
    </row>
    <row r="384" customFormat="false" ht="13.8" hidden="false" customHeight="false" outlineLevel="0" collapsed="false">
      <c r="A384" s="0" t="n">
        <f aca="false">1+A383</f>
        <v>383</v>
      </c>
      <c r="B384" s="0" t="n">
        <v>7.6353</v>
      </c>
    </row>
    <row r="385" customFormat="false" ht="13.8" hidden="false" customHeight="false" outlineLevel="0" collapsed="false">
      <c r="A385" s="0" t="n">
        <f aca="false">1+A384</f>
        <v>384</v>
      </c>
      <c r="B385" s="0" t="n">
        <v>7.61595</v>
      </c>
    </row>
    <row r="386" customFormat="false" ht="13.8" hidden="false" customHeight="false" outlineLevel="0" collapsed="false">
      <c r="A386" s="0" t="n">
        <f aca="false">1+A385</f>
        <v>385</v>
      </c>
      <c r="B386" s="0" t="n">
        <v>7.58518</v>
      </c>
    </row>
    <row r="387" customFormat="false" ht="13.8" hidden="false" customHeight="false" outlineLevel="0" collapsed="false">
      <c r="A387" s="0" t="n">
        <f aca="false">1+A386</f>
        <v>386</v>
      </c>
      <c r="B387" s="0" t="n">
        <v>7.56044</v>
      </c>
    </row>
    <row r="388" customFormat="false" ht="13.8" hidden="false" customHeight="false" outlineLevel="0" collapsed="false">
      <c r="A388" s="0" t="n">
        <f aca="false">1+A387</f>
        <v>387</v>
      </c>
      <c r="B388" s="0" t="n">
        <v>7.54037</v>
      </c>
    </row>
    <row r="389" customFormat="false" ht="13.8" hidden="false" customHeight="false" outlineLevel="0" collapsed="false">
      <c r="A389" s="0" t="n">
        <f aca="false">1+A388</f>
        <v>388</v>
      </c>
      <c r="B389" s="0" t="n">
        <v>7.50505</v>
      </c>
    </row>
    <row r="390" customFormat="false" ht="13.8" hidden="false" customHeight="false" outlineLevel="0" collapsed="false">
      <c r="A390" s="0" t="n">
        <f aca="false">1+A389</f>
        <v>389</v>
      </c>
      <c r="B390" s="0" t="n">
        <v>7.48715</v>
      </c>
    </row>
    <row r="391" customFormat="false" ht="13.8" hidden="false" customHeight="false" outlineLevel="0" collapsed="false">
      <c r="A391" s="0" t="n">
        <f aca="false">1+A390</f>
        <v>390</v>
      </c>
      <c r="B391" s="0" t="n">
        <v>7.46165</v>
      </c>
    </row>
    <row r="392" customFormat="false" ht="13.8" hidden="false" customHeight="false" outlineLevel="0" collapsed="false">
      <c r="A392" s="0" t="n">
        <f aca="false">1+A391</f>
        <v>391</v>
      </c>
      <c r="B392" s="0" t="n">
        <v>7.4406</v>
      </c>
    </row>
    <row r="393" customFormat="false" ht="13.8" hidden="false" customHeight="false" outlineLevel="0" collapsed="false">
      <c r="A393" s="0" t="n">
        <f aca="false">1+A392</f>
        <v>392</v>
      </c>
      <c r="B393" s="0" t="n">
        <v>7.4147</v>
      </c>
    </row>
    <row r="394" customFormat="false" ht="13.8" hidden="false" customHeight="false" outlineLevel="0" collapsed="false">
      <c r="A394" s="0" t="n">
        <f aca="false">1+A393</f>
        <v>393</v>
      </c>
      <c r="B394" s="0" t="n">
        <v>7.39655</v>
      </c>
    </row>
    <row r="395" customFormat="false" ht="13.8" hidden="false" customHeight="false" outlineLevel="0" collapsed="false">
      <c r="A395" s="0" t="n">
        <f aca="false">1+A394</f>
        <v>394</v>
      </c>
      <c r="B395" s="0" t="n">
        <v>7.36886</v>
      </c>
    </row>
    <row r="396" customFormat="false" ht="13.8" hidden="false" customHeight="false" outlineLevel="0" collapsed="false">
      <c r="A396" s="0" t="n">
        <f aca="false">1+A395</f>
        <v>395</v>
      </c>
      <c r="B396" s="0" t="n">
        <v>7.34775</v>
      </c>
    </row>
    <row r="397" customFormat="false" ht="13.8" hidden="false" customHeight="false" outlineLevel="0" collapsed="false">
      <c r="A397" s="0" t="n">
        <f aca="false">1+A396</f>
        <v>396</v>
      </c>
      <c r="B397" s="0" t="n">
        <v>7.3282</v>
      </c>
    </row>
    <row r="398" customFormat="false" ht="13.8" hidden="false" customHeight="false" outlineLevel="0" collapsed="false">
      <c r="A398" s="0" t="n">
        <f aca="false">1+A397</f>
        <v>397</v>
      </c>
      <c r="B398" s="0" t="n">
        <v>7.30525</v>
      </c>
    </row>
    <row r="399" customFormat="false" ht="13.8" hidden="false" customHeight="false" outlineLevel="0" collapsed="false">
      <c r="A399" s="0" t="n">
        <f aca="false">1+A398</f>
        <v>398</v>
      </c>
      <c r="B399" s="0" t="n">
        <v>7.27797</v>
      </c>
    </row>
    <row r="400" customFormat="false" ht="13.8" hidden="false" customHeight="false" outlineLevel="0" collapsed="false">
      <c r="A400" s="0" t="n">
        <f aca="false">1+A399</f>
        <v>399</v>
      </c>
      <c r="B400" s="0" t="n">
        <v>7.24639</v>
      </c>
    </row>
    <row r="401" customFormat="false" ht="13.8" hidden="false" customHeight="false" outlineLevel="0" collapsed="false">
      <c r="A401" s="0" t="n">
        <f aca="false">1+A400</f>
        <v>400</v>
      </c>
      <c r="B401" s="0" t="n">
        <v>7.23017</v>
      </c>
    </row>
    <row r="402" customFormat="false" ht="13.8" hidden="false" customHeight="false" outlineLevel="0" collapsed="false">
      <c r="A402" s="0" t="n">
        <f aca="false">1+A401</f>
        <v>401</v>
      </c>
      <c r="B402" s="0" t="n">
        <v>7.21009</v>
      </c>
    </row>
    <row r="403" customFormat="false" ht="13.8" hidden="false" customHeight="false" outlineLevel="0" collapsed="false">
      <c r="A403" s="0" t="n">
        <f aca="false">1+A402</f>
        <v>402</v>
      </c>
      <c r="B403" s="0" t="n">
        <v>7.19459</v>
      </c>
    </row>
    <row r="404" customFormat="false" ht="13.8" hidden="false" customHeight="false" outlineLevel="0" collapsed="false">
      <c r="A404" s="0" t="n">
        <f aca="false">1+A403</f>
        <v>403</v>
      </c>
      <c r="B404" s="0" t="n">
        <v>7.17495</v>
      </c>
    </row>
    <row r="405" customFormat="false" ht="13.8" hidden="false" customHeight="false" outlineLevel="0" collapsed="false">
      <c r="A405" s="0" t="n">
        <f aca="false">1+A404</f>
        <v>404</v>
      </c>
      <c r="B405" s="0" t="n">
        <v>7.14769</v>
      </c>
    </row>
    <row r="406" customFormat="false" ht="13.8" hidden="false" customHeight="false" outlineLevel="0" collapsed="false">
      <c r="A406" s="0" t="n">
        <f aca="false">1+A405</f>
        <v>405</v>
      </c>
      <c r="B406" s="0" t="n">
        <v>7.14085</v>
      </c>
    </row>
    <row r="407" customFormat="false" ht="13.8" hidden="false" customHeight="false" outlineLevel="0" collapsed="false">
      <c r="A407" s="0" t="n">
        <f aca="false">1+A406</f>
        <v>406</v>
      </c>
      <c r="B407" s="0" t="n">
        <v>7.11367</v>
      </c>
    </row>
    <row r="408" customFormat="false" ht="13.8" hidden="false" customHeight="false" outlineLevel="0" collapsed="false">
      <c r="A408" s="0" t="n">
        <f aca="false">1+A407</f>
        <v>407</v>
      </c>
      <c r="B408" s="0" t="n">
        <v>7.09998</v>
      </c>
    </row>
    <row r="409" customFormat="false" ht="13.8" hidden="false" customHeight="false" outlineLevel="0" collapsed="false">
      <c r="A409" s="0" t="n">
        <f aca="false">1+A408</f>
        <v>408</v>
      </c>
      <c r="B409" s="0" t="n">
        <v>7.06788</v>
      </c>
    </row>
    <row r="410" customFormat="false" ht="13.8" hidden="false" customHeight="false" outlineLevel="0" collapsed="false">
      <c r="A410" s="0" t="n">
        <f aca="false">1+A409</f>
        <v>409</v>
      </c>
      <c r="B410" s="0" t="n">
        <v>7.04591</v>
      </c>
    </row>
    <row r="411" customFormat="false" ht="13.8" hidden="false" customHeight="false" outlineLevel="0" collapsed="false">
      <c r="A411" s="0" t="n">
        <f aca="false">1+A410</f>
        <v>410</v>
      </c>
      <c r="B411" s="0" t="n">
        <v>7.0143</v>
      </c>
    </row>
    <row r="412" customFormat="false" ht="13.8" hidden="false" customHeight="false" outlineLevel="0" collapsed="false">
      <c r="A412" s="0" t="n">
        <f aca="false">1+A411</f>
        <v>411</v>
      </c>
      <c r="B412" s="0" t="n">
        <v>6.98873</v>
      </c>
    </row>
    <row r="413" customFormat="false" ht="13.8" hidden="false" customHeight="false" outlineLevel="0" collapsed="false">
      <c r="A413" s="0" t="n">
        <f aca="false">1+A412</f>
        <v>412</v>
      </c>
      <c r="B413" s="0" t="n">
        <v>6.97664</v>
      </c>
    </row>
    <row r="414" customFormat="false" ht="13.8" hidden="false" customHeight="false" outlineLevel="0" collapsed="false">
      <c r="A414" s="0" t="n">
        <f aca="false">1+A413</f>
        <v>413</v>
      </c>
      <c r="B414" s="0" t="n">
        <v>6.95228</v>
      </c>
    </row>
    <row r="415" customFormat="false" ht="13.8" hidden="false" customHeight="false" outlineLevel="0" collapsed="false">
      <c r="A415" s="0" t="n">
        <f aca="false">1+A414</f>
        <v>414</v>
      </c>
      <c r="B415" s="0" t="n">
        <v>6.92795</v>
      </c>
    </row>
    <row r="416" customFormat="false" ht="13.8" hidden="false" customHeight="false" outlineLevel="0" collapsed="false">
      <c r="A416" s="0" t="n">
        <f aca="false">1+A415</f>
        <v>415</v>
      </c>
      <c r="B416" s="0" t="n">
        <v>6.90716</v>
      </c>
    </row>
    <row r="417" customFormat="false" ht="13.8" hidden="false" customHeight="false" outlineLevel="0" collapsed="false">
      <c r="A417" s="0" t="n">
        <f aca="false">1+A416</f>
        <v>416</v>
      </c>
      <c r="B417" s="0" t="n">
        <v>6.89342</v>
      </c>
    </row>
    <row r="418" customFormat="false" ht="13.8" hidden="false" customHeight="false" outlineLevel="0" collapsed="false">
      <c r="A418" s="0" t="n">
        <f aca="false">1+A417</f>
        <v>417</v>
      </c>
      <c r="B418" s="0" t="n">
        <v>6.88717</v>
      </c>
    </row>
    <row r="419" customFormat="false" ht="13.8" hidden="false" customHeight="false" outlineLevel="0" collapsed="false">
      <c r="A419" s="0" t="n">
        <f aca="false">1+A418</f>
        <v>418</v>
      </c>
      <c r="B419" s="0" t="n">
        <v>6.87643</v>
      </c>
    </row>
    <row r="420" customFormat="false" ht="13.8" hidden="false" customHeight="false" outlineLevel="0" collapsed="false">
      <c r="A420" s="0" t="n">
        <f aca="false">1+A419</f>
        <v>419</v>
      </c>
      <c r="B420" s="0" t="n">
        <v>6.86086</v>
      </c>
    </row>
    <row r="421" customFormat="false" ht="13.8" hidden="false" customHeight="false" outlineLevel="0" collapsed="false">
      <c r="A421" s="0" t="n">
        <f aca="false">1+A420</f>
        <v>420</v>
      </c>
      <c r="B421" s="0" t="n">
        <v>6.84551</v>
      </c>
    </row>
    <row r="422" customFormat="false" ht="13.8" hidden="false" customHeight="false" outlineLevel="0" collapsed="false">
      <c r="A422" s="0" t="n">
        <f aca="false">1+A421</f>
        <v>421</v>
      </c>
      <c r="B422" s="0" t="n">
        <v>6.82681</v>
      </c>
    </row>
    <row r="423" customFormat="false" ht="13.8" hidden="false" customHeight="false" outlineLevel="0" collapsed="false">
      <c r="A423" s="0" t="n">
        <f aca="false">1+A422</f>
        <v>422</v>
      </c>
      <c r="B423" s="0" t="n">
        <v>6.81449</v>
      </c>
    </row>
    <row r="424" customFormat="false" ht="13.8" hidden="false" customHeight="false" outlineLevel="0" collapsed="false">
      <c r="A424" s="0" t="n">
        <f aca="false">1+A423</f>
        <v>423</v>
      </c>
      <c r="B424" s="0" t="n">
        <v>6.79006</v>
      </c>
    </row>
    <row r="425" customFormat="false" ht="13.8" hidden="false" customHeight="false" outlineLevel="0" collapsed="false">
      <c r="A425" s="0" t="n">
        <f aca="false">1+A424</f>
        <v>424</v>
      </c>
      <c r="B425" s="0" t="n">
        <v>6.76744</v>
      </c>
    </row>
    <row r="426" customFormat="false" ht="13.8" hidden="false" customHeight="false" outlineLevel="0" collapsed="false">
      <c r="A426" s="0" t="n">
        <f aca="false">1+A425</f>
        <v>425</v>
      </c>
      <c r="B426" s="0" t="n">
        <v>6.75699</v>
      </c>
    </row>
    <row r="427" customFormat="false" ht="13.8" hidden="false" customHeight="false" outlineLevel="0" collapsed="false">
      <c r="A427" s="0" t="n">
        <f aca="false">1+A426</f>
        <v>426</v>
      </c>
      <c r="B427" s="0" t="n">
        <v>6.74259</v>
      </c>
    </row>
    <row r="428" customFormat="false" ht="13.8" hidden="false" customHeight="false" outlineLevel="0" collapsed="false">
      <c r="A428" s="0" t="n">
        <f aca="false">1+A427</f>
        <v>427</v>
      </c>
      <c r="B428" s="0" t="n">
        <v>6.72674</v>
      </c>
    </row>
    <row r="429" customFormat="false" ht="13.8" hidden="false" customHeight="false" outlineLevel="0" collapsed="false">
      <c r="A429" s="0" t="n">
        <f aca="false">1+A428</f>
        <v>428</v>
      </c>
      <c r="B429" s="0" t="n">
        <v>6.70646</v>
      </c>
    </row>
    <row r="430" customFormat="false" ht="13.8" hidden="false" customHeight="false" outlineLevel="0" collapsed="false">
      <c r="A430" s="0" t="n">
        <f aca="false">1+A429</f>
        <v>429</v>
      </c>
      <c r="B430" s="0" t="n">
        <v>6.6853</v>
      </c>
    </row>
    <row r="431" customFormat="false" ht="13.8" hidden="false" customHeight="false" outlineLevel="0" collapsed="false">
      <c r="A431" s="0" t="n">
        <f aca="false">1+A430</f>
        <v>430</v>
      </c>
      <c r="B431" s="0" t="n">
        <v>6.66703</v>
      </c>
    </row>
    <row r="432" customFormat="false" ht="13.8" hidden="false" customHeight="false" outlineLevel="0" collapsed="false">
      <c r="A432" s="0" t="n">
        <f aca="false">1+A431</f>
        <v>431</v>
      </c>
      <c r="B432" s="0" t="n">
        <v>6.65965</v>
      </c>
    </row>
    <row r="433" customFormat="false" ht="13.8" hidden="false" customHeight="false" outlineLevel="0" collapsed="false">
      <c r="A433" s="0" t="n">
        <f aca="false">1+A432</f>
        <v>432</v>
      </c>
      <c r="B433" s="0" t="n">
        <v>6.64958</v>
      </c>
    </row>
    <row r="434" customFormat="false" ht="13.8" hidden="false" customHeight="false" outlineLevel="0" collapsed="false">
      <c r="A434" s="0" t="n">
        <f aca="false">1+A433</f>
        <v>433</v>
      </c>
      <c r="B434" s="0" t="n">
        <v>6.6404</v>
      </c>
    </row>
    <row r="435" customFormat="false" ht="13.8" hidden="false" customHeight="false" outlineLevel="0" collapsed="false">
      <c r="A435" s="0" t="n">
        <f aca="false">1+A434</f>
        <v>434</v>
      </c>
      <c r="B435" s="0" t="n">
        <v>6.61792</v>
      </c>
    </row>
    <row r="436" customFormat="false" ht="13.8" hidden="false" customHeight="false" outlineLevel="0" collapsed="false">
      <c r="A436" s="0" t="n">
        <f aca="false">1+A435</f>
        <v>435</v>
      </c>
      <c r="B436" s="0" t="n">
        <v>6.60861</v>
      </c>
    </row>
    <row r="437" customFormat="false" ht="13.8" hidden="false" customHeight="false" outlineLevel="0" collapsed="false">
      <c r="A437" s="0" t="n">
        <f aca="false">1+A436</f>
        <v>436</v>
      </c>
      <c r="B437" s="0" t="n">
        <v>6.60096</v>
      </c>
    </row>
    <row r="438" customFormat="false" ht="13.8" hidden="false" customHeight="false" outlineLevel="0" collapsed="false">
      <c r="A438" s="0" t="n">
        <f aca="false">1+A437</f>
        <v>437</v>
      </c>
      <c r="B438" s="0" t="n">
        <v>6.57484</v>
      </c>
    </row>
    <row r="439" customFormat="false" ht="13.8" hidden="false" customHeight="false" outlineLevel="0" collapsed="false">
      <c r="A439" s="0" t="n">
        <f aca="false">1+A438</f>
        <v>438</v>
      </c>
      <c r="B439" s="0" t="n">
        <v>6.5607</v>
      </c>
    </row>
    <row r="440" customFormat="false" ht="13.8" hidden="false" customHeight="false" outlineLevel="0" collapsed="false">
      <c r="A440" s="0" t="n">
        <f aca="false">1+A439</f>
        <v>439</v>
      </c>
      <c r="B440" s="0" t="n">
        <v>6.53576</v>
      </c>
    </row>
    <row r="441" customFormat="false" ht="13.8" hidden="false" customHeight="false" outlineLevel="0" collapsed="false">
      <c r="A441" s="0" t="n">
        <f aca="false">1+A440</f>
        <v>440</v>
      </c>
      <c r="B441" s="0" t="n">
        <v>6.51509</v>
      </c>
    </row>
    <row r="442" customFormat="false" ht="13.8" hidden="false" customHeight="false" outlineLevel="0" collapsed="false">
      <c r="A442" s="0" t="n">
        <f aca="false">1+A441</f>
        <v>441</v>
      </c>
      <c r="B442" s="0" t="n">
        <v>6.50338</v>
      </c>
    </row>
    <row r="443" customFormat="false" ht="13.8" hidden="false" customHeight="false" outlineLevel="0" collapsed="false">
      <c r="A443" s="0" t="n">
        <f aca="false">1+A442</f>
        <v>442</v>
      </c>
      <c r="B443" s="0" t="n">
        <v>6.47617</v>
      </c>
    </row>
    <row r="444" customFormat="false" ht="13.8" hidden="false" customHeight="false" outlineLevel="0" collapsed="false">
      <c r="A444" s="0" t="n">
        <f aca="false">1+A443</f>
        <v>443</v>
      </c>
      <c r="B444" s="0" t="n">
        <v>6.4606</v>
      </c>
    </row>
    <row r="445" customFormat="false" ht="13.8" hidden="false" customHeight="false" outlineLevel="0" collapsed="false">
      <c r="A445" s="0" t="n">
        <f aca="false">1+A444</f>
        <v>444</v>
      </c>
      <c r="B445" s="0" t="n">
        <v>6.43795</v>
      </c>
    </row>
    <row r="446" customFormat="false" ht="13.8" hidden="false" customHeight="false" outlineLevel="0" collapsed="false">
      <c r="A446" s="0" t="n">
        <f aca="false">1+A445</f>
        <v>445</v>
      </c>
      <c r="B446" s="0" t="n">
        <v>6.42773</v>
      </c>
    </row>
    <row r="447" customFormat="false" ht="13.8" hidden="false" customHeight="false" outlineLevel="0" collapsed="false">
      <c r="A447" s="0" t="n">
        <f aca="false">1+A446</f>
        <v>446</v>
      </c>
      <c r="B447" s="0" t="n">
        <v>6.40966</v>
      </c>
    </row>
    <row r="448" customFormat="false" ht="13.8" hidden="false" customHeight="false" outlineLevel="0" collapsed="false">
      <c r="A448" s="0" t="n">
        <f aca="false">1+A447</f>
        <v>447</v>
      </c>
      <c r="B448" s="0" t="n">
        <v>6.40035</v>
      </c>
    </row>
    <row r="449" customFormat="false" ht="13.8" hidden="false" customHeight="false" outlineLevel="0" collapsed="false">
      <c r="A449" s="0" t="n">
        <f aca="false">1+A448</f>
        <v>448</v>
      </c>
      <c r="B449" s="0" t="n">
        <v>6.38698</v>
      </c>
    </row>
    <row r="450" customFormat="false" ht="13.8" hidden="false" customHeight="false" outlineLevel="0" collapsed="false">
      <c r="A450" s="0" t="n">
        <f aca="false">1+A449</f>
        <v>449</v>
      </c>
      <c r="B450" s="0" t="n">
        <v>6.37651</v>
      </c>
    </row>
    <row r="451" customFormat="false" ht="13.8" hidden="false" customHeight="false" outlineLevel="0" collapsed="false">
      <c r="A451" s="0" t="n">
        <f aca="false">1+A450</f>
        <v>450</v>
      </c>
      <c r="B451" s="0" t="n">
        <v>6.36847</v>
      </c>
    </row>
    <row r="452" customFormat="false" ht="13.8" hidden="false" customHeight="false" outlineLevel="0" collapsed="false">
      <c r="A452" s="0" t="n">
        <f aca="false">1+A451</f>
        <v>451</v>
      </c>
      <c r="B452" s="0" t="n">
        <v>6.34444</v>
      </c>
    </row>
    <row r="453" customFormat="false" ht="13.8" hidden="false" customHeight="false" outlineLevel="0" collapsed="false">
      <c r="A453" s="0" t="n">
        <f aca="false">1+A452</f>
        <v>452</v>
      </c>
      <c r="B453" s="0" t="n">
        <v>6.3289</v>
      </c>
    </row>
    <row r="454" customFormat="false" ht="13.8" hidden="false" customHeight="false" outlineLevel="0" collapsed="false">
      <c r="A454" s="0" t="n">
        <f aca="false">1+A453</f>
        <v>453</v>
      </c>
      <c r="B454" s="0" t="n">
        <v>6.30396</v>
      </c>
    </row>
    <row r="455" customFormat="false" ht="13.8" hidden="false" customHeight="false" outlineLevel="0" collapsed="false">
      <c r="A455" s="0" t="n">
        <f aca="false">1+A454</f>
        <v>454</v>
      </c>
      <c r="B455" s="0" t="n">
        <v>6.28627</v>
      </c>
    </row>
    <row r="456" customFormat="false" ht="13.8" hidden="false" customHeight="false" outlineLevel="0" collapsed="false">
      <c r="A456" s="0" t="n">
        <f aca="false">1+A455</f>
        <v>455</v>
      </c>
      <c r="B456" s="0" t="n">
        <v>6.26625</v>
      </c>
    </row>
    <row r="457" customFormat="false" ht="13.8" hidden="false" customHeight="false" outlineLevel="0" collapsed="false">
      <c r="A457" s="0" t="n">
        <f aca="false">1+A456</f>
        <v>456</v>
      </c>
      <c r="B457" s="0" t="n">
        <v>6.23939</v>
      </c>
    </row>
    <row r="458" customFormat="false" ht="13.8" hidden="false" customHeight="false" outlineLevel="0" collapsed="false">
      <c r="A458" s="0" t="n">
        <f aca="false">1+A457</f>
        <v>457</v>
      </c>
      <c r="B458" s="0" t="n">
        <v>6.22612</v>
      </c>
    </row>
    <row r="459" customFormat="false" ht="13.8" hidden="false" customHeight="false" outlineLevel="0" collapsed="false">
      <c r="A459" s="0" t="n">
        <f aca="false">1+A458</f>
        <v>458</v>
      </c>
      <c r="B459" s="0" t="n">
        <v>6.20821</v>
      </c>
    </row>
    <row r="460" customFormat="false" ht="13.8" hidden="false" customHeight="false" outlineLevel="0" collapsed="false">
      <c r="A460" s="0" t="n">
        <f aca="false">1+A459</f>
        <v>459</v>
      </c>
      <c r="B460" s="0" t="n">
        <v>6.18556</v>
      </c>
    </row>
    <row r="461" customFormat="false" ht="13.8" hidden="false" customHeight="false" outlineLevel="0" collapsed="false">
      <c r="A461" s="0" t="n">
        <f aca="false">1+A460</f>
        <v>460</v>
      </c>
      <c r="B461" s="0" t="n">
        <v>6.18032</v>
      </c>
    </row>
    <row r="462" customFormat="false" ht="13.8" hidden="false" customHeight="false" outlineLevel="0" collapsed="false">
      <c r="A462" s="0" t="n">
        <f aca="false">1+A461</f>
        <v>461</v>
      </c>
      <c r="B462" s="0" t="n">
        <v>6.16361</v>
      </c>
    </row>
    <row r="463" customFormat="false" ht="13.8" hidden="false" customHeight="false" outlineLevel="0" collapsed="false">
      <c r="A463" s="0" t="n">
        <f aca="false">1+A462</f>
        <v>462</v>
      </c>
      <c r="B463" s="0" t="n">
        <v>6.15232</v>
      </c>
    </row>
    <row r="464" customFormat="false" ht="13.8" hidden="false" customHeight="false" outlineLevel="0" collapsed="false">
      <c r="A464" s="0" t="n">
        <f aca="false">1+A463</f>
        <v>463</v>
      </c>
      <c r="B464" s="0" t="n">
        <v>6.1155</v>
      </c>
    </row>
    <row r="465" customFormat="false" ht="13.8" hidden="false" customHeight="false" outlineLevel="0" collapsed="false">
      <c r="A465" s="0" t="n">
        <f aca="false">1+A464</f>
        <v>464</v>
      </c>
      <c r="B465" s="0" t="n">
        <v>6.11252</v>
      </c>
    </row>
    <row r="466" customFormat="false" ht="13.8" hidden="false" customHeight="false" outlineLevel="0" collapsed="false">
      <c r="A466" s="0" t="n">
        <f aca="false">1+A465</f>
        <v>465</v>
      </c>
      <c r="B466" s="0" t="n">
        <v>6.0917</v>
      </c>
    </row>
    <row r="467" customFormat="false" ht="13.8" hidden="false" customHeight="false" outlineLevel="0" collapsed="false">
      <c r="A467" s="0" t="n">
        <f aca="false">1+A466</f>
        <v>466</v>
      </c>
      <c r="B467" s="0" t="n">
        <v>6.09275</v>
      </c>
    </row>
    <row r="468" customFormat="false" ht="13.8" hidden="false" customHeight="false" outlineLevel="0" collapsed="false">
      <c r="A468" s="0" t="n">
        <f aca="false">1+A467</f>
        <v>467</v>
      </c>
      <c r="B468" s="0" t="n">
        <v>6.07692</v>
      </c>
    </row>
    <row r="469" customFormat="false" ht="13.8" hidden="false" customHeight="false" outlineLevel="0" collapsed="false">
      <c r="A469" s="0" t="n">
        <f aca="false">1+A468</f>
        <v>468</v>
      </c>
      <c r="B469" s="0" t="n">
        <v>6.05772</v>
      </c>
    </row>
    <row r="470" customFormat="false" ht="13.8" hidden="false" customHeight="false" outlineLevel="0" collapsed="false">
      <c r="A470" s="0" t="n">
        <f aca="false">1+A469</f>
        <v>469</v>
      </c>
      <c r="B470" s="0" t="n">
        <v>6.04291</v>
      </c>
    </row>
    <row r="471" customFormat="false" ht="13.8" hidden="false" customHeight="false" outlineLevel="0" collapsed="false">
      <c r="A471" s="0" t="n">
        <f aca="false">1+A470</f>
        <v>470</v>
      </c>
      <c r="B471" s="0" t="n">
        <v>6.03092</v>
      </c>
    </row>
    <row r="472" customFormat="false" ht="13.8" hidden="false" customHeight="false" outlineLevel="0" collapsed="false">
      <c r="A472" s="0" t="n">
        <f aca="false">1+A471</f>
        <v>471</v>
      </c>
      <c r="B472" s="0" t="n">
        <v>6.01432</v>
      </c>
    </row>
    <row r="473" customFormat="false" ht="13.8" hidden="false" customHeight="false" outlineLevel="0" collapsed="false">
      <c r="A473" s="0" t="n">
        <f aca="false">1+A472</f>
        <v>472</v>
      </c>
      <c r="B473" s="0" t="n">
        <v>6.00321</v>
      </c>
    </row>
    <row r="474" customFormat="false" ht="13.8" hidden="false" customHeight="false" outlineLevel="0" collapsed="false">
      <c r="A474" s="0" t="n">
        <f aca="false">1+A473</f>
        <v>473</v>
      </c>
      <c r="B474" s="0" t="n">
        <v>5.99264</v>
      </c>
    </row>
    <row r="475" customFormat="false" ht="13.8" hidden="false" customHeight="false" outlineLevel="0" collapsed="false">
      <c r="A475" s="0" t="n">
        <f aca="false">1+A474</f>
        <v>474</v>
      </c>
      <c r="B475" s="0" t="n">
        <v>5.97193</v>
      </c>
    </row>
    <row r="476" customFormat="false" ht="13.8" hidden="false" customHeight="false" outlineLevel="0" collapsed="false">
      <c r="A476" s="0" t="n">
        <f aca="false">1+A475</f>
        <v>475</v>
      </c>
      <c r="B476" s="0" t="n">
        <v>5.96355</v>
      </c>
    </row>
    <row r="477" customFormat="false" ht="13.8" hidden="false" customHeight="false" outlineLevel="0" collapsed="false">
      <c r="A477" s="0" t="n">
        <f aca="false">1+A476</f>
        <v>476</v>
      </c>
      <c r="B477" s="0" t="n">
        <v>5.95874</v>
      </c>
    </row>
    <row r="478" customFormat="false" ht="13.8" hidden="false" customHeight="false" outlineLevel="0" collapsed="false">
      <c r="A478" s="0" t="n">
        <f aca="false">1+A477</f>
        <v>477</v>
      </c>
      <c r="B478" s="0" t="n">
        <v>5.93488</v>
      </c>
    </row>
    <row r="479" customFormat="false" ht="13.8" hidden="false" customHeight="false" outlineLevel="0" collapsed="false">
      <c r="A479" s="0" t="n">
        <f aca="false">1+A478</f>
        <v>478</v>
      </c>
      <c r="B479" s="0" t="n">
        <v>5.92969</v>
      </c>
    </row>
    <row r="480" customFormat="false" ht="13.8" hidden="false" customHeight="false" outlineLevel="0" collapsed="false">
      <c r="A480" s="0" t="n">
        <f aca="false">1+A479</f>
        <v>479</v>
      </c>
      <c r="B480" s="0" t="n">
        <v>5.903</v>
      </c>
    </row>
    <row r="481" customFormat="false" ht="13.8" hidden="false" customHeight="false" outlineLevel="0" collapsed="false">
      <c r="A481" s="0" t="n">
        <f aca="false">1+A480</f>
        <v>480</v>
      </c>
      <c r="B481" s="0" t="n">
        <v>5.87927</v>
      </c>
    </row>
    <row r="482" customFormat="false" ht="13.8" hidden="false" customHeight="false" outlineLevel="0" collapsed="false">
      <c r="A482" s="0" t="n">
        <f aca="false">1+A481</f>
        <v>481</v>
      </c>
      <c r="B482" s="0" t="n">
        <v>5.85976</v>
      </c>
    </row>
    <row r="483" customFormat="false" ht="13.8" hidden="false" customHeight="false" outlineLevel="0" collapsed="false">
      <c r="A483" s="0" t="n">
        <f aca="false">1+A482</f>
        <v>482</v>
      </c>
      <c r="B483" s="0" t="n">
        <v>5.84003</v>
      </c>
    </row>
    <row r="484" customFormat="false" ht="13.8" hidden="false" customHeight="false" outlineLevel="0" collapsed="false">
      <c r="A484" s="0" t="n">
        <f aca="false">1+A483</f>
        <v>483</v>
      </c>
      <c r="B484" s="0" t="n">
        <v>5.81578</v>
      </c>
    </row>
    <row r="485" customFormat="false" ht="13.8" hidden="false" customHeight="false" outlineLevel="0" collapsed="false">
      <c r="A485" s="0" t="n">
        <f aca="false">1+A484</f>
        <v>484</v>
      </c>
      <c r="B485" s="0" t="n">
        <v>5.80287</v>
      </c>
    </row>
    <row r="486" customFormat="false" ht="13.8" hidden="false" customHeight="false" outlineLevel="0" collapsed="false">
      <c r="A486" s="0" t="n">
        <f aca="false">1+A485</f>
        <v>485</v>
      </c>
      <c r="B486" s="0" t="n">
        <v>5.78323</v>
      </c>
    </row>
    <row r="487" customFormat="false" ht="13.8" hidden="false" customHeight="false" outlineLevel="0" collapsed="false">
      <c r="A487" s="0" t="n">
        <f aca="false">1+A486</f>
        <v>486</v>
      </c>
      <c r="B487" s="0" t="n">
        <v>5.7578</v>
      </c>
    </row>
    <row r="488" customFormat="false" ht="13.8" hidden="false" customHeight="false" outlineLevel="0" collapsed="false">
      <c r="A488" s="0" t="n">
        <f aca="false">1+A487</f>
        <v>487</v>
      </c>
      <c r="B488" s="0" t="n">
        <v>5.74683</v>
      </c>
    </row>
    <row r="489" customFormat="false" ht="13.8" hidden="false" customHeight="false" outlineLevel="0" collapsed="false">
      <c r="A489" s="0" t="n">
        <f aca="false">1+A488</f>
        <v>488</v>
      </c>
      <c r="B489" s="0" t="n">
        <v>5.73966</v>
      </c>
    </row>
    <row r="490" customFormat="false" ht="13.8" hidden="false" customHeight="false" outlineLevel="0" collapsed="false">
      <c r="A490" s="0" t="n">
        <f aca="false">1+A489</f>
        <v>489</v>
      </c>
      <c r="B490" s="0" t="n">
        <v>5.72717</v>
      </c>
    </row>
    <row r="491" customFormat="false" ht="13.8" hidden="false" customHeight="false" outlineLevel="0" collapsed="false">
      <c r="A491" s="0" t="n">
        <f aca="false">1+A490</f>
        <v>490</v>
      </c>
      <c r="B491" s="0" t="n">
        <v>5.71473</v>
      </c>
    </row>
    <row r="492" customFormat="false" ht="13.8" hidden="false" customHeight="false" outlineLevel="0" collapsed="false">
      <c r="A492" s="0" t="n">
        <f aca="false">1+A491</f>
        <v>491</v>
      </c>
      <c r="B492" s="0" t="n">
        <v>5.70345</v>
      </c>
    </row>
    <row r="493" customFormat="false" ht="13.8" hidden="false" customHeight="false" outlineLevel="0" collapsed="false">
      <c r="A493" s="0" t="n">
        <f aca="false">1+A492</f>
        <v>492</v>
      </c>
      <c r="B493" s="0" t="n">
        <v>5.67812</v>
      </c>
    </row>
    <row r="494" customFormat="false" ht="13.8" hidden="false" customHeight="false" outlineLevel="0" collapsed="false">
      <c r="A494" s="0" t="n">
        <f aca="false">1+A493</f>
        <v>493</v>
      </c>
      <c r="B494" s="0" t="n">
        <v>5.66633</v>
      </c>
    </row>
    <row r="495" customFormat="false" ht="13.8" hidden="false" customHeight="false" outlineLevel="0" collapsed="false">
      <c r="A495" s="0" t="n">
        <f aca="false">1+A494</f>
        <v>494</v>
      </c>
      <c r="B495" s="0" t="n">
        <v>5.62745</v>
      </c>
    </row>
    <row r="496" customFormat="false" ht="13.8" hidden="false" customHeight="false" outlineLevel="0" collapsed="false">
      <c r="A496" s="0" t="n">
        <f aca="false">1+A495</f>
        <v>495</v>
      </c>
      <c r="B496" s="0" t="n">
        <v>5.61684</v>
      </c>
    </row>
    <row r="497" customFormat="false" ht="13.8" hidden="false" customHeight="false" outlineLevel="0" collapsed="false">
      <c r="A497" s="0" t="n">
        <f aca="false">1+A496</f>
        <v>496</v>
      </c>
      <c r="B497" s="0" t="n">
        <v>5.60971</v>
      </c>
    </row>
    <row r="498" customFormat="false" ht="13.8" hidden="false" customHeight="false" outlineLevel="0" collapsed="false">
      <c r="A498" s="0" t="n">
        <f aca="false">1+A497</f>
        <v>497</v>
      </c>
      <c r="B498" s="0" t="n">
        <v>5.58555</v>
      </c>
    </row>
    <row r="499" customFormat="false" ht="13.8" hidden="false" customHeight="false" outlineLevel="0" collapsed="false">
      <c r="A499" s="0" t="n">
        <f aca="false">1+A498</f>
        <v>498</v>
      </c>
      <c r="B499" s="0" t="n">
        <v>5.57527</v>
      </c>
    </row>
    <row r="500" customFormat="false" ht="13.8" hidden="false" customHeight="false" outlineLevel="0" collapsed="false">
      <c r="A500" s="0" t="n">
        <f aca="false">1+A499</f>
        <v>499</v>
      </c>
      <c r="B500" s="0" t="n">
        <v>5.55065</v>
      </c>
    </row>
    <row r="501" customFormat="false" ht="13.8" hidden="false" customHeight="false" outlineLevel="0" collapsed="false">
      <c r="A501" s="0" t="n">
        <f aca="false">1+A500</f>
        <v>500</v>
      </c>
      <c r="B501" s="0" t="n">
        <v>5.54181</v>
      </c>
    </row>
    <row r="502" customFormat="false" ht="13.8" hidden="false" customHeight="false" outlineLevel="0" collapsed="false">
      <c r="A502" s="0" t="n">
        <f aca="false">1+A501</f>
        <v>501</v>
      </c>
      <c r="B502" s="0" t="n">
        <v>5.52837</v>
      </c>
    </row>
    <row r="503" customFormat="false" ht="13.8" hidden="false" customHeight="false" outlineLevel="0" collapsed="false">
      <c r="A503" s="0" t="n">
        <f aca="false">1+A502</f>
        <v>502</v>
      </c>
      <c r="B503" s="0" t="n">
        <v>5.5063</v>
      </c>
    </row>
    <row r="504" customFormat="false" ht="13.8" hidden="false" customHeight="false" outlineLevel="0" collapsed="false">
      <c r="A504" s="0" t="n">
        <f aca="false">1+A503</f>
        <v>503</v>
      </c>
      <c r="B504" s="0" t="n">
        <v>5.48358</v>
      </c>
    </row>
    <row r="505" customFormat="false" ht="13.8" hidden="false" customHeight="false" outlineLevel="0" collapsed="false">
      <c r="A505" s="0" t="n">
        <f aca="false">1+A504</f>
        <v>504</v>
      </c>
      <c r="B505" s="0" t="n">
        <v>5.45201</v>
      </c>
    </row>
    <row r="506" customFormat="false" ht="13.8" hidden="false" customHeight="false" outlineLevel="0" collapsed="false">
      <c r="A506" s="0" t="n">
        <f aca="false">1+A505</f>
        <v>505</v>
      </c>
      <c r="B506" s="0" t="n">
        <v>5.43527</v>
      </c>
    </row>
    <row r="507" customFormat="false" ht="13.8" hidden="false" customHeight="false" outlineLevel="0" collapsed="false">
      <c r="A507" s="0" t="n">
        <f aca="false">1+A506</f>
        <v>506</v>
      </c>
      <c r="B507" s="0" t="n">
        <v>5.3999</v>
      </c>
    </row>
    <row r="508" customFormat="false" ht="13.8" hidden="false" customHeight="false" outlineLevel="0" collapsed="false">
      <c r="A508" s="0" t="n">
        <f aca="false">1+A507</f>
        <v>507</v>
      </c>
      <c r="B508" s="0" t="n">
        <v>5.38761</v>
      </c>
    </row>
    <row r="509" customFormat="false" ht="13.8" hidden="false" customHeight="false" outlineLevel="0" collapsed="false">
      <c r="A509" s="0" t="n">
        <f aca="false">1+A508</f>
        <v>508</v>
      </c>
      <c r="B509" s="0" t="n">
        <v>5.38174</v>
      </c>
    </row>
    <row r="510" customFormat="false" ht="13.8" hidden="false" customHeight="false" outlineLevel="0" collapsed="false">
      <c r="A510" s="0" t="n">
        <f aca="false">1+A509</f>
        <v>509</v>
      </c>
      <c r="B510" s="0" t="n">
        <v>5.38183</v>
      </c>
    </row>
    <row r="511" customFormat="false" ht="13.8" hidden="false" customHeight="false" outlineLevel="0" collapsed="false">
      <c r="A511" s="0" t="n">
        <f aca="false">1+A510</f>
        <v>510</v>
      </c>
      <c r="B511" s="0" t="n">
        <v>5.37285</v>
      </c>
    </row>
    <row r="512" customFormat="false" ht="13.8" hidden="false" customHeight="false" outlineLevel="0" collapsed="false">
      <c r="A512" s="0" t="n">
        <f aca="false">1+A511</f>
        <v>511</v>
      </c>
      <c r="B512" s="0" t="n">
        <v>5.36091</v>
      </c>
    </row>
    <row r="513" customFormat="false" ht="13.8" hidden="false" customHeight="false" outlineLevel="0" collapsed="false">
      <c r="A513" s="0" t="n">
        <f aca="false">1+A512</f>
        <v>512</v>
      </c>
      <c r="B513" s="0" t="n">
        <v>5.35305</v>
      </c>
    </row>
    <row r="514" customFormat="false" ht="13.8" hidden="false" customHeight="false" outlineLevel="0" collapsed="false">
      <c r="A514" s="0" t="n">
        <f aca="false">1+A513</f>
        <v>513</v>
      </c>
      <c r="B514" s="0" t="n">
        <v>5.33075</v>
      </c>
    </row>
    <row r="515" customFormat="false" ht="13.8" hidden="false" customHeight="false" outlineLevel="0" collapsed="false">
      <c r="A515" s="0" t="n">
        <f aca="false">1+A514</f>
        <v>514</v>
      </c>
      <c r="B515" s="0" t="n">
        <v>5.31356</v>
      </c>
    </row>
    <row r="516" customFormat="false" ht="13.8" hidden="false" customHeight="false" outlineLevel="0" collapsed="false">
      <c r="A516" s="0" t="n">
        <f aca="false">1+A515</f>
        <v>515</v>
      </c>
      <c r="B516" s="0" t="n">
        <v>5.30088</v>
      </c>
    </row>
    <row r="517" customFormat="false" ht="13.8" hidden="false" customHeight="false" outlineLevel="0" collapsed="false">
      <c r="A517" s="0" t="n">
        <f aca="false">1+A516</f>
        <v>516</v>
      </c>
      <c r="B517" s="0" t="n">
        <v>5.29028</v>
      </c>
    </row>
    <row r="518" customFormat="false" ht="13.8" hidden="false" customHeight="false" outlineLevel="0" collapsed="false">
      <c r="A518" s="0" t="n">
        <f aca="false">1+A517</f>
        <v>517</v>
      </c>
      <c r="B518" s="0" t="n">
        <v>5.26808</v>
      </c>
    </row>
    <row r="519" customFormat="false" ht="13.8" hidden="false" customHeight="false" outlineLevel="0" collapsed="false">
      <c r="A519" s="0" t="n">
        <f aca="false">1+A518</f>
        <v>518</v>
      </c>
      <c r="B519" s="0" t="n">
        <v>5.25766</v>
      </c>
    </row>
    <row r="520" customFormat="false" ht="13.8" hidden="false" customHeight="false" outlineLevel="0" collapsed="false">
      <c r="A520" s="0" t="n">
        <f aca="false">1+A519</f>
        <v>519</v>
      </c>
      <c r="B520" s="0" t="n">
        <v>5.24525</v>
      </c>
    </row>
    <row r="521" customFormat="false" ht="13.8" hidden="false" customHeight="false" outlineLevel="0" collapsed="false">
      <c r="A521" s="0" t="n">
        <f aca="false">1+A520</f>
        <v>520</v>
      </c>
      <c r="B521" s="0" t="n">
        <v>5.22673</v>
      </c>
    </row>
    <row r="522" customFormat="false" ht="13.8" hidden="false" customHeight="false" outlineLevel="0" collapsed="false">
      <c r="A522" s="0" t="n">
        <f aca="false">1+A521</f>
        <v>521</v>
      </c>
      <c r="B522" s="0" t="n">
        <v>5.21624</v>
      </c>
    </row>
    <row r="523" customFormat="false" ht="13.8" hidden="false" customHeight="false" outlineLevel="0" collapsed="false">
      <c r="A523" s="0" t="n">
        <f aca="false">1+A522</f>
        <v>522</v>
      </c>
      <c r="B523" s="0" t="n">
        <v>5.1906</v>
      </c>
    </row>
    <row r="524" customFormat="false" ht="13.8" hidden="false" customHeight="false" outlineLevel="0" collapsed="false">
      <c r="A524" s="0" t="n">
        <f aca="false">1+A523</f>
        <v>523</v>
      </c>
      <c r="B524" s="0" t="n">
        <v>5.16267</v>
      </c>
    </row>
    <row r="525" customFormat="false" ht="13.8" hidden="false" customHeight="false" outlineLevel="0" collapsed="false">
      <c r="A525" s="0" t="n">
        <f aca="false">1+A524</f>
        <v>524</v>
      </c>
      <c r="B525" s="0" t="n">
        <v>5.15308</v>
      </c>
    </row>
    <row r="526" customFormat="false" ht="13.8" hidden="false" customHeight="false" outlineLevel="0" collapsed="false">
      <c r="A526" s="0" t="n">
        <f aca="false">1+A525</f>
        <v>525</v>
      </c>
      <c r="B526" s="0" t="n">
        <v>5.14952</v>
      </c>
    </row>
    <row r="527" customFormat="false" ht="13.8" hidden="false" customHeight="false" outlineLevel="0" collapsed="false">
      <c r="A527" s="0" t="n">
        <f aca="false">1+A526</f>
        <v>526</v>
      </c>
      <c r="B527" s="0" t="n">
        <v>5.1284</v>
      </c>
    </row>
    <row r="528" customFormat="false" ht="13.8" hidden="false" customHeight="false" outlineLevel="0" collapsed="false">
      <c r="A528" s="0" t="n">
        <f aca="false">1+A527</f>
        <v>527</v>
      </c>
      <c r="B528" s="0" t="n">
        <v>5.12498</v>
      </c>
    </row>
    <row r="529" customFormat="false" ht="13.8" hidden="false" customHeight="false" outlineLevel="0" collapsed="false">
      <c r="A529" s="0" t="n">
        <f aca="false">1+A528</f>
        <v>528</v>
      </c>
      <c r="B529" s="0" t="n">
        <v>5.10988</v>
      </c>
    </row>
    <row r="530" customFormat="false" ht="13.8" hidden="false" customHeight="false" outlineLevel="0" collapsed="false">
      <c r="A530" s="0" t="n">
        <f aca="false">1+A529</f>
        <v>529</v>
      </c>
      <c r="B530" s="0" t="n">
        <v>5.09138</v>
      </c>
    </row>
    <row r="531" customFormat="false" ht="13.8" hidden="false" customHeight="false" outlineLevel="0" collapsed="false">
      <c r="A531" s="0" t="n">
        <f aca="false">1+A530</f>
        <v>530</v>
      </c>
      <c r="B531" s="0" t="n">
        <v>5.08341</v>
      </c>
    </row>
    <row r="532" customFormat="false" ht="13.8" hidden="false" customHeight="false" outlineLevel="0" collapsed="false">
      <c r="A532" s="0" t="n">
        <f aca="false">1+A531</f>
        <v>531</v>
      </c>
      <c r="B532" s="0" t="n">
        <v>5.072</v>
      </c>
    </row>
    <row r="533" customFormat="false" ht="13.8" hidden="false" customHeight="false" outlineLevel="0" collapsed="false">
      <c r="A533" s="0" t="n">
        <f aca="false">1+A532</f>
        <v>532</v>
      </c>
      <c r="B533" s="0" t="n">
        <v>5.06547</v>
      </c>
    </row>
    <row r="534" customFormat="false" ht="13.8" hidden="false" customHeight="false" outlineLevel="0" collapsed="false">
      <c r="A534" s="0" t="n">
        <f aca="false">1+A533</f>
        <v>533</v>
      </c>
      <c r="B534" s="0" t="n">
        <v>5.05632</v>
      </c>
    </row>
    <row r="535" customFormat="false" ht="13.8" hidden="false" customHeight="false" outlineLevel="0" collapsed="false">
      <c r="A535" s="0" t="n">
        <f aca="false">1+A534</f>
        <v>534</v>
      </c>
      <c r="B535" s="0" t="n">
        <v>5.03917</v>
      </c>
    </row>
    <row r="536" customFormat="false" ht="13.8" hidden="false" customHeight="false" outlineLevel="0" collapsed="false">
      <c r="A536" s="0" t="n">
        <f aca="false">1+A535</f>
        <v>535</v>
      </c>
      <c r="B536" s="0" t="n">
        <v>5.03069</v>
      </c>
    </row>
    <row r="537" customFormat="false" ht="13.8" hidden="false" customHeight="false" outlineLevel="0" collapsed="false">
      <c r="A537" s="0" t="n">
        <f aca="false">1+A536</f>
        <v>536</v>
      </c>
      <c r="B537" s="0" t="n">
        <v>5.01979</v>
      </c>
    </row>
    <row r="538" customFormat="false" ht="13.8" hidden="false" customHeight="false" outlineLevel="0" collapsed="false">
      <c r="A538" s="0" t="n">
        <f aca="false">1+A537</f>
        <v>537</v>
      </c>
      <c r="B538" s="0" t="n">
        <v>5.00662</v>
      </c>
    </row>
    <row r="539" customFormat="false" ht="13.8" hidden="false" customHeight="false" outlineLevel="0" collapsed="false">
      <c r="A539" s="0" t="n">
        <f aca="false">1+A538</f>
        <v>538</v>
      </c>
      <c r="B539" s="0" t="n">
        <v>5.00129</v>
      </c>
    </row>
    <row r="540" customFormat="false" ht="13.8" hidden="false" customHeight="false" outlineLevel="0" collapsed="false">
      <c r="A540" s="0" t="n">
        <f aca="false">1+A539</f>
        <v>539</v>
      </c>
      <c r="B540" s="0" t="n">
        <v>4.99835</v>
      </c>
    </row>
    <row r="541" customFormat="false" ht="13.8" hidden="false" customHeight="false" outlineLevel="0" collapsed="false">
      <c r="A541" s="0" t="n">
        <f aca="false">1+A540</f>
        <v>540</v>
      </c>
      <c r="B541" s="0" t="n">
        <v>4.98865</v>
      </c>
    </row>
    <row r="542" customFormat="false" ht="13.8" hidden="false" customHeight="false" outlineLevel="0" collapsed="false">
      <c r="A542" s="0" t="n">
        <f aca="false">1+A541</f>
        <v>541</v>
      </c>
      <c r="B542" s="0" t="n">
        <v>4.97995</v>
      </c>
    </row>
    <row r="543" customFormat="false" ht="13.8" hidden="false" customHeight="false" outlineLevel="0" collapsed="false">
      <c r="A543" s="0" t="n">
        <f aca="false">1+A542</f>
        <v>542</v>
      </c>
      <c r="B543" s="0" t="n">
        <v>4.97074</v>
      </c>
    </row>
    <row r="544" customFormat="false" ht="13.8" hidden="false" customHeight="false" outlineLevel="0" collapsed="false">
      <c r="A544" s="0" t="n">
        <f aca="false">1+A543</f>
        <v>543</v>
      </c>
      <c r="B544" s="0" t="n">
        <v>4.95953</v>
      </c>
    </row>
    <row r="545" customFormat="false" ht="13.8" hidden="false" customHeight="false" outlineLevel="0" collapsed="false">
      <c r="A545" s="0" t="n">
        <f aca="false">1+A544</f>
        <v>544</v>
      </c>
      <c r="B545" s="0" t="n">
        <v>4.95011</v>
      </c>
    </row>
    <row r="546" customFormat="false" ht="13.8" hidden="false" customHeight="false" outlineLevel="0" collapsed="false">
      <c r="A546" s="0" t="n">
        <f aca="false">1+A545</f>
        <v>545</v>
      </c>
      <c r="B546" s="0" t="n">
        <v>4.9467</v>
      </c>
    </row>
    <row r="547" customFormat="false" ht="13.8" hidden="false" customHeight="false" outlineLevel="0" collapsed="false">
      <c r="A547" s="0" t="n">
        <f aca="false">1+A546</f>
        <v>546</v>
      </c>
      <c r="B547" s="0" t="n">
        <v>4.92936</v>
      </c>
    </row>
    <row r="548" customFormat="false" ht="13.8" hidden="false" customHeight="false" outlineLevel="0" collapsed="false">
      <c r="A548" s="0" t="n">
        <f aca="false">1+A547</f>
        <v>547</v>
      </c>
      <c r="B548" s="0" t="n">
        <v>4.91991</v>
      </c>
    </row>
    <row r="549" customFormat="false" ht="13.8" hidden="false" customHeight="false" outlineLevel="0" collapsed="false">
      <c r="A549" s="0" t="n">
        <f aca="false">1+A548</f>
        <v>548</v>
      </c>
      <c r="B549" s="0" t="n">
        <v>4.9134</v>
      </c>
    </row>
    <row r="550" customFormat="false" ht="13.8" hidden="false" customHeight="false" outlineLevel="0" collapsed="false">
      <c r="A550" s="0" t="n">
        <f aca="false">1+A549</f>
        <v>549</v>
      </c>
      <c r="B550" s="0" t="n">
        <v>4.90729</v>
      </c>
    </row>
    <row r="551" customFormat="false" ht="13.8" hidden="false" customHeight="false" outlineLevel="0" collapsed="false">
      <c r="A551" s="0" t="n">
        <f aca="false">1+A550</f>
        <v>550</v>
      </c>
      <c r="B551" s="0" t="n">
        <v>4.89309</v>
      </c>
    </row>
    <row r="552" customFormat="false" ht="13.8" hidden="false" customHeight="false" outlineLevel="0" collapsed="false">
      <c r="A552" s="0" t="n">
        <f aca="false">1+A551</f>
        <v>551</v>
      </c>
      <c r="B552" s="0" t="n">
        <v>4.88508</v>
      </c>
    </row>
    <row r="553" customFormat="false" ht="13.8" hidden="false" customHeight="false" outlineLevel="0" collapsed="false">
      <c r="A553" s="0" t="n">
        <f aca="false">1+A552</f>
        <v>552</v>
      </c>
      <c r="B553" s="0" t="n">
        <v>4.87092</v>
      </c>
    </row>
    <row r="554" customFormat="false" ht="13.8" hidden="false" customHeight="false" outlineLevel="0" collapsed="false">
      <c r="A554" s="0" t="n">
        <f aca="false">1+A553</f>
        <v>553</v>
      </c>
      <c r="B554" s="0" t="n">
        <v>4.86985</v>
      </c>
    </row>
    <row r="555" customFormat="false" ht="13.8" hidden="false" customHeight="false" outlineLevel="0" collapsed="false">
      <c r="A555" s="0" t="n">
        <f aca="false">1+A554</f>
        <v>554</v>
      </c>
      <c r="B555" s="0" t="n">
        <v>4.84313</v>
      </c>
    </row>
    <row r="556" customFormat="false" ht="13.8" hidden="false" customHeight="false" outlineLevel="0" collapsed="false">
      <c r="A556" s="0" t="n">
        <f aca="false">1+A555</f>
        <v>555</v>
      </c>
      <c r="B556" s="0" t="n">
        <v>4.83618</v>
      </c>
    </row>
    <row r="557" customFormat="false" ht="13.8" hidden="false" customHeight="false" outlineLevel="0" collapsed="false">
      <c r="A557" s="0" t="n">
        <f aca="false">1+A556</f>
        <v>556</v>
      </c>
      <c r="B557" s="0" t="n">
        <v>4.83379</v>
      </c>
    </row>
    <row r="558" customFormat="false" ht="13.8" hidden="false" customHeight="false" outlineLevel="0" collapsed="false">
      <c r="A558" s="0" t="n">
        <f aca="false">1+A557</f>
        <v>557</v>
      </c>
      <c r="B558" s="0" t="n">
        <v>4.82425</v>
      </c>
    </row>
    <row r="559" customFormat="false" ht="13.8" hidden="false" customHeight="false" outlineLevel="0" collapsed="false">
      <c r="A559" s="0" t="n">
        <f aca="false">1+A558</f>
        <v>558</v>
      </c>
      <c r="B559" s="0" t="n">
        <v>4.8071</v>
      </c>
    </row>
    <row r="560" customFormat="false" ht="13.8" hidden="false" customHeight="false" outlineLevel="0" collapsed="false">
      <c r="A560" s="0" t="n">
        <f aca="false">1+A559</f>
        <v>559</v>
      </c>
      <c r="B560" s="0" t="n">
        <v>4.78773</v>
      </c>
    </row>
    <row r="561" customFormat="false" ht="13.8" hidden="false" customHeight="false" outlineLevel="0" collapsed="false">
      <c r="A561" s="0" t="n">
        <f aca="false">1+A560</f>
        <v>560</v>
      </c>
      <c r="B561" s="0" t="n">
        <v>4.76184</v>
      </c>
    </row>
    <row r="562" customFormat="false" ht="13.8" hidden="false" customHeight="false" outlineLevel="0" collapsed="false">
      <c r="A562" s="0" t="n">
        <f aca="false">1+A561</f>
        <v>561</v>
      </c>
      <c r="B562" s="0" t="n">
        <v>4.74447</v>
      </c>
    </row>
    <row r="563" customFormat="false" ht="13.8" hidden="false" customHeight="false" outlineLevel="0" collapsed="false">
      <c r="A563" s="0" t="n">
        <f aca="false">1+A562</f>
        <v>562</v>
      </c>
      <c r="B563" s="0" t="n">
        <v>4.72554</v>
      </c>
    </row>
    <row r="564" customFormat="false" ht="13.8" hidden="false" customHeight="false" outlineLevel="0" collapsed="false">
      <c r="A564" s="0" t="n">
        <f aca="false">1+A563</f>
        <v>563</v>
      </c>
      <c r="B564" s="0" t="n">
        <v>4.71029</v>
      </c>
    </row>
    <row r="565" customFormat="false" ht="13.8" hidden="false" customHeight="false" outlineLevel="0" collapsed="false">
      <c r="A565" s="0" t="n">
        <f aca="false">1+A564</f>
        <v>564</v>
      </c>
      <c r="B565" s="0" t="n">
        <v>4.69461</v>
      </c>
    </row>
    <row r="566" customFormat="false" ht="13.8" hidden="false" customHeight="false" outlineLevel="0" collapsed="false">
      <c r="A566" s="0" t="n">
        <f aca="false">1+A565</f>
        <v>565</v>
      </c>
      <c r="B566" s="0" t="n">
        <v>4.68531</v>
      </c>
    </row>
    <row r="567" customFormat="false" ht="13.8" hidden="false" customHeight="false" outlineLevel="0" collapsed="false">
      <c r="A567" s="0" t="n">
        <f aca="false">1+A566</f>
        <v>566</v>
      </c>
      <c r="B567" s="0" t="n">
        <v>4.67033</v>
      </c>
    </row>
    <row r="568" customFormat="false" ht="13.8" hidden="false" customHeight="false" outlineLevel="0" collapsed="false">
      <c r="A568" s="0" t="n">
        <f aca="false">1+A567</f>
        <v>567</v>
      </c>
      <c r="B568" s="0" t="n">
        <v>4.66148</v>
      </c>
    </row>
    <row r="569" customFormat="false" ht="13.8" hidden="false" customHeight="false" outlineLevel="0" collapsed="false">
      <c r="A569" s="0" t="n">
        <f aca="false">1+A568</f>
        <v>568</v>
      </c>
      <c r="B569" s="0" t="n">
        <v>4.65015</v>
      </c>
    </row>
    <row r="570" customFormat="false" ht="13.8" hidden="false" customHeight="false" outlineLevel="0" collapsed="false">
      <c r="A570" s="0" t="n">
        <f aca="false">1+A569</f>
        <v>569</v>
      </c>
      <c r="B570" s="0" t="n">
        <v>4.63273</v>
      </c>
    </row>
    <row r="571" customFormat="false" ht="13.8" hidden="false" customHeight="false" outlineLevel="0" collapsed="false">
      <c r="A571" s="0" t="n">
        <f aca="false">1+A570</f>
        <v>570</v>
      </c>
      <c r="B571" s="0" t="n">
        <v>4.62857</v>
      </c>
    </row>
    <row r="572" customFormat="false" ht="13.8" hidden="false" customHeight="false" outlineLevel="0" collapsed="false">
      <c r="A572" s="0" t="n">
        <f aca="false">1+A571</f>
        <v>571</v>
      </c>
      <c r="B572" s="0" t="n">
        <v>4.61996</v>
      </c>
    </row>
    <row r="573" customFormat="false" ht="13.8" hidden="false" customHeight="false" outlineLevel="0" collapsed="false">
      <c r="A573" s="0" t="n">
        <f aca="false">1+A572</f>
        <v>572</v>
      </c>
      <c r="B573" s="0" t="n">
        <v>4.60481</v>
      </c>
    </row>
    <row r="574" customFormat="false" ht="13.8" hidden="false" customHeight="false" outlineLevel="0" collapsed="false">
      <c r="A574" s="0" t="n">
        <f aca="false">1+A573</f>
        <v>573</v>
      </c>
      <c r="B574" s="0" t="n">
        <v>4.59029</v>
      </c>
    </row>
    <row r="575" customFormat="false" ht="13.8" hidden="false" customHeight="false" outlineLevel="0" collapsed="false">
      <c r="A575" s="0" t="n">
        <f aca="false">1+A574</f>
        <v>574</v>
      </c>
      <c r="B575" s="0" t="n">
        <v>4.56895</v>
      </c>
    </row>
    <row r="576" customFormat="false" ht="13.8" hidden="false" customHeight="false" outlineLevel="0" collapsed="false">
      <c r="A576" s="0" t="n">
        <f aca="false">1+A575</f>
        <v>575</v>
      </c>
      <c r="B576" s="0" t="n">
        <v>4.56445</v>
      </c>
    </row>
    <row r="577" customFormat="false" ht="13.8" hidden="false" customHeight="false" outlineLevel="0" collapsed="false">
      <c r="A577" s="0" t="n">
        <f aca="false">1+A576</f>
        <v>576</v>
      </c>
      <c r="B577" s="0" t="n">
        <v>4.56602</v>
      </c>
    </row>
    <row r="578" customFormat="false" ht="13.8" hidden="false" customHeight="false" outlineLevel="0" collapsed="false">
      <c r="A578" s="0" t="n">
        <f aca="false">1+A577</f>
        <v>577</v>
      </c>
      <c r="B578" s="0" t="n">
        <v>4.56889</v>
      </c>
    </row>
    <row r="579" customFormat="false" ht="13.8" hidden="false" customHeight="false" outlineLevel="0" collapsed="false">
      <c r="A579" s="0" t="n">
        <f aca="false">1+A578</f>
        <v>578</v>
      </c>
      <c r="B579" s="0" t="n">
        <v>4.55596</v>
      </c>
    </row>
    <row r="580" customFormat="false" ht="13.8" hidden="false" customHeight="false" outlineLevel="0" collapsed="false">
      <c r="A580" s="0" t="n">
        <f aca="false">1+A579</f>
        <v>579</v>
      </c>
      <c r="B580" s="0" t="n">
        <v>4.54484</v>
      </c>
    </row>
    <row r="581" customFormat="false" ht="13.8" hidden="false" customHeight="false" outlineLevel="0" collapsed="false">
      <c r="A581" s="0" t="n">
        <f aca="false">1+A580</f>
        <v>580</v>
      </c>
      <c r="B581" s="0" t="n">
        <v>4.53776</v>
      </c>
    </row>
    <row r="582" customFormat="false" ht="13.8" hidden="false" customHeight="false" outlineLevel="0" collapsed="false">
      <c r="A582" s="0" t="n">
        <f aca="false">1+A581</f>
        <v>581</v>
      </c>
      <c r="B582" s="0" t="n">
        <v>4.52157</v>
      </c>
    </row>
    <row r="583" customFormat="false" ht="13.8" hidden="false" customHeight="false" outlineLevel="0" collapsed="false">
      <c r="A583" s="0" t="n">
        <f aca="false">1+A582</f>
        <v>582</v>
      </c>
      <c r="B583" s="0" t="n">
        <v>4.50789</v>
      </c>
    </row>
    <row r="584" customFormat="false" ht="13.8" hidden="false" customHeight="false" outlineLevel="0" collapsed="false">
      <c r="A584" s="0" t="n">
        <f aca="false">1+A583</f>
        <v>583</v>
      </c>
      <c r="B584" s="0" t="n">
        <v>4.49091</v>
      </c>
    </row>
    <row r="585" customFormat="false" ht="13.8" hidden="false" customHeight="false" outlineLevel="0" collapsed="false">
      <c r="A585" s="0" t="n">
        <f aca="false">1+A584</f>
        <v>584</v>
      </c>
      <c r="B585" s="0" t="n">
        <v>4.48303</v>
      </c>
    </row>
    <row r="586" customFormat="false" ht="13.8" hidden="false" customHeight="false" outlineLevel="0" collapsed="false">
      <c r="A586" s="0" t="n">
        <f aca="false">1+A585</f>
        <v>585</v>
      </c>
      <c r="B586" s="0" t="n">
        <v>4.47221</v>
      </c>
    </row>
    <row r="587" customFormat="false" ht="13.8" hidden="false" customHeight="false" outlineLevel="0" collapsed="false">
      <c r="A587" s="0" t="n">
        <f aca="false">1+A586</f>
        <v>586</v>
      </c>
      <c r="B587" s="0" t="n">
        <v>4.46104</v>
      </c>
    </row>
    <row r="588" customFormat="false" ht="13.8" hidden="false" customHeight="false" outlineLevel="0" collapsed="false">
      <c r="A588" s="0" t="n">
        <f aca="false">1+A587</f>
        <v>587</v>
      </c>
      <c r="B588" s="0" t="n">
        <v>4.4481</v>
      </c>
    </row>
    <row r="589" customFormat="false" ht="13.8" hidden="false" customHeight="false" outlineLevel="0" collapsed="false">
      <c r="A589" s="0" t="n">
        <f aca="false">1+A588</f>
        <v>588</v>
      </c>
      <c r="B589" s="0" t="n">
        <v>4.44221</v>
      </c>
    </row>
    <row r="590" customFormat="false" ht="13.8" hidden="false" customHeight="false" outlineLevel="0" collapsed="false">
      <c r="A590" s="0" t="n">
        <f aca="false">1+A589</f>
        <v>589</v>
      </c>
      <c r="B590" s="0" t="n">
        <v>4.43358</v>
      </c>
    </row>
    <row r="591" customFormat="false" ht="13.8" hidden="false" customHeight="false" outlineLevel="0" collapsed="false">
      <c r="A591" s="0" t="n">
        <f aca="false">1+A590</f>
        <v>590</v>
      </c>
      <c r="B591" s="0" t="n">
        <v>4.42481</v>
      </c>
    </row>
    <row r="592" customFormat="false" ht="13.8" hidden="false" customHeight="false" outlineLevel="0" collapsed="false">
      <c r="A592" s="0" t="n">
        <f aca="false">1+A591</f>
        <v>591</v>
      </c>
      <c r="B592" s="0" t="n">
        <v>4.4096</v>
      </c>
    </row>
    <row r="593" customFormat="false" ht="13.8" hidden="false" customHeight="false" outlineLevel="0" collapsed="false">
      <c r="A593" s="0" t="n">
        <f aca="false">1+A592</f>
        <v>592</v>
      </c>
      <c r="B593" s="0" t="n">
        <v>4.39506</v>
      </c>
    </row>
    <row r="594" customFormat="false" ht="13.8" hidden="false" customHeight="false" outlineLevel="0" collapsed="false">
      <c r="A594" s="0" t="n">
        <f aca="false">1+A593</f>
        <v>593</v>
      </c>
      <c r="B594" s="0" t="n">
        <v>4.39813</v>
      </c>
    </row>
    <row r="595" customFormat="false" ht="13.8" hidden="false" customHeight="false" outlineLevel="0" collapsed="false">
      <c r="A595" s="0" t="n">
        <f aca="false">1+A594</f>
        <v>594</v>
      </c>
      <c r="B595" s="0" t="n">
        <v>4.37622</v>
      </c>
    </row>
    <row r="596" customFormat="false" ht="13.8" hidden="false" customHeight="false" outlineLevel="0" collapsed="false">
      <c r="A596" s="0" t="n">
        <f aca="false">1+A595</f>
        <v>595</v>
      </c>
      <c r="B596" s="0" t="n">
        <v>4.36107</v>
      </c>
    </row>
    <row r="597" customFormat="false" ht="13.8" hidden="false" customHeight="false" outlineLevel="0" collapsed="false">
      <c r="A597" s="0" t="n">
        <f aca="false">1+A596</f>
        <v>596</v>
      </c>
      <c r="B597" s="0" t="n">
        <v>4.35277</v>
      </c>
    </row>
    <row r="598" customFormat="false" ht="13.8" hidden="false" customHeight="false" outlineLevel="0" collapsed="false">
      <c r="A598" s="0" t="n">
        <f aca="false">1+A597</f>
        <v>597</v>
      </c>
      <c r="B598" s="0" t="n">
        <v>4.34674</v>
      </c>
    </row>
    <row r="599" customFormat="false" ht="13.8" hidden="false" customHeight="false" outlineLevel="0" collapsed="false">
      <c r="A599" s="0" t="n">
        <f aca="false">1+A598</f>
        <v>598</v>
      </c>
      <c r="B599" s="0" t="n">
        <v>4.34608</v>
      </c>
    </row>
    <row r="600" customFormat="false" ht="13.8" hidden="false" customHeight="false" outlineLevel="0" collapsed="false">
      <c r="A600" s="0" t="n">
        <f aca="false">1+A599</f>
        <v>599</v>
      </c>
      <c r="B600" s="0" t="n">
        <v>4.3303</v>
      </c>
    </row>
    <row r="601" customFormat="false" ht="13.8" hidden="false" customHeight="false" outlineLevel="0" collapsed="false">
      <c r="A601" s="0" t="n">
        <f aca="false">1+A600</f>
        <v>600</v>
      </c>
      <c r="B601" s="0" t="n">
        <v>4.33908</v>
      </c>
    </row>
    <row r="602" customFormat="false" ht="13.8" hidden="false" customHeight="false" outlineLevel="0" collapsed="false">
      <c r="A602" s="0" t="n">
        <f aca="false">1+A601</f>
        <v>601</v>
      </c>
      <c r="B602" s="0" t="n">
        <v>4.33675</v>
      </c>
    </row>
    <row r="603" customFormat="false" ht="13.8" hidden="false" customHeight="false" outlineLevel="0" collapsed="false">
      <c r="A603" s="0" t="n">
        <f aca="false">1+A602</f>
        <v>602</v>
      </c>
      <c r="B603" s="0" t="n">
        <v>4.3288</v>
      </c>
    </row>
    <row r="604" customFormat="false" ht="13.8" hidden="false" customHeight="false" outlineLevel="0" collapsed="false">
      <c r="A604" s="0" t="n">
        <f aca="false">1+A603</f>
        <v>603</v>
      </c>
      <c r="B604" s="0" t="n">
        <v>4.31261</v>
      </c>
    </row>
    <row r="605" customFormat="false" ht="13.8" hidden="false" customHeight="false" outlineLevel="0" collapsed="false">
      <c r="A605" s="0" t="n">
        <f aca="false">1+A604</f>
        <v>604</v>
      </c>
      <c r="B605" s="0" t="n">
        <v>4.31173</v>
      </c>
    </row>
    <row r="606" customFormat="false" ht="13.8" hidden="false" customHeight="false" outlineLevel="0" collapsed="false">
      <c r="A606" s="0" t="n">
        <f aca="false">1+A605</f>
        <v>605</v>
      </c>
      <c r="B606" s="0" t="n">
        <v>4.27881</v>
      </c>
    </row>
    <row r="607" customFormat="false" ht="13.8" hidden="false" customHeight="false" outlineLevel="0" collapsed="false">
      <c r="A607" s="0" t="n">
        <f aca="false">1+A606</f>
        <v>606</v>
      </c>
      <c r="B607" s="0" t="n">
        <v>4.27672</v>
      </c>
    </row>
    <row r="608" customFormat="false" ht="13.8" hidden="false" customHeight="false" outlineLevel="0" collapsed="false">
      <c r="A608" s="0" t="n">
        <f aca="false">1+A607</f>
        <v>607</v>
      </c>
      <c r="B608" s="0" t="n">
        <v>4.25843</v>
      </c>
    </row>
    <row r="609" customFormat="false" ht="13.8" hidden="false" customHeight="false" outlineLevel="0" collapsed="false">
      <c r="A609" s="0" t="n">
        <f aca="false">1+A608</f>
        <v>608</v>
      </c>
      <c r="B609" s="0" t="n">
        <v>4.25287</v>
      </c>
    </row>
    <row r="610" customFormat="false" ht="13.8" hidden="false" customHeight="false" outlineLevel="0" collapsed="false">
      <c r="A610" s="0" t="n">
        <f aca="false">1+A609</f>
        <v>609</v>
      </c>
      <c r="B610" s="0" t="n">
        <v>4.23543</v>
      </c>
    </row>
    <row r="611" customFormat="false" ht="13.8" hidden="false" customHeight="false" outlineLevel="0" collapsed="false">
      <c r="A611" s="0" t="n">
        <f aca="false">1+A610</f>
        <v>610</v>
      </c>
      <c r="B611" s="0" t="n">
        <v>4.22891</v>
      </c>
    </row>
    <row r="612" customFormat="false" ht="13.8" hidden="false" customHeight="false" outlineLevel="0" collapsed="false">
      <c r="A612" s="0" t="n">
        <f aca="false">1+A611</f>
        <v>611</v>
      </c>
      <c r="B612" s="0" t="n">
        <v>4.22269</v>
      </c>
    </row>
    <row r="613" customFormat="false" ht="13.8" hidden="false" customHeight="false" outlineLevel="0" collapsed="false">
      <c r="A613" s="0" t="n">
        <f aca="false">1+A612</f>
        <v>612</v>
      </c>
      <c r="B613" s="0" t="n">
        <v>4.21407</v>
      </c>
    </row>
    <row r="614" customFormat="false" ht="13.8" hidden="false" customHeight="false" outlineLevel="0" collapsed="false">
      <c r="A614" s="0" t="n">
        <f aca="false">1+A613</f>
        <v>613</v>
      </c>
      <c r="B614" s="0" t="n">
        <v>4.19468</v>
      </c>
    </row>
    <row r="615" customFormat="false" ht="13.8" hidden="false" customHeight="false" outlineLevel="0" collapsed="false">
      <c r="A615" s="0" t="n">
        <f aca="false">1+A614</f>
        <v>614</v>
      </c>
      <c r="B615" s="0" t="n">
        <v>4.18675</v>
      </c>
    </row>
    <row r="616" customFormat="false" ht="13.8" hidden="false" customHeight="false" outlineLevel="0" collapsed="false">
      <c r="A616" s="0" t="n">
        <f aca="false">1+A615</f>
        <v>615</v>
      </c>
      <c r="B616" s="0" t="n">
        <v>4.17788</v>
      </c>
    </row>
    <row r="617" customFormat="false" ht="13.8" hidden="false" customHeight="false" outlineLevel="0" collapsed="false">
      <c r="A617" s="0" t="n">
        <f aca="false">1+A616</f>
        <v>616</v>
      </c>
      <c r="B617" s="0" t="n">
        <v>4.16921</v>
      </c>
    </row>
    <row r="618" customFormat="false" ht="13.8" hidden="false" customHeight="false" outlineLevel="0" collapsed="false">
      <c r="A618" s="0" t="n">
        <f aca="false">1+A617</f>
        <v>617</v>
      </c>
      <c r="B618" s="0" t="n">
        <v>4.15797</v>
      </c>
    </row>
    <row r="619" customFormat="false" ht="13.8" hidden="false" customHeight="false" outlineLevel="0" collapsed="false">
      <c r="A619" s="0" t="n">
        <f aca="false">1+A618</f>
        <v>618</v>
      </c>
      <c r="B619" s="0" t="n">
        <v>4.15995</v>
      </c>
    </row>
    <row r="620" customFormat="false" ht="13.8" hidden="false" customHeight="false" outlineLevel="0" collapsed="false">
      <c r="A620" s="0" t="n">
        <f aca="false">1+A619</f>
        <v>619</v>
      </c>
      <c r="B620" s="0" t="n">
        <v>4.16415</v>
      </c>
    </row>
    <row r="621" customFormat="false" ht="13.8" hidden="false" customHeight="false" outlineLevel="0" collapsed="false">
      <c r="A621" s="0" t="n">
        <f aca="false">1+A620</f>
        <v>620</v>
      </c>
      <c r="B621" s="0" t="n">
        <v>4.15371</v>
      </c>
    </row>
    <row r="622" customFormat="false" ht="13.8" hidden="false" customHeight="false" outlineLevel="0" collapsed="false">
      <c r="A622" s="0" t="n">
        <f aca="false">1+A621</f>
        <v>621</v>
      </c>
      <c r="B622" s="0" t="n">
        <v>4.14997</v>
      </c>
    </row>
    <row r="623" customFormat="false" ht="13.8" hidden="false" customHeight="false" outlineLevel="0" collapsed="false">
      <c r="A623" s="0" t="n">
        <f aca="false">1+A622</f>
        <v>622</v>
      </c>
      <c r="B623" s="0" t="n">
        <v>4.13796</v>
      </c>
    </row>
    <row r="624" customFormat="false" ht="13.8" hidden="false" customHeight="false" outlineLevel="0" collapsed="false">
      <c r="A624" s="0" t="n">
        <f aca="false">1+A623</f>
        <v>623</v>
      </c>
      <c r="B624" s="0" t="n">
        <v>4.12178</v>
      </c>
    </row>
    <row r="625" customFormat="false" ht="13.8" hidden="false" customHeight="false" outlineLevel="0" collapsed="false">
      <c r="A625" s="0" t="n">
        <f aca="false">1+A624</f>
        <v>624</v>
      </c>
      <c r="B625" s="0" t="n">
        <v>4.11821</v>
      </c>
    </row>
    <row r="626" customFormat="false" ht="13.8" hidden="false" customHeight="false" outlineLevel="0" collapsed="false">
      <c r="A626" s="0" t="n">
        <f aca="false">1+A625</f>
        <v>625</v>
      </c>
      <c r="B626" s="0" t="n">
        <v>4.10363</v>
      </c>
    </row>
    <row r="627" customFormat="false" ht="13.8" hidden="false" customHeight="false" outlineLevel="0" collapsed="false">
      <c r="A627" s="0" t="n">
        <f aca="false">1+A626</f>
        <v>626</v>
      </c>
      <c r="B627" s="0" t="n">
        <v>4.09371</v>
      </c>
    </row>
    <row r="628" customFormat="false" ht="13.8" hidden="false" customHeight="false" outlineLevel="0" collapsed="false">
      <c r="A628" s="0" t="n">
        <f aca="false">1+A627</f>
        <v>627</v>
      </c>
      <c r="B628" s="0" t="n">
        <v>4.07296</v>
      </c>
    </row>
    <row r="629" customFormat="false" ht="13.8" hidden="false" customHeight="false" outlineLevel="0" collapsed="false">
      <c r="A629" s="0" t="n">
        <f aca="false">1+A628</f>
        <v>628</v>
      </c>
      <c r="B629" s="0" t="n">
        <v>4.0633</v>
      </c>
    </row>
    <row r="630" customFormat="false" ht="13.8" hidden="false" customHeight="false" outlineLevel="0" collapsed="false">
      <c r="A630" s="0" t="n">
        <f aca="false">1+A629</f>
        <v>629</v>
      </c>
      <c r="B630" s="0" t="n">
        <v>4.04951</v>
      </c>
    </row>
    <row r="631" customFormat="false" ht="13.8" hidden="false" customHeight="false" outlineLevel="0" collapsed="false">
      <c r="A631" s="0" t="n">
        <f aca="false">1+A630</f>
        <v>630</v>
      </c>
      <c r="B631" s="0" t="n">
        <v>4.0345</v>
      </c>
    </row>
    <row r="632" customFormat="false" ht="13.8" hidden="false" customHeight="false" outlineLevel="0" collapsed="false">
      <c r="A632" s="0" t="n">
        <f aca="false">1+A631</f>
        <v>631</v>
      </c>
      <c r="B632" s="0" t="n">
        <v>4.02409</v>
      </c>
    </row>
    <row r="633" customFormat="false" ht="13.8" hidden="false" customHeight="false" outlineLevel="0" collapsed="false">
      <c r="A633" s="0" t="n">
        <f aca="false">1+A632</f>
        <v>632</v>
      </c>
      <c r="B633" s="0" t="n">
        <v>4.01813</v>
      </c>
    </row>
    <row r="634" customFormat="false" ht="13.8" hidden="false" customHeight="false" outlineLevel="0" collapsed="false">
      <c r="A634" s="0" t="n">
        <f aca="false">1+A633</f>
        <v>633</v>
      </c>
      <c r="B634" s="0" t="n">
        <v>4.00728</v>
      </c>
    </row>
    <row r="635" customFormat="false" ht="13.8" hidden="false" customHeight="false" outlineLevel="0" collapsed="false">
      <c r="A635" s="0" t="n">
        <f aca="false">1+A634</f>
        <v>634</v>
      </c>
      <c r="B635" s="0" t="n">
        <v>3.98322</v>
      </c>
    </row>
    <row r="636" customFormat="false" ht="13.8" hidden="false" customHeight="false" outlineLevel="0" collapsed="false">
      <c r="A636" s="0" t="n">
        <f aca="false">1+A635</f>
        <v>635</v>
      </c>
      <c r="B636" s="0" t="n">
        <v>3.97536</v>
      </c>
    </row>
    <row r="637" customFormat="false" ht="13.8" hidden="false" customHeight="false" outlineLevel="0" collapsed="false">
      <c r="A637" s="0" t="n">
        <f aca="false">1+A636</f>
        <v>636</v>
      </c>
      <c r="B637" s="0" t="n">
        <v>3.95582</v>
      </c>
    </row>
    <row r="638" customFormat="false" ht="13.8" hidden="false" customHeight="false" outlineLevel="0" collapsed="false">
      <c r="A638" s="0" t="n">
        <f aca="false">1+A637</f>
        <v>637</v>
      </c>
      <c r="B638" s="0" t="n">
        <v>3.94252</v>
      </c>
    </row>
    <row r="639" customFormat="false" ht="13.8" hidden="false" customHeight="false" outlineLevel="0" collapsed="false">
      <c r="A639" s="0" t="n">
        <f aca="false">1+A638</f>
        <v>638</v>
      </c>
      <c r="B639" s="0" t="n">
        <v>3.93845</v>
      </c>
    </row>
    <row r="640" customFormat="false" ht="13.8" hidden="false" customHeight="false" outlineLevel="0" collapsed="false">
      <c r="A640" s="0" t="n">
        <f aca="false">1+A639</f>
        <v>639</v>
      </c>
      <c r="B640" s="0" t="n">
        <v>3.94233</v>
      </c>
    </row>
    <row r="641" customFormat="false" ht="13.8" hidden="false" customHeight="false" outlineLevel="0" collapsed="false">
      <c r="A641" s="0" t="n">
        <f aca="false">1+A640</f>
        <v>640</v>
      </c>
      <c r="B641" s="0" t="n">
        <v>3.93627</v>
      </c>
    </row>
    <row r="642" customFormat="false" ht="13.8" hidden="false" customHeight="false" outlineLevel="0" collapsed="false">
      <c r="A642" s="0" t="n">
        <f aca="false">1+A641</f>
        <v>641</v>
      </c>
      <c r="B642" s="0" t="n">
        <v>3.93215</v>
      </c>
    </row>
    <row r="643" customFormat="false" ht="13.8" hidden="false" customHeight="false" outlineLevel="0" collapsed="false">
      <c r="A643" s="0" t="n">
        <f aca="false">1+A642</f>
        <v>642</v>
      </c>
      <c r="B643" s="0" t="n">
        <v>3.91219</v>
      </c>
    </row>
    <row r="644" customFormat="false" ht="13.8" hidden="false" customHeight="false" outlineLevel="0" collapsed="false">
      <c r="A644" s="0" t="n">
        <f aca="false">1+A643</f>
        <v>643</v>
      </c>
      <c r="B644" s="0" t="n">
        <v>3.91392</v>
      </c>
    </row>
    <row r="645" customFormat="false" ht="13.8" hidden="false" customHeight="false" outlineLevel="0" collapsed="false">
      <c r="A645" s="0" t="n">
        <f aca="false">1+A644</f>
        <v>644</v>
      </c>
      <c r="B645" s="0" t="n">
        <v>3.88608</v>
      </c>
    </row>
    <row r="646" customFormat="false" ht="13.8" hidden="false" customHeight="false" outlineLevel="0" collapsed="false">
      <c r="A646" s="0" t="n">
        <f aca="false">1+A645</f>
        <v>645</v>
      </c>
      <c r="B646" s="0" t="n">
        <v>3.87105</v>
      </c>
    </row>
    <row r="647" customFormat="false" ht="13.8" hidden="false" customHeight="false" outlineLevel="0" collapsed="false">
      <c r="A647" s="0" t="n">
        <f aca="false">1+A646</f>
        <v>646</v>
      </c>
      <c r="B647" s="0" t="n">
        <v>3.86595</v>
      </c>
    </row>
    <row r="648" customFormat="false" ht="13.8" hidden="false" customHeight="false" outlineLevel="0" collapsed="false">
      <c r="A648" s="0" t="n">
        <f aca="false">1+A647</f>
        <v>647</v>
      </c>
      <c r="B648" s="0" t="n">
        <v>3.86495</v>
      </c>
    </row>
    <row r="649" customFormat="false" ht="13.8" hidden="false" customHeight="false" outlineLevel="0" collapsed="false">
      <c r="A649" s="0" t="n">
        <f aca="false">1+A648</f>
        <v>648</v>
      </c>
      <c r="B649" s="0" t="n">
        <v>3.86764</v>
      </c>
    </row>
    <row r="650" customFormat="false" ht="13.8" hidden="false" customHeight="false" outlineLevel="0" collapsed="false">
      <c r="A650" s="0" t="n">
        <f aca="false">1+A649</f>
        <v>649</v>
      </c>
      <c r="B650" s="0" t="n">
        <v>3.85505</v>
      </c>
    </row>
    <row r="651" customFormat="false" ht="13.8" hidden="false" customHeight="false" outlineLevel="0" collapsed="false">
      <c r="A651" s="0" t="n">
        <f aca="false">1+A650</f>
        <v>650</v>
      </c>
      <c r="B651" s="0" t="n">
        <v>3.85441</v>
      </c>
    </row>
    <row r="652" customFormat="false" ht="13.8" hidden="false" customHeight="false" outlineLevel="0" collapsed="false">
      <c r="A652" s="0" t="n">
        <f aca="false">1+A651</f>
        <v>651</v>
      </c>
      <c r="B652" s="0" t="n">
        <v>3.85272</v>
      </c>
    </row>
    <row r="653" customFormat="false" ht="13.8" hidden="false" customHeight="false" outlineLevel="0" collapsed="false">
      <c r="A653" s="0" t="n">
        <f aca="false">1+A652</f>
        <v>652</v>
      </c>
      <c r="B653" s="0" t="n">
        <v>3.84175</v>
      </c>
    </row>
    <row r="654" customFormat="false" ht="13.8" hidden="false" customHeight="false" outlineLevel="0" collapsed="false">
      <c r="A654" s="0" t="n">
        <f aca="false">1+A653</f>
        <v>653</v>
      </c>
      <c r="B654" s="0" t="n">
        <v>3.83711</v>
      </c>
    </row>
    <row r="655" customFormat="false" ht="13.8" hidden="false" customHeight="false" outlineLevel="0" collapsed="false">
      <c r="A655" s="0" t="n">
        <f aca="false">1+A654</f>
        <v>654</v>
      </c>
      <c r="B655" s="0" t="n">
        <v>3.81709</v>
      </c>
    </row>
    <row r="656" customFormat="false" ht="13.8" hidden="false" customHeight="false" outlineLevel="0" collapsed="false">
      <c r="A656" s="0" t="n">
        <f aca="false">1+A655</f>
        <v>655</v>
      </c>
      <c r="B656" s="0" t="n">
        <v>3.80526</v>
      </c>
    </row>
    <row r="657" customFormat="false" ht="13.8" hidden="false" customHeight="false" outlineLevel="0" collapsed="false">
      <c r="A657" s="0" t="n">
        <f aca="false">1+A656</f>
        <v>656</v>
      </c>
      <c r="B657" s="0" t="n">
        <v>3.8034</v>
      </c>
    </row>
    <row r="658" customFormat="false" ht="13.8" hidden="false" customHeight="false" outlineLevel="0" collapsed="false">
      <c r="A658" s="0" t="n">
        <f aca="false">1+A657</f>
        <v>657</v>
      </c>
      <c r="B658" s="0" t="n">
        <v>3.80589</v>
      </c>
    </row>
    <row r="659" customFormat="false" ht="13.8" hidden="false" customHeight="false" outlineLevel="0" collapsed="false">
      <c r="A659" s="0" t="n">
        <f aca="false">1+A658</f>
        <v>658</v>
      </c>
      <c r="B659" s="0" t="n">
        <v>3.79189</v>
      </c>
    </row>
    <row r="660" customFormat="false" ht="13.8" hidden="false" customHeight="false" outlineLevel="0" collapsed="false">
      <c r="A660" s="0" t="n">
        <f aca="false">1+A659</f>
        <v>659</v>
      </c>
      <c r="B660" s="0" t="n">
        <v>3.777</v>
      </c>
    </row>
    <row r="661" customFormat="false" ht="13.8" hidden="false" customHeight="false" outlineLevel="0" collapsed="false">
      <c r="A661" s="0" t="n">
        <f aca="false">1+A660</f>
        <v>660</v>
      </c>
      <c r="B661" s="0" t="n">
        <v>3.76427</v>
      </c>
    </row>
    <row r="662" customFormat="false" ht="13.8" hidden="false" customHeight="false" outlineLevel="0" collapsed="false">
      <c r="A662" s="0" t="n">
        <f aca="false">1+A661</f>
        <v>661</v>
      </c>
      <c r="B662" s="0" t="n">
        <v>3.75238</v>
      </c>
    </row>
    <row r="663" customFormat="false" ht="13.8" hidden="false" customHeight="false" outlineLevel="0" collapsed="false">
      <c r="A663" s="0" t="n">
        <f aca="false">1+A662</f>
        <v>662</v>
      </c>
      <c r="B663" s="0" t="n">
        <v>3.72886</v>
      </c>
    </row>
    <row r="664" customFormat="false" ht="13.8" hidden="false" customHeight="false" outlineLevel="0" collapsed="false">
      <c r="A664" s="0" t="n">
        <f aca="false">1+A663</f>
        <v>663</v>
      </c>
      <c r="B664" s="0" t="n">
        <v>3.72395</v>
      </c>
    </row>
    <row r="665" customFormat="false" ht="13.8" hidden="false" customHeight="false" outlineLevel="0" collapsed="false">
      <c r="A665" s="0" t="n">
        <f aca="false">1+A664</f>
        <v>664</v>
      </c>
      <c r="B665" s="0" t="n">
        <v>3.71752</v>
      </c>
    </row>
    <row r="666" customFormat="false" ht="13.8" hidden="false" customHeight="false" outlineLevel="0" collapsed="false">
      <c r="A666" s="0" t="n">
        <f aca="false">1+A665</f>
        <v>665</v>
      </c>
      <c r="B666" s="0" t="n">
        <v>3.70782</v>
      </c>
    </row>
    <row r="667" customFormat="false" ht="13.8" hidden="false" customHeight="false" outlineLevel="0" collapsed="false">
      <c r="A667" s="0" t="n">
        <f aca="false">1+A666</f>
        <v>666</v>
      </c>
      <c r="B667" s="0" t="n">
        <v>3.68477</v>
      </c>
    </row>
    <row r="668" customFormat="false" ht="13.8" hidden="false" customHeight="false" outlineLevel="0" collapsed="false">
      <c r="A668" s="0" t="n">
        <f aca="false">1+A667</f>
        <v>667</v>
      </c>
      <c r="B668" s="0" t="n">
        <v>3.67293</v>
      </c>
    </row>
    <row r="669" customFormat="false" ht="13.8" hidden="false" customHeight="false" outlineLevel="0" collapsed="false">
      <c r="A669" s="0" t="n">
        <f aca="false">1+A668</f>
        <v>668</v>
      </c>
      <c r="B669" s="0" t="n">
        <v>3.67477</v>
      </c>
    </row>
    <row r="670" customFormat="false" ht="13.8" hidden="false" customHeight="false" outlineLevel="0" collapsed="false">
      <c r="A670" s="0" t="n">
        <f aca="false">1+A669</f>
        <v>669</v>
      </c>
      <c r="B670" s="0" t="n">
        <v>3.66248</v>
      </c>
    </row>
    <row r="671" customFormat="false" ht="13.8" hidden="false" customHeight="false" outlineLevel="0" collapsed="false">
      <c r="A671" s="0" t="n">
        <f aca="false">1+A670</f>
        <v>670</v>
      </c>
      <c r="B671" s="0" t="n">
        <v>3.6452</v>
      </c>
    </row>
    <row r="672" customFormat="false" ht="13.8" hidden="false" customHeight="false" outlineLevel="0" collapsed="false">
      <c r="A672" s="0" t="n">
        <f aca="false">1+A671</f>
        <v>671</v>
      </c>
      <c r="B672" s="0" t="n">
        <v>3.61264</v>
      </c>
    </row>
    <row r="673" customFormat="false" ht="13.8" hidden="false" customHeight="false" outlineLevel="0" collapsed="false">
      <c r="A673" s="0" t="n">
        <f aca="false">1+A672</f>
        <v>672</v>
      </c>
      <c r="B673" s="0" t="n">
        <v>3.61343</v>
      </c>
    </row>
    <row r="674" customFormat="false" ht="13.8" hidden="false" customHeight="false" outlineLevel="0" collapsed="false">
      <c r="A674" s="0" t="n">
        <f aca="false">1+A673</f>
        <v>673</v>
      </c>
      <c r="B674" s="0" t="n">
        <v>3.60279</v>
      </c>
    </row>
    <row r="675" customFormat="false" ht="13.8" hidden="false" customHeight="false" outlineLevel="0" collapsed="false">
      <c r="A675" s="0" t="n">
        <f aca="false">1+A674</f>
        <v>674</v>
      </c>
      <c r="B675" s="0" t="n">
        <v>3.58743</v>
      </c>
    </row>
    <row r="676" customFormat="false" ht="13.8" hidden="false" customHeight="false" outlineLevel="0" collapsed="false">
      <c r="A676" s="0" t="n">
        <f aca="false">1+A675</f>
        <v>675</v>
      </c>
      <c r="B676" s="0" t="n">
        <v>3.57789</v>
      </c>
    </row>
    <row r="677" customFormat="false" ht="13.8" hidden="false" customHeight="false" outlineLevel="0" collapsed="false">
      <c r="A677" s="0" t="n">
        <f aca="false">1+A676</f>
        <v>676</v>
      </c>
      <c r="B677" s="0" t="n">
        <v>3.55806</v>
      </c>
    </row>
    <row r="678" customFormat="false" ht="13.8" hidden="false" customHeight="false" outlineLevel="0" collapsed="false">
      <c r="A678" s="0" t="n">
        <f aca="false">1+A677</f>
        <v>677</v>
      </c>
      <c r="B678" s="0" t="n">
        <v>3.54151</v>
      </c>
    </row>
    <row r="679" customFormat="false" ht="13.8" hidden="false" customHeight="false" outlineLevel="0" collapsed="false">
      <c r="A679" s="0" t="n">
        <f aca="false">1+A678</f>
        <v>678</v>
      </c>
      <c r="B679" s="0" t="n">
        <v>3.53449</v>
      </c>
    </row>
    <row r="680" customFormat="false" ht="13.8" hidden="false" customHeight="false" outlineLevel="0" collapsed="false">
      <c r="A680" s="0" t="n">
        <f aca="false">1+A679</f>
        <v>679</v>
      </c>
      <c r="B680" s="0" t="n">
        <v>3.52651</v>
      </c>
    </row>
    <row r="681" customFormat="false" ht="13.8" hidden="false" customHeight="false" outlineLevel="0" collapsed="false">
      <c r="A681" s="0" t="n">
        <f aca="false">1+A680</f>
        <v>680</v>
      </c>
      <c r="B681" s="0" t="n">
        <v>3.51573</v>
      </c>
    </row>
    <row r="682" customFormat="false" ht="13.8" hidden="false" customHeight="false" outlineLevel="0" collapsed="false">
      <c r="A682" s="0" t="n">
        <f aca="false">1+A681</f>
        <v>681</v>
      </c>
      <c r="B682" s="0" t="n">
        <v>3.50587</v>
      </c>
    </row>
    <row r="683" customFormat="false" ht="13.8" hidden="false" customHeight="false" outlineLevel="0" collapsed="false">
      <c r="A683" s="0" t="n">
        <f aca="false">1+A682</f>
        <v>682</v>
      </c>
      <c r="B683" s="0" t="n">
        <v>3.50542</v>
      </c>
    </row>
    <row r="684" customFormat="false" ht="13.8" hidden="false" customHeight="false" outlineLevel="0" collapsed="false">
      <c r="A684" s="0" t="n">
        <f aca="false">1+A683</f>
        <v>683</v>
      </c>
      <c r="B684" s="0" t="n">
        <v>3.49334</v>
      </c>
    </row>
    <row r="685" customFormat="false" ht="13.8" hidden="false" customHeight="false" outlineLevel="0" collapsed="false">
      <c r="A685" s="0" t="n">
        <f aca="false">1+A684</f>
        <v>684</v>
      </c>
      <c r="B685" s="0" t="n">
        <v>3.48837</v>
      </c>
    </row>
    <row r="686" customFormat="false" ht="13.8" hidden="false" customHeight="false" outlineLevel="0" collapsed="false">
      <c r="A686" s="0" t="n">
        <f aca="false">1+A685</f>
        <v>685</v>
      </c>
      <c r="B686" s="0" t="n">
        <v>3.47657</v>
      </c>
    </row>
    <row r="687" customFormat="false" ht="13.8" hidden="false" customHeight="false" outlineLevel="0" collapsed="false">
      <c r="A687" s="0" t="n">
        <f aca="false">1+A686</f>
        <v>686</v>
      </c>
      <c r="B687" s="0" t="n">
        <v>3.47559</v>
      </c>
    </row>
    <row r="688" customFormat="false" ht="13.8" hidden="false" customHeight="false" outlineLevel="0" collapsed="false">
      <c r="A688" s="0" t="n">
        <f aca="false">1+A687</f>
        <v>687</v>
      </c>
      <c r="B688" s="0" t="n">
        <v>3.45534</v>
      </c>
    </row>
    <row r="689" customFormat="false" ht="13.8" hidden="false" customHeight="false" outlineLevel="0" collapsed="false">
      <c r="A689" s="0" t="n">
        <f aca="false">1+A688</f>
        <v>688</v>
      </c>
      <c r="B689" s="0" t="n">
        <v>3.45772</v>
      </c>
    </row>
    <row r="690" customFormat="false" ht="13.8" hidden="false" customHeight="false" outlineLevel="0" collapsed="false">
      <c r="A690" s="0" t="n">
        <f aca="false">1+A689</f>
        <v>689</v>
      </c>
      <c r="B690" s="0" t="n">
        <v>3.45004</v>
      </c>
    </row>
    <row r="691" customFormat="false" ht="13.8" hidden="false" customHeight="false" outlineLevel="0" collapsed="false">
      <c r="A691" s="0" t="n">
        <f aca="false">1+A690</f>
        <v>690</v>
      </c>
      <c r="B691" s="0" t="n">
        <v>3.44217</v>
      </c>
    </row>
    <row r="692" customFormat="false" ht="13.8" hidden="false" customHeight="false" outlineLevel="0" collapsed="false">
      <c r="A692" s="0" t="n">
        <f aca="false">1+A691</f>
        <v>691</v>
      </c>
      <c r="B692" s="0" t="n">
        <v>3.43491</v>
      </c>
    </row>
    <row r="693" customFormat="false" ht="13.8" hidden="false" customHeight="false" outlineLevel="0" collapsed="false">
      <c r="A693" s="0" t="n">
        <f aca="false">1+A692</f>
        <v>692</v>
      </c>
      <c r="B693" s="0" t="n">
        <v>3.43234</v>
      </c>
    </row>
    <row r="694" customFormat="false" ht="13.8" hidden="false" customHeight="false" outlineLevel="0" collapsed="false">
      <c r="A694" s="0" t="n">
        <f aca="false">1+A693</f>
        <v>693</v>
      </c>
      <c r="B694" s="0" t="n">
        <v>3.4153</v>
      </c>
    </row>
    <row r="695" customFormat="false" ht="13.8" hidden="false" customHeight="false" outlineLevel="0" collapsed="false">
      <c r="A695" s="0" t="n">
        <f aca="false">1+A694</f>
        <v>694</v>
      </c>
      <c r="B695" s="0" t="n">
        <v>3.4163</v>
      </c>
    </row>
    <row r="696" customFormat="false" ht="13.8" hidden="false" customHeight="false" outlineLevel="0" collapsed="false">
      <c r="A696" s="0" t="n">
        <f aca="false">1+A695</f>
        <v>695</v>
      </c>
      <c r="B696" s="0" t="n">
        <v>3.40779</v>
      </c>
    </row>
    <row r="697" customFormat="false" ht="13.8" hidden="false" customHeight="false" outlineLevel="0" collapsed="false">
      <c r="A697" s="0" t="n">
        <f aca="false">1+A696</f>
        <v>696</v>
      </c>
      <c r="B697" s="0" t="n">
        <v>3.40468</v>
      </c>
    </row>
    <row r="698" customFormat="false" ht="13.8" hidden="false" customHeight="false" outlineLevel="0" collapsed="false">
      <c r="A698" s="0" t="n">
        <f aca="false">1+A697</f>
        <v>697</v>
      </c>
      <c r="B698" s="0" t="n">
        <v>3.40033</v>
      </c>
    </row>
    <row r="699" customFormat="false" ht="13.8" hidden="false" customHeight="false" outlineLevel="0" collapsed="false">
      <c r="A699" s="0" t="n">
        <f aca="false">1+A698</f>
        <v>698</v>
      </c>
      <c r="B699" s="0" t="n">
        <v>3.41185</v>
      </c>
    </row>
    <row r="700" customFormat="false" ht="13.8" hidden="false" customHeight="false" outlineLevel="0" collapsed="false">
      <c r="A700" s="0" t="n">
        <f aca="false">1+A699</f>
        <v>699</v>
      </c>
      <c r="B700" s="0" t="n">
        <v>3.38723</v>
      </c>
    </row>
    <row r="701" customFormat="false" ht="13.8" hidden="false" customHeight="false" outlineLevel="0" collapsed="false">
      <c r="A701" s="0" t="n">
        <f aca="false">1+A700</f>
        <v>700</v>
      </c>
      <c r="B701" s="0" t="n">
        <v>3.36704</v>
      </c>
    </row>
    <row r="702" customFormat="false" ht="13.8" hidden="false" customHeight="false" outlineLevel="0" collapsed="false">
      <c r="A702" s="0" t="n">
        <f aca="false">1+A701</f>
        <v>701</v>
      </c>
      <c r="B702" s="0" t="n">
        <v>3.35405</v>
      </c>
    </row>
    <row r="703" customFormat="false" ht="13.8" hidden="false" customHeight="false" outlineLevel="0" collapsed="false">
      <c r="A703" s="0" t="n">
        <f aca="false">1+A702</f>
        <v>702</v>
      </c>
      <c r="B703" s="0" t="n">
        <v>3.36132</v>
      </c>
    </row>
    <row r="704" customFormat="false" ht="13.8" hidden="false" customHeight="false" outlineLevel="0" collapsed="false">
      <c r="A704" s="0" t="n">
        <f aca="false">1+A703</f>
        <v>703</v>
      </c>
      <c r="B704" s="0" t="n">
        <v>3.35438</v>
      </c>
    </row>
    <row r="705" customFormat="false" ht="13.8" hidden="false" customHeight="false" outlineLevel="0" collapsed="false">
      <c r="A705" s="0" t="n">
        <f aca="false">1+A704</f>
        <v>704</v>
      </c>
      <c r="B705" s="0" t="n">
        <v>3.34283</v>
      </c>
    </row>
    <row r="706" customFormat="false" ht="13.8" hidden="false" customHeight="false" outlineLevel="0" collapsed="false">
      <c r="A706" s="0" t="n">
        <f aca="false">1+A705</f>
        <v>705</v>
      </c>
      <c r="B706" s="0" t="n">
        <v>3.34092</v>
      </c>
    </row>
    <row r="707" customFormat="false" ht="13.8" hidden="false" customHeight="false" outlineLevel="0" collapsed="false">
      <c r="A707" s="0" t="n">
        <f aca="false">1+A706</f>
        <v>706</v>
      </c>
      <c r="B707" s="0" t="n">
        <v>3.34954</v>
      </c>
    </row>
    <row r="708" customFormat="false" ht="13.8" hidden="false" customHeight="false" outlineLevel="0" collapsed="false">
      <c r="A708" s="0" t="n">
        <f aca="false">1+A707</f>
        <v>707</v>
      </c>
      <c r="B708" s="0" t="n">
        <v>3.32407</v>
      </c>
    </row>
    <row r="709" customFormat="false" ht="13.8" hidden="false" customHeight="false" outlineLevel="0" collapsed="false">
      <c r="A709" s="0" t="n">
        <f aca="false">1+A708</f>
        <v>708</v>
      </c>
      <c r="B709" s="0" t="n">
        <v>3.32752</v>
      </c>
    </row>
    <row r="710" customFormat="false" ht="13.8" hidden="false" customHeight="false" outlineLevel="0" collapsed="false">
      <c r="A710" s="0" t="n">
        <f aca="false">1+A709</f>
        <v>709</v>
      </c>
      <c r="B710" s="0" t="n">
        <v>3.32855</v>
      </c>
    </row>
    <row r="711" customFormat="false" ht="13.8" hidden="false" customHeight="false" outlineLevel="0" collapsed="false">
      <c r="A711" s="0" t="n">
        <f aca="false">1+A710</f>
        <v>710</v>
      </c>
      <c r="B711" s="0" t="n">
        <v>3.32436</v>
      </c>
    </row>
    <row r="712" customFormat="false" ht="13.8" hidden="false" customHeight="false" outlineLevel="0" collapsed="false">
      <c r="A712" s="0" t="n">
        <f aca="false">1+A711</f>
        <v>711</v>
      </c>
      <c r="B712" s="0" t="n">
        <v>3.31431</v>
      </c>
    </row>
    <row r="713" customFormat="false" ht="13.8" hidden="false" customHeight="false" outlineLevel="0" collapsed="false">
      <c r="A713" s="0" t="n">
        <f aca="false">1+A712</f>
        <v>712</v>
      </c>
      <c r="B713" s="0" t="n">
        <v>3.30415</v>
      </c>
    </row>
    <row r="714" customFormat="false" ht="13.8" hidden="false" customHeight="false" outlineLevel="0" collapsed="false">
      <c r="A714" s="0" t="n">
        <f aca="false">1+A713</f>
        <v>713</v>
      </c>
      <c r="B714" s="0" t="n">
        <v>3.30985</v>
      </c>
    </row>
    <row r="715" customFormat="false" ht="13.8" hidden="false" customHeight="false" outlineLevel="0" collapsed="false">
      <c r="A715" s="0" t="n">
        <f aca="false">1+A714</f>
        <v>714</v>
      </c>
      <c r="B715" s="0" t="n">
        <v>3.30622</v>
      </c>
    </row>
    <row r="716" customFormat="false" ht="13.8" hidden="false" customHeight="false" outlineLevel="0" collapsed="false">
      <c r="A716" s="0" t="n">
        <f aca="false">1+A715</f>
        <v>715</v>
      </c>
      <c r="B716" s="0" t="n">
        <v>3.2916</v>
      </c>
    </row>
    <row r="717" customFormat="false" ht="13.8" hidden="false" customHeight="false" outlineLevel="0" collapsed="false">
      <c r="A717" s="0" t="n">
        <f aca="false">1+A716</f>
        <v>716</v>
      </c>
      <c r="B717" s="0" t="n">
        <v>3.28184</v>
      </c>
    </row>
    <row r="718" customFormat="false" ht="13.8" hidden="false" customHeight="false" outlineLevel="0" collapsed="false">
      <c r="A718" s="0" t="n">
        <f aca="false">1+A717</f>
        <v>717</v>
      </c>
      <c r="B718" s="0" t="n">
        <v>3.26688</v>
      </c>
    </row>
    <row r="719" customFormat="false" ht="13.8" hidden="false" customHeight="false" outlineLevel="0" collapsed="false">
      <c r="A719" s="0" t="n">
        <f aca="false">1+A718</f>
        <v>718</v>
      </c>
      <c r="B719" s="0" t="n">
        <v>3.26499</v>
      </c>
    </row>
    <row r="720" customFormat="false" ht="13.8" hidden="false" customHeight="false" outlineLevel="0" collapsed="false">
      <c r="A720" s="0" t="n">
        <f aca="false">1+A719</f>
        <v>719</v>
      </c>
      <c r="B720" s="0" t="n">
        <v>3.25936</v>
      </c>
    </row>
    <row r="721" customFormat="false" ht="13.8" hidden="false" customHeight="false" outlineLevel="0" collapsed="false">
      <c r="A721" s="0" t="n">
        <f aca="false">1+A720</f>
        <v>720</v>
      </c>
      <c r="B721" s="0" t="n">
        <v>3.25397</v>
      </c>
    </row>
    <row r="722" customFormat="false" ht="13.8" hidden="false" customHeight="false" outlineLevel="0" collapsed="false">
      <c r="A722" s="0" t="n">
        <f aca="false">1+A721</f>
        <v>721</v>
      </c>
      <c r="B722" s="0" t="n">
        <v>3.24278</v>
      </c>
    </row>
    <row r="723" customFormat="false" ht="13.8" hidden="false" customHeight="false" outlineLevel="0" collapsed="false">
      <c r="A723" s="0" t="n">
        <f aca="false">1+A722</f>
        <v>722</v>
      </c>
      <c r="B723" s="0" t="n">
        <v>3.22237</v>
      </c>
    </row>
    <row r="724" customFormat="false" ht="13.8" hidden="false" customHeight="false" outlineLevel="0" collapsed="false">
      <c r="A724" s="0" t="n">
        <f aca="false">1+A723</f>
        <v>723</v>
      </c>
      <c r="B724" s="0" t="n">
        <v>3.20796</v>
      </c>
    </row>
    <row r="725" customFormat="false" ht="13.8" hidden="false" customHeight="false" outlineLevel="0" collapsed="false">
      <c r="A725" s="0" t="n">
        <f aca="false">1+A724</f>
        <v>724</v>
      </c>
      <c r="B725" s="0" t="n">
        <v>3.2007</v>
      </c>
    </row>
    <row r="726" customFormat="false" ht="13.8" hidden="false" customHeight="false" outlineLevel="0" collapsed="false">
      <c r="A726" s="0" t="n">
        <f aca="false">1+A725</f>
        <v>725</v>
      </c>
      <c r="B726" s="0" t="n">
        <v>3.19175</v>
      </c>
    </row>
    <row r="727" customFormat="false" ht="13.8" hidden="false" customHeight="false" outlineLevel="0" collapsed="false">
      <c r="A727" s="0" t="n">
        <f aca="false">1+A726</f>
        <v>726</v>
      </c>
      <c r="B727" s="0" t="n">
        <v>3.18135</v>
      </c>
    </row>
    <row r="728" customFormat="false" ht="13.8" hidden="false" customHeight="false" outlineLevel="0" collapsed="false">
      <c r="A728" s="0" t="n">
        <f aca="false">1+A727</f>
        <v>727</v>
      </c>
      <c r="B728" s="0" t="n">
        <v>3.17539</v>
      </c>
    </row>
    <row r="729" customFormat="false" ht="13.8" hidden="false" customHeight="false" outlineLevel="0" collapsed="false">
      <c r="A729" s="0" t="n">
        <f aca="false">1+A728</f>
        <v>728</v>
      </c>
      <c r="B729" s="0" t="n">
        <v>3.18532</v>
      </c>
    </row>
    <row r="730" customFormat="false" ht="13.8" hidden="false" customHeight="false" outlineLevel="0" collapsed="false">
      <c r="A730" s="0" t="n">
        <f aca="false">1+A729</f>
        <v>729</v>
      </c>
      <c r="B730" s="0" t="n">
        <v>3.1594</v>
      </c>
    </row>
    <row r="731" customFormat="false" ht="13.8" hidden="false" customHeight="false" outlineLevel="0" collapsed="false">
      <c r="A731" s="0" t="n">
        <f aca="false">1+A730</f>
        <v>730</v>
      </c>
      <c r="B731" s="0" t="n">
        <v>3.15309</v>
      </c>
    </row>
    <row r="732" customFormat="false" ht="13.8" hidden="false" customHeight="false" outlineLevel="0" collapsed="false">
      <c r="A732" s="0" t="n">
        <f aca="false">1+A731</f>
        <v>731</v>
      </c>
      <c r="B732" s="0" t="n">
        <v>3.15462</v>
      </c>
    </row>
    <row r="733" customFormat="false" ht="13.8" hidden="false" customHeight="false" outlineLevel="0" collapsed="false">
      <c r="A733" s="0" t="n">
        <f aca="false">1+A732</f>
        <v>732</v>
      </c>
      <c r="B733" s="0" t="n">
        <v>3.15173</v>
      </c>
    </row>
    <row r="734" customFormat="false" ht="13.8" hidden="false" customHeight="false" outlineLevel="0" collapsed="false">
      <c r="A734" s="0" t="n">
        <f aca="false">1+A733</f>
        <v>733</v>
      </c>
      <c r="B734" s="0" t="n">
        <v>3.15393</v>
      </c>
    </row>
    <row r="735" customFormat="false" ht="13.8" hidden="false" customHeight="false" outlineLevel="0" collapsed="false">
      <c r="A735" s="0" t="n">
        <f aca="false">1+A734</f>
        <v>734</v>
      </c>
      <c r="B735" s="0" t="n">
        <v>3.12282</v>
      </c>
    </row>
    <row r="736" customFormat="false" ht="13.8" hidden="false" customHeight="false" outlineLevel="0" collapsed="false">
      <c r="A736" s="0" t="n">
        <f aca="false">1+A735</f>
        <v>735</v>
      </c>
      <c r="B736" s="0" t="n">
        <v>3.12107</v>
      </c>
    </row>
    <row r="737" customFormat="false" ht="13.8" hidden="false" customHeight="false" outlineLevel="0" collapsed="false">
      <c r="A737" s="0" t="n">
        <f aca="false">1+A736</f>
        <v>736</v>
      </c>
      <c r="B737" s="0" t="n">
        <v>3.09827</v>
      </c>
    </row>
    <row r="738" customFormat="false" ht="13.8" hidden="false" customHeight="false" outlineLevel="0" collapsed="false">
      <c r="A738" s="0" t="n">
        <f aca="false">1+A737</f>
        <v>737</v>
      </c>
      <c r="B738" s="0" t="n">
        <v>3.09016</v>
      </c>
    </row>
    <row r="739" customFormat="false" ht="13.8" hidden="false" customHeight="false" outlineLevel="0" collapsed="false">
      <c r="A739" s="0" t="n">
        <f aca="false">1+A738</f>
        <v>738</v>
      </c>
      <c r="B739" s="0" t="n">
        <v>3.07773</v>
      </c>
    </row>
    <row r="740" customFormat="false" ht="13.8" hidden="false" customHeight="false" outlineLevel="0" collapsed="false">
      <c r="A740" s="0" t="n">
        <f aca="false">1+A739</f>
        <v>739</v>
      </c>
      <c r="B740" s="0" t="n">
        <v>3.07797</v>
      </c>
    </row>
    <row r="741" customFormat="false" ht="13.8" hidden="false" customHeight="false" outlineLevel="0" collapsed="false">
      <c r="A741" s="0" t="n">
        <f aca="false">1+A740</f>
        <v>740</v>
      </c>
      <c r="B741" s="0" t="n">
        <v>3.06914</v>
      </c>
    </row>
    <row r="742" customFormat="false" ht="13.8" hidden="false" customHeight="false" outlineLevel="0" collapsed="false">
      <c r="A742" s="0" t="n">
        <f aca="false">1+A741</f>
        <v>741</v>
      </c>
      <c r="B742" s="0" t="n">
        <v>3.05186</v>
      </c>
    </row>
    <row r="743" customFormat="false" ht="13.8" hidden="false" customHeight="false" outlineLevel="0" collapsed="false">
      <c r="A743" s="0" t="n">
        <f aca="false">1+A742</f>
        <v>742</v>
      </c>
      <c r="B743" s="0" t="n">
        <v>3.02949</v>
      </c>
    </row>
    <row r="744" customFormat="false" ht="13.8" hidden="false" customHeight="false" outlineLevel="0" collapsed="false">
      <c r="A744" s="0" t="n">
        <f aca="false">1+A743</f>
        <v>743</v>
      </c>
      <c r="B744" s="0" t="n">
        <v>3.0303</v>
      </c>
    </row>
    <row r="745" customFormat="false" ht="13.8" hidden="false" customHeight="false" outlineLevel="0" collapsed="false">
      <c r="A745" s="0" t="n">
        <f aca="false">1+A744</f>
        <v>744</v>
      </c>
      <c r="B745" s="0" t="n">
        <v>3.03207</v>
      </c>
    </row>
    <row r="746" customFormat="false" ht="13.8" hidden="false" customHeight="false" outlineLevel="0" collapsed="false">
      <c r="A746" s="0" t="n">
        <f aca="false">1+A745</f>
        <v>745</v>
      </c>
      <c r="B746" s="0" t="n">
        <v>3.0354</v>
      </c>
    </row>
    <row r="747" customFormat="false" ht="13.8" hidden="false" customHeight="false" outlineLevel="0" collapsed="false">
      <c r="A747" s="0" t="n">
        <f aca="false">1+A746</f>
        <v>746</v>
      </c>
      <c r="B747" s="0" t="n">
        <v>3.03221</v>
      </c>
    </row>
    <row r="748" customFormat="false" ht="13.8" hidden="false" customHeight="false" outlineLevel="0" collapsed="false">
      <c r="A748" s="0" t="n">
        <f aca="false">1+A747</f>
        <v>747</v>
      </c>
      <c r="B748" s="0" t="n">
        <v>3.02191</v>
      </c>
    </row>
    <row r="749" customFormat="false" ht="13.8" hidden="false" customHeight="false" outlineLevel="0" collapsed="false">
      <c r="A749" s="0" t="n">
        <f aca="false">1+A748</f>
        <v>748</v>
      </c>
      <c r="B749" s="0" t="n">
        <v>3.01765</v>
      </c>
    </row>
    <row r="750" customFormat="false" ht="13.8" hidden="false" customHeight="false" outlineLevel="0" collapsed="false">
      <c r="A750" s="0" t="n">
        <f aca="false">1+A749</f>
        <v>749</v>
      </c>
      <c r="B750" s="0" t="n">
        <v>2.9908</v>
      </c>
    </row>
    <row r="751" customFormat="false" ht="13.8" hidden="false" customHeight="false" outlineLevel="0" collapsed="false">
      <c r="A751" s="0" t="n">
        <f aca="false">1+A750</f>
        <v>750</v>
      </c>
      <c r="B751" s="0" t="n">
        <v>2.98501</v>
      </c>
    </row>
    <row r="752" customFormat="false" ht="13.8" hidden="false" customHeight="false" outlineLevel="0" collapsed="false">
      <c r="A752" s="0" t="n">
        <f aca="false">1+A751</f>
        <v>751</v>
      </c>
      <c r="B752" s="0" t="n">
        <v>2.98767</v>
      </c>
    </row>
    <row r="753" customFormat="false" ht="13.8" hidden="false" customHeight="false" outlineLevel="0" collapsed="false">
      <c r="A753" s="0" t="n">
        <f aca="false">1+A752</f>
        <v>752</v>
      </c>
      <c r="B753" s="0" t="n">
        <v>2.97287</v>
      </c>
    </row>
    <row r="754" customFormat="false" ht="13.8" hidden="false" customHeight="false" outlineLevel="0" collapsed="false">
      <c r="A754" s="0" t="n">
        <f aca="false">1+A753</f>
        <v>753</v>
      </c>
      <c r="B754" s="0" t="n">
        <v>2.96811</v>
      </c>
    </row>
    <row r="755" customFormat="false" ht="13.8" hidden="false" customHeight="false" outlineLevel="0" collapsed="false">
      <c r="A755" s="0" t="n">
        <f aca="false">1+A754</f>
        <v>754</v>
      </c>
      <c r="B755" s="0" t="n">
        <v>2.96403</v>
      </c>
    </row>
    <row r="756" customFormat="false" ht="13.8" hidden="false" customHeight="false" outlineLevel="0" collapsed="false">
      <c r="A756" s="0" t="n">
        <f aca="false">1+A755</f>
        <v>755</v>
      </c>
      <c r="B756" s="0" t="n">
        <v>2.9486</v>
      </c>
    </row>
    <row r="757" customFormat="false" ht="13.8" hidden="false" customHeight="false" outlineLevel="0" collapsed="false">
      <c r="A757" s="0" t="n">
        <f aca="false">1+A756</f>
        <v>756</v>
      </c>
      <c r="B757" s="0" t="n">
        <v>2.938</v>
      </c>
    </row>
    <row r="758" customFormat="false" ht="13.8" hidden="false" customHeight="false" outlineLevel="0" collapsed="false">
      <c r="A758" s="0" t="n">
        <f aca="false">1+A757</f>
        <v>757</v>
      </c>
      <c r="B758" s="0" t="n">
        <v>2.94081</v>
      </c>
    </row>
    <row r="759" customFormat="false" ht="13.8" hidden="false" customHeight="false" outlineLevel="0" collapsed="false">
      <c r="A759" s="0" t="n">
        <f aca="false">1+A758</f>
        <v>758</v>
      </c>
      <c r="B759" s="0" t="n">
        <v>2.9167</v>
      </c>
    </row>
    <row r="760" customFormat="false" ht="13.8" hidden="false" customHeight="false" outlineLevel="0" collapsed="false">
      <c r="A760" s="0" t="n">
        <f aca="false">1+A759</f>
        <v>759</v>
      </c>
      <c r="B760" s="0" t="n">
        <v>2.90663</v>
      </c>
    </row>
    <row r="761" customFormat="false" ht="13.8" hidden="false" customHeight="false" outlineLevel="0" collapsed="false">
      <c r="A761" s="0" t="n">
        <f aca="false">1+A760</f>
        <v>760</v>
      </c>
      <c r="B761" s="0" t="n">
        <v>2.90502</v>
      </c>
    </row>
    <row r="762" customFormat="false" ht="13.8" hidden="false" customHeight="false" outlineLevel="0" collapsed="false">
      <c r="A762" s="0" t="n">
        <f aca="false">1+A761</f>
        <v>761</v>
      </c>
      <c r="B762" s="0" t="n">
        <v>2.89148</v>
      </c>
    </row>
    <row r="763" customFormat="false" ht="13.8" hidden="false" customHeight="false" outlineLevel="0" collapsed="false">
      <c r="A763" s="0" t="n">
        <f aca="false">1+A762</f>
        <v>762</v>
      </c>
      <c r="B763" s="0" t="n">
        <v>2.86513</v>
      </c>
    </row>
    <row r="764" customFormat="false" ht="13.8" hidden="false" customHeight="false" outlineLevel="0" collapsed="false">
      <c r="A764" s="0" t="n">
        <f aca="false">1+A763</f>
        <v>763</v>
      </c>
      <c r="B764" s="0" t="n">
        <v>2.85072</v>
      </c>
    </row>
    <row r="765" customFormat="false" ht="13.8" hidden="false" customHeight="false" outlineLevel="0" collapsed="false">
      <c r="A765" s="0" t="n">
        <f aca="false">1+A764</f>
        <v>764</v>
      </c>
      <c r="B765" s="0" t="n">
        <v>2.85615</v>
      </c>
    </row>
    <row r="766" customFormat="false" ht="13.8" hidden="false" customHeight="false" outlineLevel="0" collapsed="false">
      <c r="A766" s="0" t="n">
        <f aca="false">1+A765</f>
        <v>765</v>
      </c>
      <c r="B766" s="0" t="n">
        <v>2.83279</v>
      </c>
    </row>
    <row r="767" customFormat="false" ht="13.8" hidden="false" customHeight="false" outlineLevel="0" collapsed="false">
      <c r="A767" s="0" t="n">
        <f aca="false">1+A766</f>
        <v>766</v>
      </c>
      <c r="B767" s="0" t="n">
        <v>2.82724</v>
      </c>
    </row>
    <row r="768" customFormat="false" ht="13.8" hidden="false" customHeight="false" outlineLevel="0" collapsed="false">
      <c r="A768" s="0" t="n">
        <f aca="false">1+A767</f>
        <v>767</v>
      </c>
      <c r="B768" s="0" t="n">
        <v>2.83002</v>
      </c>
    </row>
    <row r="769" customFormat="false" ht="13.8" hidden="false" customHeight="false" outlineLevel="0" collapsed="false">
      <c r="A769" s="0" t="n">
        <f aca="false">1+A768</f>
        <v>768</v>
      </c>
      <c r="B769" s="0" t="n">
        <v>2.81896</v>
      </c>
    </row>
    <row r="770" customFormat="false" ht="13.8" hidden="false" customHeight="false" outlineLevel="0" collapsed="false">
      <c r="A770" s="0" t="n">
        <f aca="false">1+A769</f>
        <v>769</v>
      </c>
      <c r="B770" s="0" t="n">
        <v>2.81571</v>
      </c>
    </row>
    <row r="771" customFormat="false" ht="13.8" hidden="false" customHeight="false" outlineLevel="0" collapsed="false">
      <c r="A771" s="0" t="n">
        <f aca="false">1+A770</f>
        <v>770</v>
      </c>
      <c r="B771" s="0" t="n">
        <v>2.81279</v>
      </c>
    </row>
    <row r="772" customFormat="false" ht="13.8" hidden="false" customHeight="false" outlineLevel="0" collapsed="false">
      <c r="A772" s="0" t="n">
        <f aca="false">1+A771</f>
        <v>771</v>
      </c>
      <c r="B772" s="0" t="n">
        <v>2.80795</v>
      </c>
    </row>
    <row r="773" customFormat="false" ht="13.8" hidden="false" customHeight="false" outlineLevel="0" collapsed="false">
      <c r="A773" s="0" t="n">
        <f aca="false">1+A772</f>
        <v>772</v>
      </c>
      <c r="B773" s="0" t="n">
        <v>2.80848</v>
      </c>
    </row>
    <row r="774" customFormat="false" ht="13.8" hidden="false" customHeight="false" outlineLevel="0" collapsed="false">
      <c r="A774" s="0" t="n">
        <f aca="false">1+A773</f>
        <v>773</v>
      </c>
      <c r="B774" s="0" t="n">
        <v>2.80715</v>
      </c>
    </row>
    <row r="775" customFormat="false" ht="13.8" hidden="false" customHeight="false" outlineLevel="0" collapsed="false">
      <c r="A775" s="0" t="n">
        <f aca="false">1+A774</f>
        <v>774</v>
      </c>
      <c r="B775" s="0" t="n">
        <v>2.79929</v>
      </c>
    </row>
    <row r="776" customFormat="false" ht="13.8" hidden="false" customHeight="false" outlineLevel="0" collapsed="false">
      <c r="A776" s="0" t="n">
        <f aca="false">1+A775</f>
        <v>775</v>
      </c>
      <c r="B776" s="0" t="n">
        <v>2.77957</v>
      </c>
    </row>
    <row r="777" customFormat="false" ht="13.8" hidden="false" customHeight="false" outlineLevel="0" collapsed="false">
      <c r="A777" s="0" t="n">
        <f aca="false">1+A776</f>
        <v>776</v>
      </c>
      <c r="B777" s="0" t="n">
        <v>2.77083</v>
      </c>
    </row>
    <row r="778" customFormat="false" ht="13.8" hidden="false" customHeight="false" outlineLevel="0" collapsed="false">
      <c r="A778" s="0" t="n">
        <f aca="false">1+A777</f>
        <v>777</v>
      </c>
      <c r="B778" s="0" t="n">
        <v>2.78413</v>
      </c>
    </row>
    <row r="779" customFormat="false" ht="13.8" hidden="false" customHeight="false" outlineLevel="0" collapsed="false">
      <c r="A779" s="0" t="n">
        <f aca="false">1+A778</f>
        <v>778</v>
      </c>
      <c r="B779" s="0" t="n">
        <v>2.75315</v>
      </c>
    </row>
    <row r="780" customFormat="false" ht="13.8" hidden="false" customHeight="false" outlineLevel="0" collapsed="false">
      <c r="A780" s="0" t="n">
        <f aca="false">1+A779</f>
        <v>779</v>
      </c>
      <c r="B780" s="0" t="n">
        <v>2.7394</v>
      </c>
    </row>
    <row r="781" customFormat="false" ht="13.8" hidden="false" customHeight="false" outlineLevel="0" collapsed="false">
      <c r="A781" s="0" t="n">
        <f aca="false">1+A780</f>
        <v>780</v>
      </c>
      <c r="B781" s="0" t="n">
        <v>2.72999</v>
      </c>
    </row>
    <row r="782" customFormat="false" ht="13.8" hidden="false" customHeight="false" outlineLevel="0" collapsed="false">
      <c r="A782" s="0" t="n">
        <f aca="false">1+A781</f>
        <v>781</v>
      </c>
      <c r="B782" s="0" t="n">
        <v>2.70541</v>
      </c>
    </row>
    <row r="783" customFormat="false" ht="13.8" hidden="false" customHeight="false" outlineLevel="0" collapsed="false">
      <c r="A783" s="0" t="n">
        <f aca="false">1+A782</f>
        <v>782</v>
      </c>
      <c r="B783" s="0" t="n">
        <v>2.70555</v>
      </c>
    </row>
    <row r="784" customFormat="false" ht="13.8" hidden="false" customHeight="false" outlineLevel="0" collapsed="false">
      <c r="A784" s="0" t="n">
        <f aca="false">1+A783</f>
        <v>783</v>
      </c>
      <c r="B784" s="0" t="n">
        <v>2.7126</v>
      </c>
    </row>
    <row r="785" customFormat="false" ht="13.8" hidden="false" customHeight="false" outlineLevel="0" collapsed="false">
      <c r="A785" s="0" t="n">
        <f aca="false">1+A784</f>
        <v>784</v>
      </c>
      <c r="B785" s="0" t="n">
        <v>2.70532</v>
      </c>
    </row>
    <row r="786" customFormat="false" ht="13.8" hidden="false" customHeight="false" outlineLevel="0" collapsed="false">
      <c r="A786" s="0" t="n">
        <f aca="false">1+A785</f>
        <v>785</v>
      </c>
      <c r="B786" s="0" t="n">
        <v>2.68849</v>
      </c>
    </row>
    <row r="787" customFormat="false" ht="13.8" hidden="false" customHeight="false" outlineLevel="0" collapsed="false">
      <c r="A787" s="0" t="n">
        <f aca="false">1+A786</f>
        <v>786</v>
      </c>
      <c r="B787" s="0" t="n">
        <v>2.66432</v>
      </c>
    </row>
    <row r="788" customFormat="false" ht="13.8" hidden="false" customHeight="false" outlineLevel="0" collapsed="false">
      <c r="A788" s="0" t="n">
        <f aca="false">1+A787</f>
        <v>787</v>
      </c>
      <c r="B788" s="0" t="n">
        <v>2.65012</v>
      </c>
    </row>
    <row r="789" customFormat="false" ht="13.8" hidden="false" customHeight="false" outlineLevel="0" collapsed="false">
      <c r="A789" s="0" t="n">
        <f aca="false">1+A788</f>
        <v>788</v>
      </c>
      <c r="B789" s="0" t="n">
        <v>2.61176</v>
      </c>
    </row>
    <row r="790" customFormat="false" ht="13.8" hidden="false" customHeight="false" outlineLevel="0" collapsed="false">
      <c r="A790" s="0" t="n">
        <f aca="false">1+A789</f>
        <v>789</v>
      </c>
      <c r="B790" s="0" t="n">
        <v>2.5941</v>
      </c>
    </row>
    <row r="791" customFormat="false" ht="13.8" hidden="false" customHeight="false" outlineLevel="0" collapsed="false">
      <c r="A791" s="0" t="n">
        <f aca="false">1+A790</f>
        <v>790</v>
      </c>
      <c r="B791" s="0" t="n">
        <v>2.58452</v>
      </c>
    </row>
    <row r="792" customFormat="false" ht="13.8" hidden="false" customHeight="false" outlineLevel="0" collapsed="false">
      <c r="A792" s="0" t="n">
        <f aca="false">1+A791</f>
        <v>791</v>
      </c>
      <c r="B792" s="0" t="n">
        <v>2.57818</v>
      </c>
    </row>
    <row r="793" customFormat="false" ht="13.8" hidden="false" customHeight="false" outlineLevel="0" collapsed="false">
      <c r="A793" s="0" t="n">
        <f aca="false">1+A792</f>
        <v>792</v>
      </c>
      <c r="B793" s="0" t="n">
        <v>2.55956</v>
      </c>
    </row>
    <row r="794" customFormat="false" ht="13.8" hidden="false" customHeight="false" outlineLevel="0" collapsed="false">
      <c r="A794" s="0" t="n">
        <f aca="false">1+A793</f>
        <v>793</v>
      </c>
      <c r="B794" s="0" t="n">
        <v>2.53621</v>
      </c>
    </row>
    <row r="795" customFormat="false" ht="13.8" hidden="false" customHeight="false" outlineLevel="0" collapsed="false">
      <c r="A795" s="0" t="n">
        <f aca="false">1+A794</f>
        <v>794</v>
      </c>
      <c r="B795" s="0" t="n">
        <v>2.53527</v>
      </c>
    </row>
    <row r="796" customFormat="false" ht="13.8" hidden="false" customHeight="false" outlineLevel="0" collapsed="false">
      <c r="A796" s="0" t="n">
        <f aca="false">1+A795</f>
        <v>795</v>
      </c>
      <c r="B796" s="0" t="n">
        <v>2.51504</v>
      </c>
    </row>
    <row r="797" customFormat="false" ht="13.8" hidden="false" customHeight="false" outlineLevel="0" collapsed="false">
      <c r="A797" s="0" t="n">
        <f aca="false">1+A796</f>
        <v>796</v>
      </c>
      <c r="B797" s="0" t="n">
        <v>2.51862</v>
      </c>
    </row>
    <row r="798" customFormat="false" ht="13.8" hidden="false" customHeight="false" outlineLevel="0" collapsed="false">
      <c r="A798" s="0" t="n">
        <f aca="false">1+A797</f>
        <v>797</v>
      </c>
      <c r="B798" s="0" t="n">
        <v>2.49948</v>
      </c>
    </row>
    <row r="799" customFormat="false" ht="13.8" hidden="false" customHeight="false" outlineLevel="0" collapsed="false">
      <c r="A799" s="0" t="n">
        <f aca="false">1+A798</f>
        <v>798</v>
      </c>
      <c r="B799" s="0" t="n">
        <v>2.5081</v>
      </c>
    </row>
    <row r="800" customFormat="false" ht="13.8" hidden="false" customHeight="false" outlineLevel="0" collapsed="false">
      <c r="A800" s="0" t="n">
        <f aca="false">1+A799</f>
        <v>799</v>
      </c>
      <c r="B800" s="0" t="n">
        <v>2.5021</v>
      </c>
    </row>
    <row r="801" customFormat="false" ht="13.8" hidden="false" customHeight="false" outlineLevel="0" collapsed="false">
      <c r="A801" s="0" t="n">
        <f aca="false">1+A800</f>
        <v>800</v>
      </c>
      <c r="B801" s="0" t="n">
        <v>2.50198</v>
      </c>
    </row>
    <row r="802" customFormat="false" ht="13.8" hidden="false" customHeight="false" outlineLevel="0" collapsed="false">
      <c r="A802" s="0" t="n">
        <f aca="false">1+A801</f>
        <v>801</v>
      </c>
      <c r="B802" s="0" t="n">
        <v>2.47714</v>
      </c>
    </row>
    <row r="803" customFormat="false" ht="13.8" hidden="false" customHeight="false" outlineLevel="0" collapsed="false">
      <c r="A803" s="0" t="n">
        <f aca="false">1+A802</f>
        <v>802</v>
      </c>
      <c r="B803" s="0" t="n">
        <v>2.47131</v>
      </c>
    </row>
    <row r="804" customFormat="false" ht="13.8" hidden="false" customHeight="false" outlineLevel="0" collapsed="false">
      <c r="A804" s="0" t="n">
        <f aca="false">1+A803</f>
        <v>803</v>
      </c>
      <c r="B804" s="0" t="n">
        <v>2.45893</v>
      </c>
    </row>
    <row r="805" customFormat="false" ht="13.8" hidden="false" customHeight="false" outlineLevel="0" collapsed="false">
      <c r="A805" s="0" t="n">
        <f aca="false">1+A804</f>
        <v>804</v>
      </c>
      <c r="B805" s="0" t="n">
        <v>2.45402</v>
      </c>
    </row>
    <row r="806" customFormat="false" ht="13.8" hidden="false" customHeight="false" outlineLevel="0" collapsed="false">
      <c r="A806" s="0" t="n">
        <f aca="false">1+A805</f>
        <v>805</v>
      </c>
      <c r="B806" s="0" t="n">
        <v>2.43889</v>
      </c>
    </row>
    <row r="807" customFormat="false" ht="13.8" hidden="false" customHeight="false" outlineLevel="0" collapsed="false">
      <c r="A807" s="0" t="n">
        <f aca="false">1+A806</f>
        <v>806</v>
      </c>
      <c r="B807" s="0" t="n">
        <v>2.42695</v>
      </c>
    </row>
    <row r="808" customFormat="false" ht="13.8" hidden="false" customHeight="false" outlineLevel="0" collapsed="false">
      <c r="A808" s="0" t="n">
        <f aca="false">1+A807</f>
        <v>807</v>
      </c>
      <c r="B808" s="0" t="n">
        <v>2.4194</v>
      </c>
    </row>
    <row r="809" customFormat="false" ht="13.8" hidden="false" customHeight="false" outlineLevel="0" collapsed="false">
      <c r="A809" s="0" t="n">
        <f aca="false">1+A808</f>
        <v>808</v>
      </c>
      <c r="B809" s="0" t="n">
        <v>2.39877</v>
      </c>
    </row>
    <row r="810" customFormat="false" ht="13.8" hidden="false" customHeight="false" outlineLevel="0" collapsed="false">
      <c r="A810" s="0" t="n">
        <f aca="false">1+A809</f>
        <v>809</v>
      </c>
      <c r="B810" s="0" t="n">
        <v>2.38293</v>
      </c>
    </row>
    <row r="811" customFormat="false" ht="13.8" hidden="false" customHeight="false" outlineLevel="0" collapsed="false">
      <c r="A811" s="0" t="n">
        <f aca="false">1+A810</f>
        <v>810</v>
      </c>
      <c r="B811" s="0" t="n">
        <v>2.38995</v>
      </c>
    </row>
    <row r="812" customFormat="false" ht="13.8" hidden="false" customHeight="false" outlineLevel="0" collapsed="false">
      <c r="A812" s="0" t="n">
        <f aca="false">1+A811</f>
        <v>811</v>
      </c>
      <c r="B812" s="0" t="n">
        <v>2.39611</v>
      </c>
    </row>
    <row r="813" customFormat="false" ht="13.8" hidden="false" customHeight="false" outlineLevel="0" collapsed="false">
      <c r="A813" s="0" t="n">
        <f aca="false">1+A812</f>
        <v>812</v>
      </c>
      <c r="B813" s="0" t="n">
        <v>2.38122</v>
      </c>
    </row>
    <row r="814" customFormat="false" ht="13.8" hidden="false" customHeight="false" outlineLevel="0" collapsed="false">
      <c r="A814" s="0" t="n">
        <f aca="false">1+A813</f>
        <v>813</v>
      </c>
      <c r="B814" s="0" t="n">
        <v>2.37181</v>
      </c>
    </row>
    <row r="815" customFormat="false" ht="13.8" hidden="false" customHeight="false" outlineLevel="0" collapsed="false">
      <c r="A815" s="0" t="n">
        <f aca="false">1+A814</f>
        <v>814</v>
      </c>
      <c r="B815" s="0" t="n">
        <v>2.36283</v>
      </c>
    </row>
    <row r="816" customFormat="false" ht="13.8" hidden="false" customHeight="false" outlineLevel="0" collapsed="false">
      <c r="A816" s="0" t="n">
        <f aca="false">1+A815</f>
        <v>815</v>
      </c>
      <c r="B816" s="0" t="n">
        <v>2.34736</v>
      </c>
    </row>
    <row r="817" customFormat="false" ht="13.8" hidden="false" customHeight="false" outlineLevel="0" collapsed="false">
      <c r="A817" s="0" t="n">
        <f aca="false">1+A816</f>
        <v>816</v>
      </c>
      <c r="B817" s="0" t="n">
        <v>2.33307</v>
      </c>
    </row>
    <row r="818" customFormat="false" ht="13.8" hidden="false" customHeight="false" outlineLevel="0" collapsed="false">
      <c r="A818" s="0" t="n">
        <f aca="false">1+A817</f>
        <v>817</v>
      </c>
      <c r="B818" s="0" t="n">
        <v>2.33351</v>
      </c>
    </row>
    <row r="819" customFormat="false" ht="13.8" hidden="false" customHeight="false" outlineLevel="0" collapsed="false">
      <c r="A819" s="0" t="n">
        <f aca="false">1+A818</f>
        <v>818</v>
      </c>
      <c r="B819" s="0" t="n">
        <v>2.3195</v>
      </c>
    </row>
    <row r="820" customFormat="false" ht="13.8" hidden="false" customHeight="false" outlineLevel="0" collapsed="false">
      <c r="A820" s="0" t="n">
        <f aca="false">1+A819</f>
        <v>819</v>
      </c>
      <c r="B820" s="0" t="n">
        <v>2.30724</v>
      </c>
    </row>
    <row r="821" customFormat="false" ht="13.8" hidden="false" customHeight="false" outlineLevel="0" collapsed="false">
      <c r="A821" s="0" t="n">
        <f aca="false">1+A820</f>
        <v>820</v>
      </c>
      <c r="B821" s="0" t="n">
        <v>2.31221</v>
      </c>
    </row>
    <row r="822" customFormat="false" ht="13.8" hidden="false" customHeight="false" outlineLevel="0" collapsed="false">
      <c r="A822" s="0" t="n">
        <f aca="false">1+A821</f>
        <v>821</v>
      </c>
      <c r="B822" s="0" t="n">
        <v>2.30774</v>
      </c>
    </row>
    <row r="823" customFormat="false" ht="13.8" hidden="false" customHeight="false" outlineLevel="0" collapsed="false">
      <c r="A823" s="0" t="n">
        <f aca="false">1+A822</f>
        <v>822</v>
      </c>
      <c r="B823" s="0" t="n">
        <v>2.30349</v>
      </c>
    </row>
    <row r="824" customFormat="false" ht="13.8" hidden="false" customHeight="false" outlineLevel="0" collapsed="false">
      <c r="A824" s="0" t="n">
        <f aca="false">1+A823</f>
        <v>823</v>
      </c>
      <c r="B824" s="0" t="n">
        <v>2.25712</v>
      </c>
    </row>
    <row r="825" customFormat="false" ht="13.8" hidden="false" customHeight="false" outlineLevel="0" collapsed="false">
      <c r="A825" s="0" t="n">
        <f aca="false">1+A824</f>
        <v>824</v>
      </c>
      <c r="B825" s="0" t="n">
        <v>2.26304</v>
      </c>
    </row>
    <row r="826" customFormat="false" ht="13.8" hidden="false" customHeight="false" outlineLevel="0" collapsed="false">
      <c r="A826" s="0" t="n">
        <f aca="false">1+A825</f>
        <v>825</v>
      </c>
      <c r="B826" s="0" t="n">
        <v>2.25805</v>
      </c>
    </row>
    <row r="827" customFormat="false" ht="13.8" hidden="false" customHeight="false" outlineLevel="0" collapsed="false">
      <c r="A827" s="0" t="n">
        <f aca="false">1+A826</f>
        <v>826</v>
      </c>
      <c r="B827" s="0" t="n">
        <v>2.25026</v>
      </c>
    </row>
    <row r="828" customFormat="false" ht="13.8" hidden="false" customHeight="false" outlineLevel="0" collapsed="false">
      <c r="A828" s="0" t="n">
        <f aca="false">1+A827</f>
        <v>827</v>
      </c>
      <c r="B828" s="0" t="n">
        <v>2.25875</v>
      </c>
    </row>
    <row r="829" customFormat="false" ht="13.8" hidden="false" customHeight="false" outlineLevel="0" collapsed="false">
      <c r="A829" s="0" t="n">
        <f aca="false">1+A828</f>
        <v>828</v>
      </c>
      <c r="B829" s="0" t="n">
        <v>2.25242</v>
      </c>
    </row>
    <row r="830" customFormat="false" ht="13.8" hidden="false" customHeight="false" outlineLevel="0" collapsed="false">
      <c r="A830" s="0" t="n">
        <f aca="false">1+A829</f>
        <v>829</v>
      </c>
      <c r="B830" s="0" t="n">
        <v>2.25693</v>
      </c>
    </row>
    <row r="831" customFormat="false" ht="13.8" hidden="false" customHeight="false" outlineLevel="0" collapsed="false">
      <c r="A831" s="0" t="n">
        <f aca="false">1+A830</f>
        <v>830</v>
      </c>
      <c r="B831" s="0" t="n">
        <v>2.23433</v>
      </c>
    </row>
    <row r="832" customFormat="false" ht="13.8" hidden="false" customHeight="false" outlineLevel="0" collapsed="false">
      <c r="A832" s="0" t="n">
        <f aca="false">1+A831</f>
        <v>831</v>
      </c>
      <c r="B832" s="0" t="n">
        <v>2.22167</v>
      </c>
    </row>
    <row r="833" customFormat="false" ht="13.8" hidden="false" customHeight="false" outlineLevel="0" collapsed="false">
      <c r="A833" s="0" t="n">
        <f aca="false">1+A832</f>
        <v>832</v>
      </c>
      <c r="B833" s="0" t="n">
        <v>2.20832</v>
      </c>
    </row>
    <row r="834" customFormat="false" ht="13.8" hidden="false" customHeight="false" outlineLevel="0" collapsed="false">
      <c r="A834" s="0" t="n">
        <f aca="false">1+A833</f>
        <v>833</v>
      </c>
      <c r="B834" s="0" t="n">
        <v>2.213</v>
      </c>
    </row>
    <row r="835" customFormat="false" ht="13.8" hidden="false" customHeight="false" outlineLevel="0" collapsed="false">
      <c r="A835" s="0" t="n">
        <f aca="false">1+A834</f>
        <v>834</v>
      </c>
      <c r="B835" s="0" t="n">
        <v>2.18065</v>
      </c>
    </row>
    <row r="836" customFormat="false" ht="13.8" hidden="false" customHeight="false" outlineLevel="0" collapsed="false">
      <c r="A836" s="0" t="n">
        <f aca="false">1+A835</f>
        <v>835</v>
      </c>
      <c r="B836" s="0" t="n">
        <v>2.15791</v>
      </c>
    </row>
    <row r="837" customFormat="false" ht="13.8" hidden="false" customHeight="false" outlineLevel="0" collapsed="false">
      <c r="A837" s="0" t="n">
        <f aca="false">1+A836</f>
        <v>836</v>
      </c>
      <c r="B837" s="0" t="n">
        <v>2.15506</v>
      </c>
    </row>
    <row r="838" customFormat="false" ht="13.8" hidden="false" customHeight="false" outlineLevel="0" collapsed="false">
      <c r="A838" s="0" t="n">
        <f aca="false">1+A837</f>
        <v>837</v>
      </c>
      <c r="B838" s="0" t="n">
        <v>2.14482</v>
      </c>
    </row>
    <row r="839" customFormat="false" ht="13.8" hidden="false" customHeight="false" outlineLevel="0" collapsed="false">
      <c r="A839" s="0" t="n">
        <f aca="false">1+A838</f>
        <v>838</v>
      </c>
      <c r="B839" s="0" t="n">
        <v>2.12287</v>
      </c>
    </row>
    <row r="840" customFormat="false" ht="13.8" hidden="false" customHeight="false" outlineLevel="0" collapsed="false">
      <c r="A840" s="0" t="n">
        <f aca="false">1+A839</f>
        <v>839</v>
      </c>
      <c r="B840" s="0" t="n">
        <v>2.11363</v>
      </c>
    </row>
    <row r="841" customFormat="false" ht="13.8" hidden="false" customHeight="false" outlineLevel="0" collapsed="false">
      <c r="A841" s="0" t="n">
        <f aca="false">1+A840</f>
        <v>840</v>
      </c>
      <c r="B841" s="0" t="n">
        <v>2.09526</v>
      </c>
    </row>
    <row r="842" customFormat="false" ht="13.8" hidden="false" customHeight="false" outlineLevel="0" collapsed="false">
      <c r="A842" s="0" t="n">
        <f aca="false">1+A841</f>
        <v>841</v>
      </c>
      <c r="B842" s="0" t="n">
        <v>2.09232</v>
      </c>
    </row>
    <row r="843" customFormat="false" ht="13.8" hidden="false" customHeight="false" outlineLevel="0" collapsed="false">
      <c r="A843" s="0" t="n">
        <f aca="false">1+A842</f>
        <v>842</v>
      </c>
      <c r="B843" s="0" t="n">
        <v>2.08649</v>
      </c>
    </row>
    <row r="844" customFormat="false" ht="13.8" hidden="false" customHeight="false" outlineLevel="0" collapsed="false">
      <c r="A844" s="0" t="n">
        <f aca="false">1+A843</f>
        <v>843</v>
      </c>
      <c r="B844" s="0" t="n">
        <v>2.09725</v>
      </c>
    </row>
    <row r="845" customFormat="false" ht="13.8" hidden="false" customHeight="false" outlineLevel="0" collapsed="false">
      <c r="A845" s="0" t="n">
        <f aca="false">1+A844</f>
        <v>844</v>
      </c>
      <c r="B845" s="0" t="n">
        <v>2.08735</v>
      </c>
    </row>
    <row r="846" customFormat="false" ht="13.8" hidden="false" customHeight="false" outlineLevel="0" collapsed="false">
      <c r="A846" s="0" t="n">
        <f aca="false">1+A845</f>
        <v>845</v>
      </c>
      <c r="B846" s="0" t="n">
        <v>2.09267</v>
      </c>
    </row>
    <row r="847" customFormat="false" ht="13.8" hidden="false" customHeight="false" outlineLevel="0" collapsed="false">
      <c r="A847" s="0" t="n">
        <f aca="false">1+A846</f>
        <v>846</v>
      </c>
      <c r="B847" s="0" t="n">
        <v>2.1018</v>
      </c>
    </row>
    <row r="848" customFormat="false" ht="13.8" hidden="false" customHeight="false" outlineLevel="0" collapsed="false">
      <c r="A848" s="0" t="n">
        <f aca="false">1+A847</f>
        <v>847</v>
      </c>
      <c r="B848" s="0" t="n">
        <v>2.07771</v>
      </c>
    </row>
    <row r="849" customFormat="false" ht="13.8" hidden="false" customHeight="false" outlineLevel="0" collapsed="false">
      <c r="A849" s="0" t="n">
        <f aca="false">1+A848</f>
        <v>848</v>
      </c>
      <c r="B849" s="0" t="n">
        <v>2.07303</v>
      </c>
    </row>
    <row r="850" customFormat="false" ht="13.8" hidden="false" customHeight="false" outlineLevel="0" collapsed="false">
      <c r="A850" s="0" t="n">
        <f aca="false">1+A849</f>
        <v>849</v>
      </c>
      <c r="B850" s="0" t="n">
        <v>2.06972</v>
      </c>
    </row>
    <row r="851" customFormat="false" ht="13.8" hidden="false" customHeight="false" outlineLevel="0" collapsed="false">
      <c r="A851" s="0" t="n">
        <f aca="false">1+A850</f>
        <v>850</v>
      </c>
      <c r="B851" s="0" t="n">
        <v>2.04823</v>
      </c>
    </row>
    <row r="852" customFormat="false" ht="13.8" hidden="false" customHeight="false" outlineLevel="0" collapsed="false">
      <c r="A852" s="0" t="n">
        <f aca="false">1+A851</f>
        <v>851</v>
      </c>
      <c r="B852" s="0" t="n">
        <v>2.0168</v>
      </c>
    </row>
    <row r="853" customFormat="false" ht="13.8" hidden="false" customHeight="false" outlineLevel="0" collapsed="false">
      <c r="A853" s="0" t="n">
        <f aca="false">1+A852</f>
        <v>852</v>
      </c>
      <c r="B853" s="0" t="n">
        <v>2.0195</v>
      </c>
    </row>
    <row r="854" customFormat="false" ht="13.8" hidden="false" customHeight="false" outlineLevel="0" collapsed="false">
      <c r="A854" s="0" t="n">
        <f aca="false">1+A853</f>
        <v>853</v>
      </c>
      <c r="B854" s="0" t="n">
        <v>1.99708</v>
      </c>
    </row>
    <row r="855" customFormat="false" ht="13.8" hidden="false" customHeight="false" outlineLevel="0" collapsed="false">
      <c r="A855" s="0" t="n">
        <f aca="false">1+A854</f>
        <v>854</v>
      </c>
      <c r="B855" s="0" t="n">
        <v>2.00266</v>
      </c>
    </row>
    <row r="856" customFormat="false" ht="13.8" hidden="false" customHeight="false" outlineLevel="0" collapsed="false">
      <c r="A856" s="0" t="n">
        <f aca="false">1+A855</f>
        <v>855</v>
      </c>
      <c r="B856" s="0" t="n">
        <v>2.00478</v>
      </c>
    </row>
    <row r="857" customFormat="false" ht="13.8" hidden="false" customHeight="false" outlineLevel="0" collapsed="false">
      <c r="A857" s="0" t="n">
        <f aca="false">1+A856</f>
        <v>856</v>
      </c>
      <c r="B857" s="0" t="n">
        <v>2.00721</v>
      </c>
    </row>
    <row r="858" customFormat="false" ht="13.8" hidden="false" customHeight="false" outlineLevel="0" collapsed="false">
      <c r="A858" s="0" t="n">
        <f aca="false">1+A857</f>
        <v>857</v>
      </c>
      <c r="B858" s="0" t="n">
        <v>1.98963</v>
      </c>
    </row>
    <row r="859" customFormat="false" ht="13.8" hidden="false" customHeight="false" outlineLevel="0" collapsed="false">
      <c r="A859" s="0" t="n">
        <f aca="false">1+A858</f>
        <v>858</v>
      </c>
      <c r="B859" s="0" t="n">
        <v>1.986</v>
      </c>
    </row>
    <row r="860" customFormat="false" ht="13.8" hidden="false" customHeight="false" outlineLevel="0" collapsed="false">
      <c r="A860" s="0" t="n">
        <f aca="false">1+A859</f>
        <v>859</v>
      </c>
      <c r="B860" s="0" t="n">
        <v>1.96768</v>
      </c>
    </row>
    <row r="861" customFormat="false" ht="13.8" hidden="false" customHeight="false" outlineLevel="0" collapsed="false">
      <c r="A861" s="0" t="n">
        <f aca="false">1+A860</f>
        <v>860</v>
      </c>
      <c r="B861" s="0" t="n">
        <v>1.95555</v>
      </c>
    </row>
    <row r="862" customFormat="false" ht="13.8" hidden="false" customHeight="false" outlineLevel="0" collapsed="false">
      <c r="A862" s="0" t="n">
        <f aca="false">1+A861</f>
        <v>861</v>
      </c>
      <c r="B862" s="0" t="n">
        <v>1.92768</v>
      </c>
    </row>
    <row r="863" customFormat="false" ht="13.8" hidden="false" customHeight="false" outlineLevel="0" collapsed="false">
      <c r="A863" s="0" t="n">
        <f aca="false">1+A862</f>
        <v>862</v>
      </c>
      <c r="B863" s="0" t="n">
        <v>1.92294</v>
      </c>
    </row>
    <row r="864" customFormat="false" ht="13.8" hidden="false" customHeight="false" outlineLevel="0" collapsed="false">
      <c r="A864" s="0" t="n">
        <f aca="false">1+A863</f>
        <v>863</v>
      </c>
      <c r="B864" s="0" t="n">
        <v>1.91055</v>
      </c>
    </row>
    <row r="865" customFormat="false" ht="13.8" hidden="false" customHeight="false" outlineLevel="0" collapsed="false">
      <c r="A865" s="0" t="n">
        <f aca="false">1+A864</f>
        <v>864</v>
      </c>
      <c r="B865" s="0" t="n">
        <v>1.8936</v>
      </c>
    </row>
    <row r="866" customFormat="false" ht="13.8" hidden="false" customHeight="false" outlineLevel="0" collapsed="false">
      <c r="A866" s="0" t="n">
        <f aca="false">1+A865</f>
        <v>865</v>
      </c>
      <c r="B866" s="0" t="n">
        <v>1.88749</v>
      </c>
    </row>
    <row r="867" customFormat="false" ht="13.8" hidden="false" customHeight="false" outlineLevel="0" collapsed="false">
      <c r="A867" s="0" t="n">
        <f aca="false">1+A866</f>
        <v>866</v>
      </c>
      <c r="B867" s="0" t="n">
        <v>1.8816</v>
      </c>
    </row>
    <row r="868" customFormat="false" ht="13.8" hidden="false" customHeight="false" outlineLevel="0" collapsed="false">
      <c r="A868" s="0" t="n">
        <f aca="false">1+A867</f>
        <v>867</v>
      </c>
      <c r="B868" s="0" t="n">
        <v>1.88468</v>
      </c>
    </row>
    <row r="869" customFormat="false" ht="13.8" hidden="false" customHeight="false" outlineLevel="0" collapsed="false">
      <c r="A869" s="0" t="n">
        <f aca="false">1+A868</f>
        <v>868</v>
      </c>
      <c r="B869" s="0" t="n">
        <v>1.8773</v>
      </c>
    </row>
    <row r="870" customFormat="false" ht="13.8" hidden="false" customHeight="false" outlineLevel="0" collapsed="false">
      <c r="A870" s="0" t="n">
        <f aca="false">1+A869</f>
        <v>869</v>
      </c>
      <c r="B870" s="0" t="n">
        <v>1.87995</v>
      </c>
    </row>
    <row r="871" customFormat="false" ht="13.8" hidden="false" customHeight="false" outlineLevel="0" collapsed="false">
      <c r="A871" s="0" t="n">
        <f aca="false">1+A870</f>
        <v>870</v>
      </c>
      <c r="B871" s="0" t="n">
        <v>1.85157</v>
      </c>
    </row>
    <row r="872" customFormat="false" ht="13.8" hidden="false" customHeight="false" outlineLevel="0" collapsed="false">
      <c r="A872" s="0" t="n">
        <f aca="false">1+A871</f>
        <v>871</v>
      </c>
      <c r="B872" s="0" t="n">
        <v>1.84592</v>
      </c>
    </row>
    <row r="873" customFormat="false" ht="13.8" hidden="false" customHeight="false" outlineLevel="0" collapsed="false">
      <c r="A873" s="0" t="n">
        <f aca="false">1+A872</f>
        <v>872</v>
      </c>
      <c r="B873" s="0" t="n">
        <v>1.82613</v>
      </c>
    </row>
    <row r="874" customFormat="false" ht="13.8" hidden="false" customHeight="false" outlineLevel="0" collapsed="false">
      <c r="A874" s="0" t="n">
        <f aca="false">1+A873</f>
        <v>873</v>
      </c>
      <c r="B874" s="0" t="n">
        <v>1.82211</v>
      </c>
    </row>
    <row r="875" customFormat="false" ht="13.8" hidden="false" customHeight="false" outlineLevel="0" collapsed="false">
      <c r="A875" s="0" t="n">
        <f aca="false">1+A874</f>
        <v>874</v>
      </c>
      <c r="B875" s="0" t="n">
        <v>1.80718</v>
      </c>
    </row>
    <row r="876" customFormat="false" ht="13.8" hidden="false" customHeight="false" outlineLevel="0" collapsed="false">
      <c r="A876" s="0" t="n">
        <f aca="false">1+A875</f>
        <v>875</v>
      </c>
      <c r="B876" s="0" t="n">
        <v>1.78544</v>
      </c>
    </row>
    <row r="877" customFormat="false" ht="13.8" hidden="false" customHeight="false" outlineLevel="0" collapsed="false">
      <c r="A877" s="0" t="n">
        <f aca="false">1+A876</f>
        <v>876</v>
      </c>
      <c r="B877" s="0" t="n">
        <v>1.78669</v>
      </c>
    </row>
    <row r="878" customFormat="false" ht="13.8" hidden="false" customHeight="false" outlineLevel="0" collapsed="false">
      <c r="A878" s="0" t="n">
        <f aca="false">1+A877</f>
        <v>877</v>
      </c>
      <c r="B878" s="0" t="n">
        <v>1.79754</v>
      </c>
    </row>
    <row r="879" customFormat="false" ht="13.8" hidden="false" customHeight="false" outlineLevel="0" collapsed="false">
      <c r="A879" s="0" t="n">
        <f aca="false">1+A878</f>
        <v>878</v>
      </c>
      <c r="B879" s="0" t="n">
        <v>1.79138</v>
      </c>
    </row>
    <row r="880" customFormat="false" ht="13.8" hidden="false" customHeight="false" outlineLevel="0" collapsed="false">
      <c r="A880" s="0" t="n">
        <f aca="false">1+A879</f>
        <v>879</v>
      </c>
      <c r="B880" s="0" t="n">
        <v>1.76794</v>
      </c>
    </row>
    <row r="881" customFormat="false" ht="13.8" hidden="false" customHeight="false" outlineLevel="0" collapsed="false">
      <c r="A881" s="0" t="n">
        <f aca="false">1+A880</f>
        <v>880</v>
      </c>
      <c r="B881" s="0" t="n">
        <v>1.76099</v>
      </c>
    </row>
    <row r="882" customFormat="false" ht="13.8" hidden="false" customHeight="false" outlineLevel="0" collapsed="false">
      <c r="A882" s="0" t="n">
        <f aca="false">1+A881</f>
        <v>881</v>
      </c>
      <c r="B882" s="0" t="n">
        <v>1.73899</v>
      </c>
    </row>
    <row r="883" customFormat="false" ht="13.8" hidden="false" customHeight="false" outlineLevel="0" collapsed="false">
      <c r="A883" s="0" t="n">
        <f aca="false">1+A882</f>
        <v>882</v>
      </c>
      <c r="B883" s="0" t="n">
        <v>1.7385</v>
      </c>
    </row>
    <row r="884" customFormat="false" ht="13.8" hidden="false" customHeight="false" outlineLevel="0" collapsed="false">
      <c r="A884" s="0" t="n">
        <f aca="false">1+A883</f>
        <v>883</v>
      </c>
      <c r="B884" s="0" t="n">
        <v>1.7404</v>
      </c>
    </row>
    <row r="885" customFormat="false" ht="13.8" hidden="false" customHeight="false" outlineLevel="0" collapsed="false">
      <c r="A885" s="0" t="n">
        <f aca="false">1+A884</f>
        <v>884</v>
      </c>
      <c r="B885" s="0" t="n">
        <v>1.74922</v>
      </c>
    </row>
    <row r="886" customFormat="false" ht="13.8" hidden="false" customHeight="false" outlineLevel="0" collapsed="false">
      <c r="A886" s="0" t="n">
        <f aca="false">1+A885</f>
        <v>885</v>
      </c>
      <c r="B886" s="0" t="n">
        <v>1.73477</v>
      </c>
    </row>
    <row r="887" customFormat="false" ht="13.8" hidden="false" customHeight="false" outlineLevel="0" collapsed="false">
      <c r="A887" s="0" t="n">
        <f aca="false">1+A886</f>
        <v>886</v>
      </c>
      <c r="B887" s="0" t="n">
        <v>1.73539</v>
      </c>
    </row>
    <row r="888" customFormat="false" ht="13.8" hidden="false" customHeight="false" outlineLevel="0" collapsed="false">
      <c r="A888" s="0" t="n">
        <f aca="false">1+A887</f>
        <v>887</v>
      </c>
      <c r="B888" s="0" t="n">
        <v>1.72801</v>
      </c>
    </row>
    <row r="889" customFormat="false" ht="13.8" hidden="false" customHeight="false" outlineLevel="0" collapsed="false">
      <c r="A889" s="0" t="n">
        <f aca="false">1+A888</f>
        <v>888</v>
      </c>
      <c r="B889" s="0" t="n">
        <v>1.72716</v>
      </c>
    </row>
    <row r="890" customFormat="false" ht="13.8" hidden="false" customHeight="false" outlineLevel="0" collapsed="false">
      <c r="A890" s="0" t="n">
        <f aca="false">1+A889</f>
        <v>889</v>
      </c>
      <c r="B890" s="0" t="n">
        <v>1.73309</v>
      </c>
    </row>
    <row r="891" customFormat="false" ht="13.8" hidden="false" customHeight="false" outlineLevel="0" collapsed="false">
      <c r="A891" s="0" t="n">
        <f aca="false">1+A890</f>
        <v>890</v>
      </c>
      <c r="B891" s="0" t="n">
        <v>1.74169</v>
      </c>
    </row>
    <row r="892" customFormat="false" ht="13.8" hidden="false" customHeight="false" outlineLevel="0" collapsed="false">
      <c r="A892" s="0" t="n">
        <f aca="false">1+A891</f>
        <v>891</v>
      </c>
      <c r="B892" s="0" t="n">
        <v>1.72501</v>
      </c>
    </row>
    <row r="893" customFormat="false" ht="13.8" hidden="false" customHeight="false" outlineLevel="0" collapsed="false">
      <c r="A893" s="0" t="n">
        <f aca="false">1+A892</f>
        <v>892</v>
      </c>
      <c r="B893" s="0" t="n">
        <v>1.72341</v>
      </c>
    </row>
    <row r="894" customFormat="false" ht="13.8" hidden="false" customHeight="false" outlineLevel="0" collapsed="false">
      <c r="A894" s="0" t="n">
        <f aca="false">1+A893</f>
        <v>893</v>
      </c>
      <c r="B894" s="0" t="n">
        <v>1.72311</v>
      </c>
    </row>
    <row r="895" customFormat="false" ht="13.8" hidden="false" customHeight="false" outlineLevel="0" collapsed="false">
      <c r="A895" s="0" t="n">
        <f aca="false">1+A894</f>
        <v>894</v>
      </c>
      <c r="B895" s="0" t="n">
        <v>1.70523</v>
      </c>
    </row>
    <row r="896" customFormat="false" ht="13.8" hidden="false" customHeight="false" outlineLevel="0" collapsed="false">
      <c r="A896" s="0" t="n">
        <f aca="false">1+A895</f>
        <v>895</v>
      </c>
      <c r="B896" s="0" t="n">
        <v>1.7133</v>
      </c>
    </row>
    <row r="897" customFormat="false" ht="13.8" hidden="false" customHeight="false" outlineLevel="0" collapsed="false">
      <c r="A897" s="0" t="n">
        <f aca="false">1+A896</f>
        <v>896</v>
      </c>
      <c r="B897" s="0" t="n">
        <v>1.70533</v>
      </c>
    </row>
    <row r="898" customFormat="false" ht="13.8" hidden="false" customHeight="false" outlineLevel="0" collapsed="false">
      <c r="A898" s="0" t="n">
        <f aca="false">1+A897</f>
        <v>897</v>
      </c>
      <c r="B898" s="0" t="n">
        <v>1.70583</v>
      </c>
    </row>
    <row r="899" customFormat="false" ht="13.8" hidden="false" customHeight="false" outlineLevel="0" collapsed="false">
      <c r="A899" s="0" t="n">
        <f aca="false">1+A898</f>
        <v>898</v>
      </c>
      <c r="B899" s="0" t="n">
        <v>1.70261</v>
      </c>
    </row>
    <row r="900" customFormat="false" ht="13.8" hidden="false" customHeight="false" outlineLevel="0" collapsed="false">
      <c r="A900" s="0" t="n">
        <f aca="false">1+A899</f>
        <v>899</v>
      </c>
      <c r="B900" s="0" t="n">
        <v>1.70161</v>
      </c>
    </row>
    <row r="901" customFormat="false" ht="13.8" hidden="false" customHeight="false" outlineLevel="0" collapsed="false">
      <c r="A901" s="0" t="n">
        <f aca="false">1+A900</f>
        <v>900</v>
      </c>
      <c r="B901" s="0" t="n">
        <v>1.68534</v>
      </c>
    </row>
    <row r="902" customFormat="false" ht="13.8" hidden="false" customHeight="false" outlineLevel="0" collapsed="false">
      <c r="A902" s="0" t="n">
        <f aca="false">1+A901</f>
        <v>901</v>
      </c>
      <c r="B902" s="0" t="n">
        <v>1.68529</v>
      </c>
    </row>
    <row r="903" customFormat="false" ht="13.8" hidden="false" customHeight="false" outlineLevel="0" collapsed="false">
      <c r="A903" s="0" t="n">
        <f aca="false">1+A902</f>
        <v>902</v>
      </c>
      <c r="B903" s="0" t="n">
        <v>1.67498</v>
      </c>
    </row>
    <row r="904" customFormat="false" ht="13.8" hidden="false" customHeight="false" outlineLevel="0" collapsed="false">
      <c r="A904" s="0" t="n">
        <f aca="false">1+A903</f>
        <v>903</v>
      </c>
      <c r="B904" s="0" t="n">
        <v>1.67473</v>
      </c>
    </row>
    <row r="905" customFormat="false" ht="13.8" hidden="false" customHeight="false" outlineLevel="0" collapsed="false">
      <c r="A905" s="0" t="n">
        <f aca="false">1+A904</f>
        <v>904</v>
      </c>
      <c r="B905" s="0" t="n">
        <v>1.68423</v>
      </c>
    </row>
    <row r="906" customFormat="false" ht="13.8" hidden="false" customHeight="false" outlineLevel="0" collapsed="false">
      <c r="A906" s="0" t="n">
        <f aca="false">1+A905</f>
        <v>905</v>
      </c>
      <c r="B906" s="0" t="n">
        <v>1.66576</v>
      </c>
    </row>
    <row r="907" customFormat="false" ht="13.8" hidden="false" customHeight="false" outlineLevel="0" collapsed="false">
      <c r="A907" s="0" t="n">
        <f aca="false">1+A906</f>
        <v>906</v>
      </c>
      <c r="B907" s="0" t="n">
        <v>1.65575</v>
      </c>
    </row>
    <row r="908" customFormat="false" ht="13.8" hidden="false" customHeight="false" outlineLevel="0" collapsed="false">
      <c r="A908" s="0" t="n">
        <f aca="false">1+A907</f>
        <v>907</v>
      </c>
      <c r="B908" s="0" t="n">
        <v>1.6566</v>
      </c>
    </row>
    <row r="909" customFormat="false" ht="13.8" hidden="false" customHeight="false" outlineLevel="0" collapsed="false">
      <c r="A909" s="0" t="n">
        <f aca="false">1+A908</f>
        <v>908</v>
      </c>
      <c r="B909" s="0" t="n">
        <v>1.65259</v>
      </c>
    </row>
    <row r="910" customFormat="false" ht="13.8" hidden="false" customHeight="false" outlineLevel="0" collapsed="false">
      <c r="A910" s="0" t="n">
        <f aca="false">1+A909</f>
        <v>909</v>
      </c>
      <c r="B910" s="0" t="n">
        <v>1.64055</v>
      </c>
    </row>
    <row r="911" customFormat="false" ht="13.8" hidden="false" customHeight="false" outlineLevel="0" collapsed="false">
      <c r="A911" s="0" t="n">
        <f aca="false">1+A910</f>
        <v>910</v>
      </c>
      <c r="B911" s="0" t="n">
        <v>1.63023</v>
      </c>
    </row>
    <row r="912" customFormat="false" ht="13.8" hidden="false" customHeight="false" outlineLevel="0" collapsed="false">
      <c r="A912" s="0" t="n">
        <f aca="false">1+A911</f>
        <v>911</v>
      </c>
      <c r="B912" s="0" t="n">
        <v>1.63721</v>
      </c>
    </row>
    <row r="913" customFormat="false" ht="13.8" hidden="false" customHeight="false" outlineLevel="0" collapsed="false">
      <c r="A913" s="0" t="n">
        <f aca="false">1+A912</f>
        <v>912</v>
      </c>
      <c r="B913" s="0" t="n">
        <v>1.63582</v>
      </c>
    </row>
    <row r="914" customFormat="false" ht="13.8" hidden="false" customHeight="false" outlineLevel="0" collapsed="false">
      <c r="A914" s="0" t="n">
        <f aca="false">1+A913</f>
        <v>913</v>
      </c>
      <c r="B914" s="0" t="n">
        <v>1.64551</v>
      </c>
    </row>
    <row r="915" customFormat="false" ht="13.8" hidden="false" customHeight="false" outlineLevel="0" collapsed="false">
      <c r="A915" s="0" t="n">
        <f aca="false">1+A914</f>
        <v>914</v>
      </c>
      <c r="B915" s="0" t="n">
        <v>1.6429</v>
      </c>
    </row>
    <row r="916" customFormat="false" ht="13.8" hidden="false" customHeight="false" outlineLevel="0" collapsed="false">
      <c r="A916" s="0" t="n">
        <f aca="false">1+A915</f>
        <v>915</v>
      </c>
      <c r="B916" s="0" t="n">
        <v>1.63141</v>
      </c>
    </row>
    <row r="917" customFormat="false" ht="13.8" hidden="false" customHeight="false" outlineLevel="0" collapsed="false">
      <c r="A917" s="0" t="n">
        <f aca="false">1+A916</f>
        <v>916</v>
      </c>
      <c r="B917" s="0" t="n">
        <v>1.63043</v>
      </c>
    </row>
    <row r="918" customFormat="false" ht="13.8" hidden="false" customHeight="false" outlineLevel="0" collapsed="false">
      <c r="A918" s="0" t="n">
        <f aca="false">1+A917</f>
        <v>917</v>
      </c>
      <c r="B918" s="0" t="n">
        <v>1.63982</v>
      </c>
    </row>
    <row r="919" customFormat="false" ht="13.8" hidden="false" customHeight="false" outlineLevel="0" collapsed="false">
      <c r="A919" s="0" t="n">
        <f aca="false">1+A918</f>
        <v>918</v>
      </c>
      <c r="B919" s="0" t="n">
        <v>1.63934</v>
      </c>
    </row>
    <row r="920" customFormat="false" ht="13.8" hidden="false" customHeight="false" outlineLevel="0" collapsed="false">
      <c r="A920" s="0" t="n">
        <f aca="false">1+A919</f>
        <v>919</v>
      </c>
      <c r="B920" s="0" t="n">
        <v>1.63744</v>
      </c>
    </row>
    <row r="921" customFormat="false" ht="13.8" hidden="false" customHeight="false" outlineLevel="0" collapsed="false">
      <c r="A921" s="0" t="n">
        <f aca="false">1+A920</f>
        <v>920</v>
      </c>
      <c r="B921" s="0" t="n">
        <v>1.63775</v>
      </c>
    </row>
    <row r="922" customFormat="false" ht="13.8" hidden="false" customHeight="false" outlineLevel="0" collapsed="false">
      <c r="A922" s="0" t="n">
        <f aca="false">1+A921</f>
        <v>921</v>
      </c>
      <c r="B922" s="0" t="n">
        <v>1.64609</v>
      </c>
    </row>
    <row r="923" customFormat="false" ht="13.8" hidden="false" customHeight="false" outlineLevel="0" collapsed="false">
      <c r="A923" s="0" t="n">
        <f aca="false">1+A922</f>
        <v>922</v>
      </c>
      <c r="B923" s="0" t="n">
        <v>1.64597</v>
      </c>
    </row>
    <row r="924" customFormat="false" ht="13.8" hidden="false" customHeight="false" outlineLevel="0" collapsed="false">
      <c r="A924" s="0" t="n">
        <f aca="false">1+A923</f>
        <v>923</v>
      </c>
      <c r="B924" s="0" t="n">
        <v>1.65543</v>
      </c>
    </row>
    <row r="925" customFormat="false" ht="13.8" hidden="false" customHeight="false" outlineLevel="0" collapsed="false">
      <c r="A925" s="0" t="n">
        <f aca="false">1+A924</f>
        <v>924</v>
      </c>
      <c r="B925" s="0" t="n">
        <v>1.65322</v>
      </c>
    </row>
    <row r="926" customFormat="false" ht="13.8" hidden="false" customHeight="false" outlineLevel="0" collapsed="false">
      <c r="A926" s="0" t="n">
        <f aca="false">1+A925</f>
        <v>925</v>
      </c>
      <c r="B926" s="0" t="n">
        <v>1.66199</v>
      </c>
    </row>
    <row r="927" customFormat="false" ht="13.8" hidden="false" customHeight="false" outlineLevel="0" collapsed="false">
      <c r="A927" s="0" t="n">
        <f aca="false">1+A926</f>
        <v>926</v>
      </c>
      <c r="B927" s="0" t="n">
        <v>1.65007</v>
      </c>
    </row>
    <row r="928" customFormat="false" ht="13.8" hidden="false" customHeight="false" outlineLevel="0" collapsed="false">
      <c r="A928" s="0" t="n">
        <f aca="false">1+A927</f>
        <v>927</v>
      </c>
      <c r="B928" s="0" t="n">
        <v>1.63636</v>
      </c>
    </row>
    <row r="929" customFormat="false" ht="13.8" hidden="false" customHeight="false" outlineLevel="0" collapsed="false">
      <c r="A929" s="0" t="n">
        <f aca="false">1+A928</f>
        <v>928</v>
      </c>
      <c r="B929" s="0" t="n">
        <v>1.63535</v>
      </c>
    </row>
    <row r="930" customFormat="false" ht="13.8" hidden="false" customHeight="false" outlineLevel="0" collapsed="false">
      <c r="A930" s="0" t="n">
        <f aca="false">1+A929</f>
        <v>929</v>
      </c>
      <c r="B930" s="0" t="n">
        <v>1.62328</v>
      </c>
    </row>
    <row r="931" customFormat="false" ht="13.8" hidden="false" customHeight="false" outlineLevel="0" collapsed="false">
      <c r="A931" s="0" t="n">
        <f aca="false">1+A930</f>
        <v>930</v>
      </c>
      <c r="B931" s="0" t="n">
        <v>1.63094</v>
      </c>
    </row>
    <row r="932" customFormat="false" ht="13.8" hidden="false" customHeight="false" outlineLevel="0" collapsed="false">
      <c r="A932" s="0" t="n">
        <f aca="false">1+A931</f>
        <v>931</v>
      </c>
      <c r="B932" s="0" t="n">
        <v>1.61906</v>
      </c>
    </row>
    <row r="933" customFormat="false" ht="13.8" hidden="false" customHeight="false" outlineLevel="0" collapsed="false">
      <c r="A933" s="0" t="n">
        <f aca="false">1+A932</f>
        <v>932</v>
      </c>
      <c r="B933" s="0" t="n">
        <v>1.62728</v>
      </c>
    </row>
    <row r="934" customFormat="false" ht="13.8" hidden="false" customHeight="false" outlineLevel="0" collapsed="false">
      <c r="A934" s="0" t="n">
        <f aca="false">1+A933</f>
        <v>933</v>
      </c>
      <c r="B934" s="0" t="n">
        <v>1.61307</v>
      </c>
    </row>
    <row r="935" customFormat="false" ht="13.8" hidden="false" customHeight="false" outlineLevel="0" collapsed="false">
      <c r="A935" s="0" t="n">
        <f aca="false">1+A934</f>
        <v>934</v>
      </c>
      <c r="B935" s="0" t="n">
        <v>1.6031</v>
      </c>
    </row>
    <row r="936" customFormat="false" ht="13.8" hidden="false" customHeight="false" outlineLevel="0" collapsed="false">
      <c r="A936" s="0" t="n">
        <f aca="false">1+A935</f>
        <v>935</v>
      </c>
      <c r="B936" s="0" t="n">
        <v>1.59014</v>
      </c>
    </row>
    <row r="937" customFormat="false" ht="13.8" hidden="false" customHeight="false" outlineLevel="0" collapsed="false">
      <c r="A937" s="0" t="n">
        <f aca="false">1+A936</f>
        <v>936</v>
      </c>
      <c r="B937" s="0" t="n">
        <v>1.58831</v>
      </c>
    </row>
    <row r="938" customFormat="false" ht="13.8" hidden="false" customHeight="false" outlineLevel="0" collapsed="false">
      <c r="A938" s="0" t="n">
        <f aca="false">1+A937</f>
        <v>937</v>
      </c>
      <c r="B938" s="0" t="n">
        <v>1.59761</v>
      </c>
    </row>
    <row r="939" customFormat="false" ht="13.8" hidden="false" customHeight="false" outlineLevel="0" collapsed="false">
      <c r="A939" s="0" t="n">
        <f aca="false">1+A938</f>
        <v>938</v>
      </c>
      <c r="B939" s="0" t="n">
        <v>1.60703</v>
      </c>
    </row>
    <row r="940" customFormat="false" ht="13.8" hidden="false" customHeight="false" outlineLevel="0" collapsed="false">
      <c r="A940" s="0" t="n">
        <f aca="false">1+A939</f>
        <v>939</v>
      </c>
      <c r="B940" s="0" t="n">
        <v>1.60353</v>
      </c>
    </row>
    <row r="941" customFormat="false" ht="13.8" hidden="false" customHeight="false" outlineLevel="0" collapsed="false">
      <c r="A941" s="0" t="n">
        <f aca="false">1+A940</f>
        <v>940</v>
      </c>
      <c r="B941" s="0" t="n">
        <v>1.59005</v>
      </c>
    </row>
    <row r="942" customFormat="false" ht="13.8" hidden="false" customHeight="false" outlineLevel="0" collapsed="false">
      <c r="A942" s="0" t="n">
        <f aca="false">1+A941</f>
        <v>941</v>
      </c>
      <c r="B942" s="0" t="n">
        <v>1.58523</v>
      </c>
    </row>
    <row r="943" customFormat="false" ht="13.8" hidden="false" customHeight="false" outlineLevel="0" collapsed="false">
      <c r="A943" s="0" t="n">
        <f aca="false">1+A942</f>
        <v>942</v>
      </c>
      <c r="B943" s="0" t="n">
        <v>1.59145</v>
      </c>
    </row>
    <row r="944" customFormat="false" ht="13.8" hidden="false" customHeight="false" outlineLevel="0" collapsed="false">
      <c r="A944" s="0" t="n">
        <f aca="false">1+A943</f>
        <v>943</v>
      </c>
      <c r="B944" s="0" t="n">
        <v>1.57722</v>
      </c>
    </row>
    <row r="945" customFormat="false" ht="13.8" hidden="false" customHeight="false" outlineLevel="0" collapsed="false">
      <c r="A945" s="0" t="n">
        <f aca="false">1+A944</f>
        <v>944</v>
      </c>
      <c r="B945" s="0" t="n">
        <v>1.58608</v>
      </c>
    </row>
    <row r="946" customFormat="false" ht="13.8" hidden="false" customHeight="false" outlineLevel="0" collapsed="false">
      <c r="A946" s="0" t="n">
        <f aca="false">1+A945</f>
        <v>945</v>
      </c>
      <c r="B946" s="0" t="n">
        <v>1.59239</v>
      </c>
    </row>
    <row r="947" customFormat="false" ht="13.8" hidden="false" customHeight="false" outlineLevel="0" collapsed="false">
      <c r="A947" s="0" t="n">
        <f aca="false">1+A946</f>
        <v>946</v>
      </c>
      <c r="B947" s="0" t="n">
        <v>1.60018</v>
      </c>
    </row>
    <row r="948" customFormat="false" ht="13.8" hidden="false" customHeight="false" outlineLevel="0" collapsed="false">
      <c r="A948" s="0" t="n">
        <f aca="false">1+A947</f>
        <v>947</v>
      </c>
      <c r="B948" s="0" t="n">
        <v>1.59723</v>
      </c>
    </row>
    <row r="949" customFormat="false" ht="13.8" hidden="false" customHeight="false" outlineLevel="0" collapsed="false">
      <c r="A949" s="0" t="n">
        <f aca="false">1+A948</f>
        <v>948</v>
      </c>
      <c r="B949" s="0" t="n">
        <v>1.58267</v>
      </c>
    </row>
    <row r="950" customFormat="false" ht="13.8" hidden="false" customHeight="false" outlineLevel="0" collapsed="false">
      <c r="A950" s="0" t="n">
        <f aca="false">1+A949</f>
        <v>949</v>
      </c>
      <c r="B950" s="0" t="n">
        <v>1.57764</v>
      </c>
    </row>
    <row r="951" customFormat="false" ht="13.8" hidden="false" customHeight="false" outlineLevel="0" collapsed="false">
      <c r="A951" s="0" t="n">
        <f aca="false">1+A950</f>
        <v>950</v>
      </c>
      <c r="B951" s="0" t="n">
        <v>1.56268</v>
      </c>
    </row>
    <row r="952" customFormat="false" ht="13.8" hidden="false" customHeight="false" outlineLevel="0" collapsed="false">
      <c r="A952" s="0" t="n">
        <f aca="false">1+A951</f>
        <v>951</v>
      </c>
      <c r="B952" s="0" t="n">
        <v>1.56943</v>
      </c>
    </row>
    <row r="953" customFormat="false" ht="13.8" hidden="false" customHeight="false" outlineLevel="0" collapsed="false">
      <c r="A953" s="0" t="n">
        <f aca="false">1+A952</f>
        <v>952</v>
      </c>
      <c r="B953" s="0" t="n">
        <v>1.55571</v>
      </c>
    </row>
    <row r="954" customFormat="false" ht="13.8" hidden="false" customHeight="false" outlineLevel="0" collapsed="false">
      <c r="A954" s="0" t="n">
        <f aca="false">1+A953</f>
        <v>953</v>
      </c>
      <c r="B954" s="0" t="n">
        <v>1.54888</v>
      </c>
    </row>
    <row r="955" customFormat="false" ht="13.8" hidden="false" customHeight="false" outlineLevel="0" collapsed="false">
      <c r="A955" s="0" t="n">
        <f aca="false">1+A954</f>
        <v>954</v>
      </c>
      <c r="B955" s="0" t="n">
        <v>1.53243</v>
      </c>
    </row>
    <row r="956" customFormat="false" ht="13.8" hidden="false" customHeight="false" outlineLevel="0" collapsed="false">
      <c r="A956" s="0" t="n">
        <f aca="false">1+A955</f>
        <v>955</v>
      </c>
      <c r="B956" s="0" t="n">
        <v>1.54346</v>
      </c>
    </row>
    <row r="957" customFormat="false" ht="13.8" hidden="false" customHeight="false" outlineLevel="0" collapsed="false">
      <c r="A957" s="0" t="n">
        <f aca="false">1+A956</f>
        <v>956</v>
      </c>
      <c r="B957" s="0" t="n">
        <v>1.53936</v>
      </c>
    </row>
    <row r="958" customFormat="false" ht="13.8" hidden="false" customHeight="false" outlineLevel="0" collapsed="false">
      <c r="A958" s="0" t="n">
        <f aca="false">1+A957</f>
        <v>957</v>
      </c>
      <c r="B958" s="0" t="n">
        <v>1.5354</v>
      </c>
    </row>
    <row r="959" customFormat="false" ht="13.8" hidden="false" customHeight="false" outlineLevel="0" collapsed="false">
      <c r="A959" s="0" t="n">
        <f aca="false">1+A958</f>
        <v>958</v>
      </c>
      <c r="B959" s="0" t="n">
        <v>1.50588</v>
      </c>
    </row>
    <row r="960" customFormat="false" ht="13.8" hidden="false" customHeight="false" outlineLevel="0" collapsed="false">
      <c r="A960" s="0" t="n">
        <f aca="false">1+A959</f>
        <v>959</v>
      </c>
      <c r="B960" s="0" t="n">
        <v>1.51497</v>
      </c>
    </row>
    <row r="961" customFormat="false" ht="13.8" hidden="false" customHeight="false" outlineLevel="0" collapsed="false">
      <c r="A961" s="0" t="n">
        <f aca="false">1+A960</f>
        <v>960</v>
      </c>
      <c r="B961" s="0" t="n">
        <v>1.52164</v>
      </c>
    </row>
    <row r="962" customFormat="false" ht="13.8" hidden="false" customHeight="false" outlineLevel="0" collapsed="false">
      <c r="A962" s="0" t="n">
        <f aca="false">1+A961</f>
        <v>961</v>
      </c>
      <c r="B962" s="0" t="n">
        <v>1.53202</v>
      </c>
    </row>
    <row r="963" customFormat="false" ht="13.8" hidden="false" customHeight="false" outlineLevel="0" collapsed="false">
      <c r="A963" s="0" t="n">
        <f aca="false">1+A962</f>
        <v>962</v>
      </c>
      <c r="B963" s="0" t="n">
        <v>1.54013</v>
      </c>
    </row>
    <row r="964" customFormat="false" ht="13.8" hidden="false" customHeight="false" outlineLevel="0" collapsed="false">
      <c r="A964" s="0" t="n">
        <f aca="false">1+A963</f>
        <v>963</v>
      </c>
      <c r="B964" s="0" t="n">
        <v>1.54701</v>
      </c>
    </row>
    <row r="965" customFormat="false" ht="13.8" hidden="false" customHeight="false" outlineLevel="0" collapsed="false">
      <c r="A965" s="0" t="n">
        <f aca="false">1+A964</f>
        <v>964</v>
      </c>
      <c r="B965" s="0" t="n">
        <v>1.5192</v>
      </c>
    </row>
    <row r="966" customFormat="false" ht="13.8" hidden="false" customHeight="false" outlineLevel="0" collapsed="false">
      <c r="A966" s="0" t="n">
        <f aca="false">1+A965</f>
        <v>965</v>
      </c>
      <c r="B966" s="0" t="n">
        <v>1.52644</v>
      </c>
    </row>
    <row r="967" customFormat="false" ht="13.8" hidden="false" customHeight="false" outlineLevel="0" collapsed="false">
      <c r="A967" s="0" t="n">
        <f aca="false">1+A966</f>
        <v>966</v>
      </c>
      <c r="B967" s="0" t="n">
        <v>1.53374</v>
      </c>
    </row>
    <row r="968" customFormat="false" ht="13.8" hidden="false" customHeight="false" outlineLevel="0" collapsed="false">
      <c r="A968" s="0" t="n">
        <f aca="false">1+A967</f>
        <v>967</v>
      </c>
      <c r="B968" s="0" t="n">
        <v>1.52766</v>
      </c>
    </row>
    <row r="969" customFormat="false" ht="13.8" hidden="false" customHeight="false" outlineLevel="0" collapsed="false">
      <c r="A969" s="0" t="n">
        <f aca="false">1+A968</f>
        <v>968</v>
      </c>
      <c r="B969" s="0" t="n">
        <v>1.53351</v>
      </c>
    </row>
    <row r="970" customFormat="false" ht="13.8" hidden="false" customHeight="false" outlineLevel="0" collapsed="false">
      <c r="A970" s="0" t="n">
        <f aca="false">1+A969</f>
        <v>969</v>
      </c>
      <c r="B970" s="0" t="n">
        <v>1.51817</v>
      </c>
    </row>
    <row r="971" customFormat="false" ht="13.8" hidden="false" customHeight="false" outlineLevel="0" collapsed="false">
      <c r="A971" s="0" t="n">
        <f aca="false">1+A970</f>
        <v>970</v>
      </c>
      <c r="B971" s="0" t="n">
        <v>1.52767</v>
      </c>
    </row>
    <row r="972" customFormat="false" ht="13.8" hidden="false" customHeight="false" outlineLevel="0" collapsed="false">
      <c r="A972" s="0" t="n">
        <f aca="false">1+A971</f>
        <v>971</v>
      </c>
      <c r="B972" s="0" t="n">
        <v>1.52335</v>
      </c>
    </row>
    <row r="973" customFormat="false" ht="13.8" hidden="false" customHeight="false" outlineLevel="0" collapsed="false">
      <c r="A973" s="0" t="n">
        <f aca="false">1+A972</f>
        <v>972</v>
      </c>
      <c r="B973" s="0" t="n">
        <v>1.5299</v>
      </c>
    </row>
    <row r="974" customFormat="false" ht="13.8" hidden="false" customHeight="false" outlineLevel="0" collapsed="false">
      <c r="A974" s="0" t="n">
        <f aca="false">1+A973</f>
        <v>973</v>
      </c>
      <c r="B974" s="0" t="n">
        <v>1.53631</v>
      </c>
    </row>
    <row r="975" customFormat="false" ht="13.8" hidden="false" customHeight="false" outlineLevel="0" collapsed="false">
      <c r="A975" s="0" t="n">
        <f aca="false">1+A974</f>
        <v>974</v>
      </c>
      <c r="B975" s="0" t="n">
        <v>1.54494</v>
      </c>
    </row>
    <row r="976" customFormat="false" ht="13.8" hidden="false" customHeight="false" outlineLevel="0" collapsed="false">
      <c r="A976" s="0" t="n">
        <f aca="false">1+A975</f>
        <v>975</v>
      </c>
      <c r="B976" s="0" t="n">
        <v>1.54242</v>
      </c>
    </row>
    <row r="977" customFormat="false" ht="13.8" hidden="false" customHeight="false" outlineLevel="0" collapsed="false">
      <c r="A977" s="0" t="n">
        <f aca="false">1+A976</f>
        <v>976</v>
      </c>
      <c r="B977" s="0" t="n">
        <v>1.55019</v>
      </c>
    </row>
    <row r="978" customFormat="false" ht="13.8" hidden="false" customHeight="false" outlineLevel="0" collapsed="false">
      <c r="A978" s="0" t="n">
        <f aca="false">1+A977</f>
        <v>977</v>
      </c>
      <c r="B978" s="0" t="n">
        <v>1.55763</v>
      </c>
    </row>
    <row r="979" customFormat="false" ht="13.8" hidden="false" customHeight="false" outlineLevel="0" collapsed="false">
      <c r="A979" s="0" t="n">
        <f aca="false">1+A978</f>
        <v>978</v>
      </c>
      <c r="B979" s="0" t="n">
        <v>1.53826</v>
      </c>
    </row>
    <row r="980" customFormat="false" ht="13.8" hidden="false" customHeight="false" outlineLevel="0" collapsed="false">
      <c r="A980" s="0" t="n">
        <f aca="false">1+A979</f>
        <v>979</v>
      </c>
      <c r="B980" s="0" t="n">
        <v>1.52071</v>
      </c>
    </row>
    <row r="981" customFormat="false" ht="13.8" hidden="false" customHeight="false" outlineLevel="0" collapsed="false">
      <c r="A981" s="0" t="n">
        <f aca="false">1+A980</f>
        <v>980</v>
      </c>
      <c r="B981" s="0" t="n">
        <v>1.51515</v>
      </c>
    </row>
    <row r="982" customFormat="false" ht="13.8" hidden="false" customHeight="false" outlineLevel="0" collapsed="false">
      <c r="A982" s="0" t="n">
        <f aca="false">1+A981</f>
        <v>981</v>
      </c>
      <c r="B982" s="0" t="n">
        <v>1.52338</v>
      </c>
    </row>
    <row r="983" customFormat="false" ht="13.8" hidden="false" customHeight="false" outlineLevel="0" collapsed="false">
      <c r="A983" s="0" t="n">
        <f aca="false">1+A982</f>
        <v>982</v>
      </c>
      <c r="B983" s="0" t="n">
        <v>1.51757</v>
      </c>
    </row>
    <row r="984" customFormat="false" ht="13.8" hidden="false" customHeight="false" outlineLevel="0" collapsed="false">
      <c r="A984" s="0" t="n">
        <f aca="false">1+A983</f>
        <v>983</v>
      </c>
      <c r="B984" s="0" t="n">
        <v>1.52468</v>
      </c>
    </row>
    <row r="985" customFormat="false" ht="13.8" hidden="false" customHeight="false" outlineLevel="0" collapsed="false">
      <c r="A985" s="0" t="n">
        <f aca="false">1+A984</f>
        <v>984</v>
      </c>
      <c r="B985" s="0" t="n">
        <v>1.53246</v>
      </c>
    </row>
    <row r="986" customFormat="false" ht="13.8" hidden="false" customHeight="false" outlineLevel="0" collapsed="false">
      <c r="A986" s="0" t="n">
        <f aca="false">1+A985</f>
        <v>985</v>
      </c>
      <c r="B986" s="0" t="n">
        <v>1.53971</v>
      </c>
    </row>
    <row r="987" customFormat="false" ht="13.8" hidden="false" customHeight="false" outlineLevel="0" collapsed="false">
      <c r="A987" s="0" t="n">
        <f aca="false">1+A986</f>
        <v>986</v>
      </c>
      <c r="B987" s="0" t="n">
        <v>1.5322</v>
      </c>
    </row>
    <row r="988" customFormat="false" ht="13.8" hidden="false" customHeight="false" outlineLevel="0" collapsed="false">
      <c r="A988" s="0" t="n">
        <f aca="false">1+A987</f>
        <v>987</v>
      </c>
      <c r="B988" s="0" t="n">
        <v>1.51144</v>
      </c>
    </row>
    <row r="989" customFormat="false" ht="13.8" hidden="false" customHeight="false" outlineLevel="0" collapsed="false">
      <c r="A989" s="0" t="n">
        <f aca="false">1+A988</f>
        <v>988</v>
      </c>
      <c r="B989" s="0" t="n">
        <v>1.50479</v>
      </c>
    </row>
    <row r="990" customFormat="false" ht="13.8" hidden="false" customHeight="false" outlineLevel="0" collapsed="false">
      <c r="A990" s="0" t="n">
        <f aca="false">1+A989</f>
        <v>989</v>
      </c>
      <c r="B990" s="0" t="n">
        <v>1.51037</v>
      </c>
    </row>
    <row r="991" customFormat="false" ht="13.8" hidden="false" customHeight="false" outlineLevel="0" collapsed="false">
      <c r="A991" s="0" t="n">
        <f aca="false">1+A990</f>
        <v>990</v>
      </c>
      <c r="B991" s="0" t="n">
        <v>1.51934</v>
      </c>
    </row>
    <row r="992" customFormat="false" ht="13.8" hidden="false" customHeight="false" outlineLevel="0" collapsed="false">
      <c r="A992" s="0" t="n">
        <f aca="false">1+A991</f>
        <v>991</v>
      </c>
      <c r="B992" s="0" t="n">
        <v>1.51557</v>
      </c>
    </row>
    <row r="993" customFormat="false" ht="13.8" hidden="false" customHeight="false" outlineLevel="0" collapsed="false">
      <c r="A993" s="0" t="n">
        <f aca="false">1+A992</f>
        <v>992</v>
      </c>
      <c r="B993" s="0" t="n">
        <v>1.5249</v>
      </c>
    </row>
    <row r="994" customFormat="false" ht="13.8" hidden="false" customHeight="false" outlineLevel="0" collapsed="false">
      <c r="A994" s="0" t="n">
        <f aca="false">1+A993</f>
        <v>993</v>
      </c>
      <c r="B994" s="0" t="n">
        <v>1.53197</v>
      </c>
    </row>
    <row r="995" customFormat="false" ht="13.8" hidden="false" customHeight="false" outlineLevel="0" collapsed="false">
      <c r="A995" s="0" t="n">
        <f aca="false">1+A994</f>
        <v>994</v>
      </c>
      <c r="B995" s="0" t="n">
        <v>1.52413</v>
      </c>
    </row>
    <row r="996" customFormat="false" ht="13.8" hidden="false" customHeight="false" outlineLevel="0" collapsed="false">
      <c r="A996" s="0" t="n">
        <f aca="false">1+A995</f>
        <v>995</v>
      </c>
      <c r="B996" s="0" t="n">
        <v>1.51752</v>
      </c>
    </row>
    <row r="997" customFormat="false" ht="13.8" hidden="false" customHeight="false" outlineLevel="0" collapsed="false">
      <c r="A997" s="0" t="n">
        <f aca="false">1+A996</f>
        <v>996</v>
      </c>
      <c r="B997" s="0" t="n">
        <v>1.51062</v>
      </c>
    </row>
    <row r="998" customFormat="false" ht="13.8" hidden="false" customHeight="false" outlineLevel="0" collapsed="false">
      <c r="A998" s="0" t="n">
        <f aca="false">1+A997</f>
        <v>997</v>
      </c>
      <c r="B998" s="0" t="n">
        <v>1.48954</v>
      </c>
    </row>
    <row r="999" customFormat="false" ht="13.8" hidden="false" customHeight="false" outlineLevel="0" collapsed="false">
      <c r="A999" s="0" t="n">
        <f aca="false">1+A998</f>
        <v>998</v>
      </c>
      <c r="B999" s="0" t="n">
        <v>1.48372</v>
      </c>
    </row>
    <row r="1000" customFormat="false" ht="13.8" hidden="false" customHeight="false" outlineLevel="0" collapsed="false">
      <c r="A1000" s="0" t="n">
        <f aca="false">1+A999</f>
        <v>999</v>
      </c>
      <c r="B1000" s="0" t="n">
        <v>1.47634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2.75" customHeight="false" zeroHeight="false" outlineLevelRow="0" outlineLevelCol="0"/>
  <cols>
    <col collapsed="false" customWidth="true" hidden="false" outlineLevel="0" max="6" min="1" style="0" width="12.15"/>
    <col collapsed="false" customWidth="true" hidden="false" outlineLevel="0" max="7" min="7" style="0" width="11.43"/>
  </cols>
  <sheetData>
    <row r="1" customFormat="false" ht="13.8" hidden="false" customHeight="false" outlineLevel="0" collapsed="false">
      <c r="A1" s="0" t="s">
        <v>76</v>
      </c>
      <c r="B1" s="0" t="s">
        <v>77</v>
      </c>
      <c r="C1" s="0" t="s">
        <v>78</v>
      </c>
      <c r="D1" s="0" t="s">
        <v>79</v>
      </c>
      <c r="E1" s="0" t="s">
        <v>80</v>
      </c>
      <c r="F1" s="0" t="s">
        <v>81</v>
      </c>
    </row>
    <row r="2" customFormat="false" ht="13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</row>
    <row r="3" customFormat="false" ht="13.8" hidden="false" customHeight="false" outlineLevel="0" collapsed="false">
      <c r="A3" s="0" t="n">
        <f aca="false">MOD(A2+1,9)</f>
        <v>1</v>
      </c>
      <c r="B3" s="0" t="n">
        <f aca="false">MOD(B2+2,9)</f>
        <v>2</v>
      </c>
      <c r="C3" s="0" t="n">
        <f aca="false">MOD(C2+4,9)</f>
        <v>4</v>
      </c>
      <c r="D3" s="0" t="n">
        <f aca="false">MOD(D2+5,9)</f>
        <v>5</v>
      </c>
      <c r="E3" s="0" t="n">
        <f aca="false">MOD(E2+7,9)</f>
        <v>7</v>
      </c>
      <c r="F3" s="0" t="n">
        <f aca="false">MOD(F2+8,9)</f>
        <v>8</v>
      </c>
    </row>
    <row r="4" customFormat="false" ht="13.8" hidden="false" customHeight="false" outlineLevel="0" collapsed="false">
      <c r="A4" s="0" t="n">
        <f aca="false">MOD(A3+1,9)</f>
        <v>2</v>
      </c>
      <c r="B4" s="0" t="n">
        <f aca="false">MOD(B3+2,9)</f>
        <v>4</v>
      </c>
      <c r="C4" s="0" t="n">
        <f aca="false">MOD(C3+4,9)</f>
        <v>8</v>
      </c>
      <c r="D4" s="0" t="n">
        <f aca="false">MOD(D3+5,9)</f>
        <v>1</v>
      </c>
      <c r="E4" s="0" t="n">
        <f aca="false">MOD(E3+7,9)</f>
        <v>5</v>
      </c>
      <c r="F4" s="0" t="n">
        <f aca="false">MOD(F3+8,9)</f>
        <v>7</v>
      </c>
    </row>
    <row r="5" customFormat="false" ht="13.8" hidden="false" customHeight="false" outlineLevel="0" collapsed="false">
      <c r="A5" s="0" t="n">
        <f aca="false">MOD(A4+1,9)</f>
        <v>3</v>
      </c>
      <c r="B5" s="0" t="n">
        <f aca="false">MOD(B4+2,9)</f>
        <v>6</v>
      </c>
      <c r="C5" s="0" t="n">
        <f aca="false">MOD(C4+4,9)</f>
        <v>3</v>
      </c>
      <c r="D5" s="0" t="n">
        <f aca="false">MOD(D4+5,9)</f>
        <v>6</v>
      </c>
      <c r="E5" s="0" t="n">
        <f aca="false">MOD(E4+7,9)</f>
        <v>3</v>
      </c>
      <c r="F5" s="0" t="n">
        <f aca="false">MOD(F4+8,9)</f>
        <v>6</v>
      </c>
    </row>
    <row r="6" customFormat="false" ht="13.8" hidden="false" customHeight="false" outlineLevel="0" collapsed="false">
      <c r="A6" s="0" t="n">
        <f aca="false">MOD(A5+1,9)</f>
        <v>4</v>
      </c>
      <c r="B6" s="0" t="n">
        <f aca="false">MOD(B5+2,9)</f>
        <v>8</v>
      </c>
      <c r="C6" s="0" t="n">
        <f aca="false">MOD(C5+4,9)</f>
        <v>7</v>
      </c>
      <c r="D6" s="0" t="n">
        <f aca="false">MOD(D5+5,9)</f>
        <v>2</v>
      </c>
      <c r="E6" s="0" t="n">
        <f aca="false">MOD(E5+7,9)</f>
        <v>1</v>
      </c>
      <c r="F6" s="0" t="n">
        <f aca="false">MOD(F5+8,9)</f>
        <v>5</v>
      </c>
    </row>
    <row r="7" customFormat="false" ht="13.8" hidden="false" customHeight="false" outlineLevel="0" collapsed="false">
      <c r="A7" s="0" t="n">
        <f aca="false">MOD(A6+1,9)</f>
        <v>5</v>
      </c>
      <c r="B7" s="0" t="n">
        <f aca="false">MOD(B6+2,9)</f>
        <v>1</v>
      </c>
      <c r="C7" s="0" t="n">
        <f aca="false">MOD(C6+4,9)</f>
        <v>2</v>
      </c>
      <c r="D7" s="0" t="n">
        <f aca="false">MOD(D6+5,9)</f>
        <v>7</v>
      </c>
      <c r="E7" s="0" t="n">
        <f aca="false">MOD(E6+7,9)</f>
        <v>8</v>
      </c>
      <c r="F7" s="0" t="n">
        <f aca="false">MOD(F6+8,9)</f>
        <v>4</v>
      </c>
    </row>
    <row r="8" customFormat="false" ht="13.8" hidden="false" customHeight="false" outlineLevel="0" collapsed="false">
      <c r="A8" s="0" t="n">
        <f aca="false">MOD(A7+1,9)</f>
        <v>6</v>
      </c>
      <c r="B8" s="0" t="n">
        <f aca="false">MOD(B7+2,9)</f>
        <v>3</v>
      </c>
      <c r="C8" s="0" t="n">
        <f aca="false">MOD(C7+4,9)</f>
        <v>6</v>
      </c>
      <c r="D8" s="0" t="n">
        <f aca="false">MOD(D7+5,9)</f>
        <v>3</v>
      </c>
      <c r="E8" s="0" t="n">
        <f aca="false">MOD(E7+7,9)</f>
        <v>6</v>
      </c>
      <c r="F8" s="0" t="n">
        <f aca="false">MOD(F7+8,9)</f>
        <v>3</v>
      </c>
    </row>
    <row r="9" customFormat="false" ht="13.8" hidden="false" customHeight="false" outlineLevel="0" collapsed="false">
      <c r="A9" s="0" t="n">
        <f aca="false">MOD(A8+1,9)</f>
        <v>7</v>
      </c>
      <c r="B9" s="0" t="n">
        <f aca="false">MOD(B8+2,9)</f>
        <v>5</v>
      </c>
      <c r="C9" s="0" t="n">
        <f aca="false">MOD(C8+4,9)</f>
        <v>1</v>
      </c>
      <c r="D9" s="0" t="n">
        <f aca="false">MOD(D8+5,9)</f>
        <v>8</v>
      </c>
      <c r="E9" s="0" t="n">
        <f aca="false">MOD(E8+7,9)</f>
        <v>4</v>
      </c>
      <c r="F9" s="0" t="n">
        <f aca="false">MOD(F8+8,9)</f>
        <v>2</v>
      </c>
    </row>
    <row r="10" customFormat="false" ht="13.8" hidden="false" customHeight="false" outlineLevel="0" collapsed="false">
      <c r="A10" s="0" t="n">
        <f aca="false">MOD(A9+1,9)</f>
        <v>8</v>
      </c>
      <c r="B10" s="0" t="n">
        <f aca="false">MOD(B9+2,9)</f>
        <v>7</v>
      </c>
      <c r="C10" s="0" t="n">
        <f aca="false">MOD(C9+4,9)</f>
        <v>5</v>
      </c>
      <c r="D10" s="0" t="n">
        <f aca="false">MOD(D9+5,9)</f>
        <v>4</v>
      </c>
      <c r="E10" s="0" t="n">
        <f aca="false">MOD(E9+7,9)</f>
        <v>2</v>
      </c>
      <c r="F10" s="0" t="n">
        <f aca="false">MOD(F9+8,9)</f>
        <v>1</v>
      </c>
    </row>
    <row r="11" customFormat="false" ht="13.8" hidden="false" customHeight="false" outlineLevel="0" collapsed="false">
      <c r="A11" s="0" t="n">
        <f aca="false">MOD(A10+1,9)</f>
        <v>0</v>
      </c>
      <c r="B11" s="0" t="n">
        <f aca="false">MOD(B10+2,9)</f>
        <v>0</v>
      </c>
      <c r="C11" s="0" t="n">
        <f aca="false">MOD(C10+4,9)</f>
        <v>0</v>
      </c>
      <c r="D11" s="0" t="n">
        <f aca="false">MOD(D10+5,9)</f>
        <v>0</v>
      </c>
      <c r="E11" s="0" t="n">
        <f aca="false">MOD(E10+7,9)</f>
        <v>0</v>
      </c>
      <c r="F11" s="0" t="n">
        <f aca="false">MOD(F10+8,9)</f>
        <v>0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2.75" customHeight="false" zeroHeight="false" outlineLevelRow="0" outlineLevelCol="0"/>
  <cols>
    <col collapsed="false" customWidth="true" hidden="false" outlineLevel="0" max="20" min="1" style="0" width="12.15"/>
    <col collapsed="false" customWidth="true" hidden="false" outlineLevel="0" max="21" min="21" style="0" width="11.43"/>
  </cols>
  <sheetData>
    <row r="1" customFormat="false" ht="13.8" hidden="false" customHeight="false" outlineLevel="0" collapsed="false">
      <c r="A1" s="0" t="s">
        <v>82</v>
      </c>
      <c r="B1" s="0" t="s">
        <v>19</v>
      </c>
      <c r="D1" s="0" t="s">
        <v>82</v>
      </c>
      <c r="E1" s="0" t="s">
        <v>19</v>
      </c>
      <c r="G1" s="0" t="s">
        <v>82</v>
      </c>
      <c r="H1" s="0" t="s">
        <v>19</v>
      </c>
      <c r="J1" s="0" t="s">
        <v>82</v>
      </c>
      <c r="K1" s="0" t="s">
        <v>19</v>
      </c>
      <c r="M1" s="0" t="s">
        <v>82</v>
      </c>
      <c r="N1" s="0" t="s">
        <v>19</v>
      </c>
      <c r="P1" s="0" t="s">
        <v>82</v>
      </c>
      <c r="Q1" s="0" t="s">
        <v>19</v>
      </c>
      <c r="S1" s="0" t="s">
        <v>82</v>
      </c>
      <c r="T1" s="0" t="s">
        <v>19</v>
      </c>
    </row>
    <row r="2" customFormat="false" ht="13.8" hidden="false" customHeight="false" outlineLevel="0" collapsed="false">
      <c r="A2" s="0" t="s">
        <v>22</v>
      </c>
      <c r="B2" s="0" t="n">
        <v>20.6074</v>
      </c>
      <c r="D2" s="0" t="s">
        <v>22</v>
      </c>
      <c r="E2" s="0" t="n">
        <v>20.4728</v>
      </c>
      <c r="G2" s="0" t="s">
        <v>22</v>
      </c>
      <c r="H2" s="0" t="n">
        <v>20.5513</v>
      </c>
      <c r="J2" s="0" t="s">
        <v>22</v>
      </c>
      <c r="K2" s="0" t="n">
        <v>20.5345</v>
      </c>
      <c r="M2" s="0" t="s">
        <v>22</v>
      </c>
      <c r="N2" s="0" t="n">
        <v>20.6947</v>
      </c>
      <c r="P2" s="0" t="s">
        <v>22</v>
      </c>
      <c r="Q2" s="0" t="n">
        <v>20.5765</v>
      </c>
      <c r="S2" s="0" t="s">
        <v>83</v>
      </c>
      <c r="T2" s="0" t="s">
        <v>84</v>
      </c>
    </row>
    <row r="3" customFormat="false" ht="13.8" hidden="false" customHeight="false" outlineLevel="0" collapsed="false">
      <c r="A3" s="0" t="s">
        <v>51</v>
      </c>
      <c r="B3" s="0" t="n">
        <v>20.3151</v>
      </c>
      <c r="D3" s="0" t="s">
        <v>51</v>
      </c>
      <c r="E3" s="0" t="n">
        <v>20.4996</v>
      </c>
      <c r="G3" s="0" t="s">
        <v>51</v>
      </c>
      <c r="H3" s="0" t="n">
        <v>20.5285</v>
      </c>
      <c r="J3" s="0" t="s">
        <v>51</v>
      </c>
      <c r="K3" s="0" t="n">
        <v>20.5534</v>
      </c>
      <c r="M3" s="0" t="s">
        <v>51</v>
      </c>
      <c r="N3" s="0" t="n">
        <v>20.6887</v>
      </c>
      <c r="P3" s="0" t="s">
        <v>51</v>
      </c>
      <c r="Q3" s="0" t="n">
        <v>20.5709</v>
      </c>
      <c r="S3" s="0" t="n">
        <v>29</v>
      </c>
      <c r="T3" s="0" t="n">
        <v>953</v>
      </c>
    </row>
    <row r="4" customFormat="false" ht="13.8" hidden="false" customHeight="false" outlineLevel="0" collapsed="false">
      <c r="A4" s="0" t="s">
        <v>85</v>
      </c>
      <c r="B4" s="0" t="n">
        <v>20.3089</v>
      </c>
      <c r="D4" s="0" t="s">
        <v>85</v>
      </c>
      <c r="E4" s="0" t="n">
        <v>20.5329</v>
      </c>
      <c r="G4" s="0" t="s">
        <v>85</v>
      </c>
      <c r="H4" s="0" t="n">
        <v>20.5415</v>
      </c>
      <c r="J4" s="0" t="s">
        <v>85</v>
      </c>
      <c r="K4" s="0" t="n">
        <v>20.5395</v>
      </c>
      <c r="M4" s="0" t="s">
        <v>85</v>
      </c>
      <c r="N4" s="0" t="n">
        <v>20.6913</v>
      </c>
      <c r="P4" s="0" t="s">
        <v>85</v>
      </c>
      <c r="Q4" s="0" t="n">
        <v>20.5652</v>
      </c>
      <c r="S4" s="0" t="n">
        <v>8</v>
      </c>
      <c r="T4" s="0" t="n">
        <v>72429</v>
      </c>
    </row>
    <row r="5" customFormat="false" ht="13.8" hidden="false" customHeight="false" outlineLevel="0" collapsed="false">
      <c r="A5" s="0" t="s">
        <v>86</v>
      </c>
      <c r="B5" s="0" t="n">
        <v>20.4035</v>
      </c>
      <c r="D5" s="0" t="s">
        <v>86</v>
      </c>
      <c r="E5" s="0" t="n">
        <v>20.5961</v>
      </c>
      <c r="G5" s="0" t="s">
        <v>86</v>
      </c>
      <c r="H5" s="0" t="n">
        <v>20.5345</v>
      </c>
      <c r="J5" s="0" t="s">
        <v>86</v>
      </c>
      <c r="K5" s="0" t="n">
        <v>20.5289</v>
      </c>
      <c r="M5" s="0" t="s">
        <v>86</v>
      </c>
      <c r="N5" s="0" t="n">
        <v>20.695</v>
      </c>
      <c r="P5" s="0" t="s">
        <v>86</v>
      </c>
      <c r="Q5" s="0" t="n">
        <v>20.5578</v>
      </c>
      <c r="S5" s="0" t="n">
        <v>7</v>
      </c>
      <c r="T5" s="0" t="n">
        <v>86689</v>
      </c>
    </row>
    <row r="6" customFormat="false" ht="13.8" hidden="false" customHeight="false" outlineLevel="0" collapsed="false">
      <c r="A6" s="0" t="s">
        <v>87</v>
      </c>
      <c r="B6" s="0" t="n">
        <v>20.4954</v>
      </c>
      <c r="D6" s="0" t="s">
        <v>87</v>
      </c>
      <c r="E6" s="0" t="n">
        <v>20.3458</v>
      </c>
      <c r="G6" s="0" t="s">
        <v>87</v>
      </c>
      <c r="H6" s="0" t="n">
        <v>20.5383</v>
      </c>
      <c r="J6" s="0" t="s">
        <v>87</v>
      </c>
      <c r="K6" s="0" t="n">
        <v>20.5324</v>
      </c>
      <c r="M6" s="0" t="s">
        <v>87</v>
      </c>
      <c r="N6" s="0" t="n">
        <v>20.7009</v>
      </c>
      <c r="P6" s="0" t="s">
        <v>87</v>
      </c>
      <c r="Q6" s="0" t="n">
        <v>20.5519</v>
      </c>
      <c r="S6" s="0" t="n">
        <v>6</v>
      </c>
      <c r="T6" s="0" t="n">
        <v>4425</v>
      </c>
    </row>
    <row r="7" customFormat="false" ht="13.8" hidden="false" customHeight="false" outlineLevel="0" collapsed="false">
      <c r="A7" s="0" t="s">
        <v>88</v>
      </c>
      <c r="B7" s="0" t="n">
        <v>20.5378</v>
      </c>
      <c r="D7" s="0" t="s">
        <v>88</v>
      </c>
      <c r="E7" s="0" t="n">
        <v>20.3316</v>
      </c>
      <c r="G7" s="0" t="s">
        <v>88</v>
      </c>
      <c r="H7" s="0" t="n">
        <v>20.5221</v>
      </c>
      <c r="J7" s="0" t="s">
        <v>88</v>
      </c>
      <c r="K7" s="0" t="n">
        <v>20.5323</v>
      </c>
      <c r="M7" s="0" t="s">
        <v>88</v>
      </c>
      <c r="N7" s="0" t="n">
        <v>20.6907</v>
      </c>
      <c r="P7" s="0" t="s">
        <v>88</v>
      </c>
      <c r="Q7" s="0" t="n">
        <v>20.5558</v>
      </c>
      <c r="S7" s="0" t="n">
        <v>4</v>
      </c>
      <c r="T7" s="0" t="n">
        <v>81779</v>
      </c>
    </row>
    <row r="8" customFormat="false" ht="13.8" hidden="false" customHeight="false" outlineLevel="0" collapsed="false">
      <c r="A8" s="0" t="s">
        <v>89</v>
      </c>
      <c r="B8" s="0" t="n">
        <v>20.5643</v>
      </c>
      <c r="D8" s="0" t="s">
        <v>89</v>
      </c>
      <c r="E8" s="0" t="n">
        <v>20.3618</v>
      </c>
      <c r="G8" s="0" t="s">
        <v>89</v>
      </c>
      <c r="H8" s="0" t="n">
        <v>20.5093</v>
      </c>
      <c r="J8" s="0" t="s">
        <v>89</v>
      </c>
      <c r="K8" s="0" t="n">
        <v>20.5265</v>
      </c>
      <c r="M8" s="0" t="s">
        <v>89</v>
      </c>
      <c r="N8" s="0" t="n">
        <v>20.6933</v>
      </c>
      <c r="P8" s="0" t="s">
        <v>89</v>
      </c>
      <c r="Q8" s="0" t="n">
        <v>20.5548</v>
      </c>
      <c r="S8" s="0" t="n">
        <v>3</v>
      </c>
      <c r="T8" s="0" t="n">
        <v>67336</v>
      </c>
    </row>
    <row r="9" customFormat="false" ht="13.8" hidden="false" customHeight="false" outlineLevel="0" collapsed="false">
      <c r="A9" s="0" t="s">
        <v>90</v>
      </c>
      <c r="B9" s="0" t="n">
        <v>20.5703</v>
      </c>
      <c r="D9" s="0" t="s">
        <v>90</v>
      </c>
      <c r="E9" s="0" t="n">
        <v>20.4336</v>
      </c>
      <c r="G9" s="0" t="s">
        <v>90</v>
      </c>
      <c r="H9" s="0" t="n">
        <v>20.505</v>
      </c>
      <c r="J9" s="0" t="s">
        <v>90</v>
      </c>
      <c r="K9" s="0" t="n">
        <v>20.5365</v>
      </c>
      <c r="M9" s="0" t="s">
        <v>90</v>
      </c>
      <c r="N9" s="0" t="n">
        <v>20.683</v>
      </c>
      <c r="P9" s="0" t="s">
        <v>90</v>
      </c>
      <c r="Q9" s="0" t="n">
        <v>20.5499</v>
      </c>
      <c r="S9" s="0" t="n">
        <v>3</v>
      </c>
      <c r="T9" s="0" t="n">
        <v>359</v>
      </c>
    </row>
    <row r="10" customFormat="false" ht="13.8" hidden="false" customHeight="false" outlineLevel="0" collapsed="false">
      <c r="A10" s="0" t="s">
        <v>91</v>
      </c>
      <c r="B10" s="0" t="n">
        <v>20.5566</v>
      </c>
      <c r="D10" s="0" t="s">
        <v>91</v>
      </c>
      <c r="E10" s="0" t="n">
        <v>20.4421</v>
      </c>
      <c r="G10" s="0" t="s">
        <v>91</v>
      </c>
      <c r="H10" s="0" t="n">
        <v>20.5355</v>
      </c>
      <c r="J10" s="0" t="s">
        <v>91</v>
      </c>
      <c r="K10" s="0" t="n">
        <v>20.5259</v>
      </c>
      <c r="M10" s="0" t="s">
        <v>91</v>
      </c>
      <c r="N10" s="0" t="n">
        <v>20.6757</v>
      </c>
      <c r="P10" s="0" t="s">
        <v>91</v>
      </c>
      <c r="Q10" s="0" t="n">
        <v>20.566</v>
      </c>
      <c r="S10" s="0" t="n">
        <v>2</v>
      </c>
      <c r="T10" s="0" t="n">
        <v>50979</v>
      </c>
    </row>
    <row r="11" customFormat="false" ht="13.8" hidden="false" customHeight="false" outlineLevel="0" collapsed="false">
      <c r="A11" s="0" t="s">
        <v>28</v>
      </c>
      <c r="B11" s="0" t="n">
        <v>15.8709</v>
      </c>
      <c r="D11" s="0" t="s">
        <v>28</v>
      </c>
      <c r="E11" s="0" t="n">
        <v>15.6986</v>
      </c>
      <c r="G11" s="0" t="s">
        <v>28</v>
      </c>
      <c r="H11" s="0" t="n">
        <v>15.9127</v>
      </c>
      <c r="J11" s="0" t="s">
        <v>28</v>
      </c>
      <c r="K11" s="0" t="n">
        <v>15.8358</v>
      </c>
      <c r="M11" s="0" t="s">
        <v>28</v>
      </c>
      <c r="N11" s="0" t="n">
        <v>16.2072</v>
      </c>
      <c r="P11" s="0" t="s">
        <v>28</v>
      </c>
      <c r="Q11" s="0" t="n">
        <v>15.8492</v>
      </c>
      <c r="S11" s="0" t="n">
        <v>2</v>
      </c>
      <c r="T11" s="0" t="n">
        <v>2262</v>
      </c>
    </row>
    <row r="12" customFormat="false" ht="13.8" hidden="false" customHeight="false" outlineLevel="0" collapsed="false">
      <c r="A12" s="0" t="s">
        <v>60</v>
      </c>
      <c r="B12" s="0" t="n">
        <v>15.7133</v>
      </c>
      <c r="D12" s="0" t="s">
        <v>60</v>
      </c>
      <c r="E12" s="0" t="n">
        <v>15.7243</v>
      </c>
      <c r="G12" s="0" t="s">
        <v>60</v>
      </c>
      <c r="H12" s="0" t="n">
        <v>15.8876</v>
      </c>
      <c r="J12" s="0" t="s">
        <v>60</v>
      </c>
      <c r="K12" s="0" t="n">
        <v>15.8545</v>
      </c>
      <c r="M12" s="0" t="s">
        <v>60</v>
      </c>
      <c r="N12" s="0" t="n">
        <v>16.1982</v>
      </c>
      <c r="P12" s="0" t="s">
        <v>60</v>
      </c>
      <c r="Q12" s="0" t="n">
        <v>15.8453</v>
      </c>
      <c r="S12" s="0" t="n">
        <v>1</v>
      </c>
      <c r="T12" s="0" t="n">
        <v>60151</v>
      </c>
    </row>
    <row r="13" customFormat="false" ht="13.8" hidden="false" customHeight="false" outlineLevel="0" collapsed="false">
      <c r="A13" s="0" t="s">
        <v>92</v>
      </c>
      <c r="B13" s="0" t="n">
        <v>15.6468</v>
      </c>
      <c r="D13" s="0" t="s">
        <v>92</v>
      </c>
      <c r="E13" s="0" t="n">
        <v>15.7506</v>
      </c>
      <c r="G13" s="0" t="s">
        <v>92</v>
      </c>
      <c r="H13" s="0" t="n">
        <v>15.8964</v>
      </c>
      <c r="J13" s="0" t="s">
        <v>92</v>
      </c>
      <c r="K13" s="0" t="n">
        <v>15.8281</v>
      </c>
      <c r="M13" s="0" t="s">
        <v>92</v>
      </c>
      <c r="N13" s="0" t="n">
        <v>16.2091</v>
      </c>
      <c r="P13" s="0" t="s">
        <v>92</v>
      </c>
      <c r="Q13" s="0" t="n">
        <v>15.8397</v>
      </c>
      <c r="S13" s="0" t="n">
        <v>1</v>
      </c>
      <c r="T13" s="0" t="n">
        <v>21577</v>
      </c>
    </row>
    <row r="14" customFormat="false" ht="13.8" hidden="false" customHeight="false" outlineLevel="0" collapsed="false">
      <c r="A14" s="0" t="s">
        <v>93</v>
      </c>
      <c r="B14" s="0" t="n">
        <v>15.698</v>
      </c>
      <c r="D14" s="0" t="s">
        <v>93</v>
      </c>
      <c r="E14" s="0" t="n">
        <v>15.7805</v>
      </c>
      <c r="G14" s="0" t="s">
        <v>93</v>
      </c>
      <c r="H14" s="0" t="n">
        <v>15.8996</v>
      </c>
      <c r="J14" s="0" t="s">
        <v>93</v>
      </c>
      <c r="K14" s="0" t="n">
        <v>15.8272</v>
      </c>
      <c r="M14" s="0" t="s">
        <v>93</v>
      </c>
      <c r="N14" s="0" t="n">
        <v>16.204</v>
      </c>
      <c r="P14" s="0" t="s">
        <v>93</v>
      </c>
      <c r="Q14" s="0" t="n">
        <v>15.8322</v>
      </c>
      <c r="S14" s="0" t="n">
        <v>0</v>
      </c>
      <c r="T14" s="0" t="n">
        <v>903612</v>
      </c>
    </row>
    <row r="15" customFormat="false" ht="13.8" hidden="false" customHeight="false" outlineLevel="0" collapsed="false">
      <c r="A15" s="0" t="s">
        <v>94</v>
      </c>
      <c r="B15" s="0" t="n">
        <v>15.7601</v>
      </c>
      <c r="D15" s="0" t="s">
        <v>94</v>
      </c>
      <c r="E15" s="0" t="n">
        <v>15.6661</v>
      </c>
      <c r="G15" s="0" t="s">
        <v>94</v>
      </c>
      <c r="H15" s="0" t="n">
        <v>15.8894</v>
      </c>
      <c r="J15" s="0" t="s">
        <v>94</v>
      </c>
      <c r="K15" s="0" t="n">
        <v>15.8308</v>
      </c>
      <c r="M15" s="0" t="s">
        <v>94</v>
      </c>
      <c r="N15" s="0" t="n">
        <v>16.2029</v>
      </c>
      <c r="P15" s="0" t="s">
        <v>94</v>
      </c>
      <c r="Q15" s="0" t="n">
        <v>15.8232</v>
      </c>
      <c r="S15" s="0" t="n">
        <v>0</v>
      </c>
      <c r="T15" s="0" t="n">
        <v>635683</v>
      </c>
    </row>
    <row r="16" customFormat="false" ht="13.8" hidden="false" customHeight="false" outlineLevel="0" collapsed="false">
      <c r="A16" s="0" t="s">
        <v>95</v>
      </c>
      <c r="B16" s="0" t="n">
        <v>15.7911</v>
      </c>
      <c r="D16" s="0" t="s">
        <v>95</v>
      </c>
      <c r="E16" s="0" t="n">
        <v>15.6451</v>
      </c>
      <c r="G16" s="0" t="s">
        <v>95</v>
      </c>
      <c r="H16" s="0" t="n">
        <v>15.8737</v>
      </c>
      <c r="J16" s="0" t="s">
        <v>95</v>
      </c>
      <c r="K16" s="0" t="n">
        <v>15.8306</v>
      </c>
      <c r="M16" s="0" t="s">
        <v>95</v>
      </c>
      <c r="N16" s="0" t="n">
        <v>16.191</v>
      </c>
      <c r="P16" s="0" t="s">
        <v>95</v>
      </c>
      <c r="Q16" s="0" t="n">
        <v>15.8415</v>
      </c>
      <c r="S16" s="0" t="n">
        <v>0</v>
      </c>
      <c r="T16" s="0" t="n">
        <v>435215</v>
      </c>
    </row>
    <row r="17" customFormat="false" ht="13.8" hidden="false" customHeight="false" outlineLevel="0" collapsed="false">
      <c r="A17" s="0" t="s">
        <v>96</v>
      </c>
      <c r="B17" s="0" t="n">
        <v>15.8124</v>
      </c>
      <c r="D17" s="0" t="s">
        <v>96</v>
      </c>
      <c r="E17" s="0" t="n">
        <v>15.6746</v>
      </c>
      <c r="G17" s="0" t="s">
        <v>96</v>
      </c>
      <c r="H17" s="0" t="n">
        <v>15.8809</v>
      </c>
      <c r="J17" s="0" t="s">
        <v>96</v>
      </c>
      <c r="K17" s="0" t="n">
        <v>15.8175</v>
      </c>
      <c r="M17" s="0" t="s">
        <v>96</v>
      </c>
      <c r="N17" s="0" t="n">
        <v>16.1925</v>
      </c>
      <c r="P17" s="0" t="s">
        <v>96</v>
      </c>
      <c r="Q17" s="0" t="n">
        <v>15.8404</v>
      </c>
      <c r="S17" s="0" t="n">
        <v>0</v>
      </c>
      <c r="T17" s="0" t="n">
        <v>285229</v>
      </c>
    </row>
    <row r="18" customFormat="false" ht="13.8" hidden="false" customHeight="false" outlineLevel="0" collapsed="false">
      <c r="A18" s="0" t="s">
        <v>97</v>
      </c>
      <c r="B18" s="0" t="n">
        <v>15.8203</v>
      </c>
      <c r="D18" s="0" t="s">
        <v>97</v>
      </c>
      <c r="E18" s="0" t="n">
        <v>15.7081</v>
      </c>
      <c r="G18" s="0" t="s">
        <v>97</v>
      </c>
      <c r="H18" s="0" t="n">
        <v>15.8691</v>
      </c>
      <c r="J18" s="0" t="s">
        <v>97</v>
      </c>
      <c r="K18" s="0" t="n">
        <v>15.8198</v>
      </c>
      <c r="M18" s="0" t="s">
        <v>97</v>
      </c>
      <c r="N18" s="0" t="n">
        <v>16.1818</v>
      </c>
      <c r="P18" s="0" t="s">
        <v>97</v>
      </c>
      <c r="Q18" s="0" t="n">
        <v>15.8283</v>
      </c>
      <c r="S18" s="0" t="n">
        <v>0</v>
      </c>
      <c r="T18" s="0" t="n">
        <v>183436</v>
      </c>
    </row>
    <row r="19" customFormat="false" ht="13.8" hidden="false" customHeight="false" outlineLevel="0" collapsed="false">
      <c r="A19" s="0" t="s">
        <v>98</v>
      </c>
      <c r="B19" s="0" t="n">
        <v>15.8043</v>
      </c>
      <c r="D19" s="0" t="s">
        <v>98</v>
      </c>
      <c r="E19" s="0" t="n">
        <v>15.6654</v>
      </c>
      <c r="G19" s="0" t="s">
        <v>98</v>
      </c>
      <c r="H19" s="0" t="n">
        <v>15.9046</v>
      </c>
      <c r="J19" s="0" t="s">
        <v>98</v>
      </c>
      <c r="K19" s="0" t="n">
        <v>15.8232</v>
      </c>
      <c r="M19" s="0" t="s">
        <v>98</v>
      </c>
      <c r="N19" s="0" t="n">
        <v>16.1841</v>
      </c>
      <c r="P19" s="0" t="s">
        <v>98</v>
      </c>
      <c r="Q19" s="0" t="n">
        <v>15.8433</v>
      </c>
      <c r="S19" s="0" t="n">
        <v>0</v>
      </c>
      <c r="T19" s="0" t="n">
        <v>113866</v>
      </c>
    </row>
    <row r="20" customFormat="false" ht="13.8" hidden="false" customHeight="false" outlineLevel="0" collapsed="false">
      <c r="A20" s="0" t="s">
        <v>41</v>
      </c>
      <c r="B20" s="0" t="n">
        <v>40.412</v>
      </c>
      <c r="D20" s="0" t="s">
        <v>41</v>
      </c>
      <c r="E20" s="0" t="n">
        <v>39.9559</v>
      </c>
      <c r="G20" s="0" t="s">
        <v>41</v>
      </c>
      <c r="H20" s="0" t="n">
        <v>40.0338</v>
      </c>
      <c r="J20" s="0" t="s">
        <v>41</v>
      </c>
      <c r="K20" s="0" t="n">
        <v>40.2889</v>
      </c>
      <c r="M20" s="0" t="s">
        <v>41</v>
      </c>
      <c r="N20" s="0" t="n">
        <v>40.2363</v>
      </c>
      <c r="P20" s="0" t="s">
        <v>41</v>
      </c>
      <c r="Q20" s="0" t="n">
        <v>39.8974</v>
      </c>
      <c r="S20" s="0" t="n">
        <v>0</v>
      </c>
      <c r="T20" s="0" t="n">
        <v>704296</v>
      </c>
    </row>
    <row r="21" customFormat="false" ht="13.8" hidden="false" customHeight="false" outlineLevel="0" collapsed="false">
      <c r="A21" s="0" t="s">
        <v>61</v>
      </c>
      <c r="B21" s="0" t="n">
        <v>39.6074</v>
      </c>
      <c r="D21" s="0" t="s">
        <v>61</v>
      </c>
      <c r="E21" s="0" t="n">
        <v>40.0908</v>
      </c>
      <c r="G21" s="0" t="s">
        <v>61</v>
      </c>
      <c r="H21" s="0" t="n">
        <v>40.0294</v>
      </c>
      <c r="J21" s="0" t="s">
        <v>61</v>
      </c>
      <c r="K21" s="0" t="n">
        <v>40.3128</v>
      </c>
      <c r="M21" s="0" t="s">
        <v>61</v>
      </c>
      <c r="N21" s="0" t="n">
        <v>40.2609</v>
      </c>
      <c r="P21" s="0" t="s">
        <v>61</v>
      </c>
      <c r="Q21" s="0" t="n">
        <v>39.8882</v>
      </c>
      <c r="S21" s="0" t="n">
        <v>0</v>
      </c>
      <c r="T21" s="0" t="n">
        <v>429779</v>
      </c>
    </row>
    <row r="22" customFormat="false" ht="13.8" hidden="false" customHeight="false" outlineLevel="0" collapsed="false">
      <c r="A22" s="0" t="s">
        <v>99</v>
      </c>
      <c r="B22" s="0" t="n">
        <v>39.5593</v>
      </c>
      <c r="D22" s="0" t="s">
        <v>99</v>
      </c>
      <c r="E22" s="0" t="n">
        <v>40.2104</v>
      </c>
      <c r="G22" s="0" t="s">
        <v>99</v>
      </c>
      <c r="H22" s="0" t="n">
        <v>40.0757</v>
      </c>
      <c r="J22" s="0" t="s">
        <v>99</v>
      </c>
      <c r="K22" s="0" t="n">
        <v>40.3344</v>
      </c>
      <c r="M22" s="0" t="s">
        <v>99</v>
      </c>
      <c r="N22" s="0" t="n">
        <v>40.275</v>
      </c>
      <c r="P22" s="0" t="s">
        <v>99</v>
      </c>
      <c r="Q22" s="0" t="n">
        <v>39.9025</v>
      </c>
      <c r="S22" s="0" t="n">
        <v>0</v>
      </c>
      <c r="T22" s="0" t="n">
        <v>261288</v>
      </c>
    </row>
    <row r="23" customFormat="false" ht="13.8" hidden="false" customHeight="false" outlineLevel="0" collapsed="false">
      <c r="A23" s="0" t="s">
        <v>100</v>
      </c>
      <c r="B23" s="0" t="n">
        <v>39.7716</v>
      </c>
      <c r="D23" s="0" t="s">
        <v>100</v>
      </c>
      <c r="E23" s="0" t="n">
        <v>40.3197</v>
      </c>
      <c r="G23" s="0" t="s">
        <v>100</v>
      </c>
      <c r="H23" s="0" t="n">
        <v>40.0117</v>
      </c>
      <c r="J23" s="0" t="s">
        <v>100</v>
      </c>
      <c r="K23" s="0" t="n">
        <v>40.3112</v>
      </c>
      <c r="M23" s="0" t="s">
        <v>100</v>
      </c>
      <c r="N23" s="0" t="n">
        <v>40.3118</v>
      </c>
      <c r="P23" s="0" t="s">
        <v>100</v>
      </c>
      <c r="Q23" s="0" t="n">
        <v>39.8961</v>
      </c>
      <c r="S23" s="0" t="n">
        <v>0</v>
      </c>
      <c r="T23" s="0" t="n">
        <v>161497</v>
      </c>
    </row>
    <row r="24" customFormat="false" ht="13.8" hidden="false" customHeight="false" outlineLevel="0" collapsed="false">
      <c r="A24" s="0" t="s">
        <v>101</v>
      </c>
      <c r="B24" s="0" t="n">
        <v>39.9787</v>
      </c>
      <c r="D24" s="0" t="s">
        <v>101</v>
      </c>
      <c r="E24" s="0" t="n">
        <v>39.6162</v>
      </c>
      <c r="G24" s="0" t="s">
        <v>101</v>
      </c>
      <c r="H24" s="0" t="n">
        <v>40.0851</v>
      </c>
      <c r="J24" s="0" t="s">
        <v>101</v>
      </c>
      <c r="K24" s="0" t="n">
        <v>40.3323</v>
      </c>
      <c r="M24" s="0" t="s">
        <v>101</v>
      </c>
      <c r="N24" s="0" t="n">
        <v>40.3135</v>
      </c>
      <c r="P24" s="0" t="s">
        <v>101</v>
      </c>
      <c r="Q24" s="0" t="n">
        <v>39.9333</v>
      </c>
      <c r="S24" s="0" t="n">
        <v>0</v>
      </c>
      <c r="T24" s="0" t="n">
        <v>100211</v>
      </c>
    </row>
    <row r="25" customFormat="false" ht="13.8" hidden="false" customHeight="false" outlineLevel="0" collapsed="false">
      <c r="A25" s="0" t="s">
        <v>102</v>
      </c>
      <c r="B25" s="0" t="n">
        <v>40.1512</v>
      </c>
      <c r="D25" s="0" t="s">
        <v>102</v>
      </c>
      <c r="E25" s="0" t="n">
        <v>39.7158</v>
      </c>
      <c r="G25" s="0" t="s">
        <v>102</v>
      </c>
      <c r="H25" s="0" t="n">
        <v>40.078</v>
      </c>
      <c r="J25" s="0" t="s">
        <v>102</v>
      </c>
      <c r="K25" s="0" t="n">
        <v>40.3386</v>
      </c>
      <c r="M25" s="0" t="s">
        <v>102</v>
      </c>
      <c r="N25" s="0" t="n">
        <v>40.3307</v>
      </c>
      <c r="P25" s="0" t="s">
        <v>102</v>
      </c>
      <c r="Q25" s="0" t="n">
        <v>39.8936</v>
      </c>
      <c r="S25" s="0" t="n">
        <v>0</v>
      </c>
      <c r="T25" s="0" t="n">
        <v>630819</v>
      </c>
    </row>
    <row r="26" customFormat="false" ht="13.8" hidden="false" customHeight="false" outlineLevel="0" collapsed="false">
      <c r="A26" s="0" t="s">
        <v>103</v>
      </c>
      <c r="B26" s="0" t="n">
        <v>40.298</v>
      </c>
      <c r="D26" s="0" t="s">
        <v>103</v>
      </c>
      <c r="E26" s="0" t="n">
        <v>39.8215</v>
      </c>
      <c r="G26" s="0" t="s">
        <v>103</v>
      </c>
      <c r="H26" s="0" t="n">
        <v>40.0181</v>
      </c>
      <c r="J26" s="0" t="s">
        <v>103</v>
      </c>
      <c r="K26" s="0" t="n">
        <v>40.37</v>
      </c>
      <c r="M26" s="0" t="s">
        <v>103</v>
      </c>
      <c r="N26" s="0" t="n">
        <v>40.3269</v>
      </c>
      <c r="P26" s="0" t="s">
        <v>103</v>
      </c>
      <c r="Q26" s="0" t="n">
        <v>39.9035</v>
      </c>
      <c r="S26" s="0" t="n">
        <v>0</v>
      </c>
      <c r="T26" s="0" t="n">
        <v>401521</v>
      </c>
    </row>
    <row r="27" customFormat="false" ht="13.8" hidden="false" customHeight="false" outlineLevel="0" collapsed="false">
      <c r="A27" s="0" t="s">
        <v>104</v>
      </c>
      <c r="B27" s="0" t="n">
        <v>40.3822</v>
      </c>
      <c r="D27" s="0" t="s">
        <v>104</v>
      </c>
      <c r="E27" s="0" t="n">
        <v>40.0615</v>
      </c>
      <c r="G27" s="0" t="s">
        <v>104</v>
      </c>
      <c r="H27" s="0" t="n">
        <v>40.0667</v>
      </c>
      <c r="J27" s="0" t="s">
        <v>104</v>
      </c>
      <c r="K27" s="0" t="n">
        <v>40.4199</v>
      </c>
      <c r="M27" s="0" t="s">
        <v>104</v>
      </c>
      <c r="N27" s="0" t="n">
        <v>40.3477</v>
      </c>
      <c r="P27" s="0" t="s">
        <v>104</v>
      </c>
      <c r="Q27" s="0" t="n">
        <v>39.9299</v>
      </c>
      <c r="S27" s="0" t="n">
        <v>0</v>
      </c>
      <c r="T27" s="0" t="n">
        <v>259123</v>
      </c>
    </row>
    <row r="28" customFormat="false" ht="13.8" hidden="false" customHeight="false" outlineLevel="0" collapsed="false">
      <c r="A28" s="0" t="s">
        <v>105</v>
      </c>
      <c r="B28" s="0" t="n">
        <v>40.4578</v>
      </c>
      <c r="D28" s="0" t="s">
        <v>105</v>
      </c>
      <c r="E28" s="0" t="n">
        <v>39.947</v>
      </c>
      <c r="G28" s="0" t="s">
        <v>105</v>
      </c>
      <c r="H28" s="0" t="n">
        <v>40.091</v>
      </c>
      <c r="J28" s="0" t="s">
        <v>105</v>
      </c>
      <c r="K28" s="0" t="n">
        <v>40.379</v>
      </c>
      <c r="M28" s="0" t="s">
        <v>105</v>
      </c>
      <c r="N28" s="0" t="n">
        <v>40.3539</v>
      </c>
      <c r="P28" s="0" t="s">
        <v>105</v>
      </c>
      <c r="Q28" s="0" t="n">
        <v>39.9671</v>
      </c>
      <c r="S28" s="0" t="n">
        <v>0</v>
      </c>
      <c r="T28" s="0" t="n">
        <v>170056</v>
      </c>
    </row>
    <row r="29" customFormat="false" ht="13.8" hidden="false" customHeight="false" outlineLevel="0" collapsed="false">
      <c r="A29" s="0" t="s">
        <v>45</v>
      </c>
      <c r="B29" s="0" t="n">
        <v>20.1743</v>
      </c>
      <c r="D29" s="0" t="s">
        <v>45</v>
      </c>
      <c r="E29" s="0" t="n">
        <v>20.0085</v>
      </c>
      <c r="G29" s="0" t="s">
        <v>45</v>
      </c>
      <c r="H29" s="0" t="n">
        <v>20.0681</v>
      </c>
      <c r="J29" s="0" t="s">
        <v>45</v>
      </c>
      <c r="K29" s="0" t="n">
        <v>20.0973</v>
      </c>
      <c r="M29" s="0" t="s">
        <v>45</v>
      </c>
      <c r="N29" s="0" t="n">
        <v>20.1891</v>
      </c>
      <c r="P29" s="0" t="s">
        <v>45</v>
      </c>
      <c r="Q29" s="0" t="n">
        <v>20.165</v>
      </c>
      <c r="S29" s="0" t="n">
        <v>0</v>
      </c>
      <c r="T29" s="0" t="n">
        <v>112032</v>
      </c>
    </row>
    <row r="30" customFormat="false" ht="13.8" hidden="false" customHeight="false" outlineLevel="0" collapsed="false">
      <c r="A30" s="0" t="s">
        <v>69</v>
      </c>
      <c r="B30" s="0" t="n">
        <v>19.8554</v>
      </c>
      <c r="D30" s="0" t="s">
        <v>69</v>
      </c>
      <c r="E30" s="0" t="n">
        <v>20.034</v>
      </c>
      <c r="G30" s="0" t="s">
        <v>69</v>
      </c>
      <c r="H30" s="0" t="n">
        <v>20.0541</v>
      </c>
      <c r="J30" s="0" t="s">
        <v>69</v>
      </c>
      <c r="K30" s="0" t="n">
        <v>20.1191</v>
      </c>
      <c r="M30" s="0" t="s">
        <v>69</v>
      </c>
      <c r="N30" s="0" t="n">
        <v>20.1815</v>
      </c>
      <c r="P30" s="0" t="s">
        <v>69</v>
      </c>
      <c r="Q30" s="0" t="n">
        <v>20.1634</v>
      </c>
      <c r="S30" s="0" t="n">
        <v>0</v>
      </c>
      <c r="T30" s="0" t="n">
        <v>747183</v>
      </c>
    </row>
    <row r="31" customFormat="false" ht="13.8" hidden="false" customHeight="false" outlineLevel="0" collapsed="false">
      <c r="A31" s="0" t="s">
        <v>106</v>
      </c>
      <c r="B31" s="0" t="n">
        <v>19.8679</v>
      </c>
      <c r="D31" s="0" t="s">
        <v>106</v>
      </c>
      <c r="E31" s="0" t="n">
        <v>20.0763</v>
      </c>
      <c r="G31" s="0" t="s">
        <v>106</v>
      </c>
      <c r="H31" s="0" t="n">
        <v>20.0608</v>
      </c>
      <c r="J31" s="0" t="s">
        <v>106</v>
      </c>
      <c r="K31" s="0" t="n">
        <v>20.0968</v>
      </c>
      <c r="M31" s="0" t="s">
        <v>106</v>
      </c>
      <c r="N31" s="0" t="n">
        <v>20.1923</v>
      </c>
      <c r="P31" s="0" t="s">
        <v>106</v>
      </c>
      <c r="Q31" s="0" t="n">
        <v>20.1666</v>
      </c>
      <c r="S31" s="0" t="n">
        <v>0</v>
      </c>
      <c r="T31" s="0" t="n">
        <v>481879</v>
      </c>
    </row>
    <row r="32" customFormat="false" ht="13.8" hidden="false" customHeight="false" outlineLevel="0" collapsed="false">
      <c r="A32" s="0" t="s">
        <v>107</v>
      </c>
      <c r="B32" s="0" t="n">
        <v>19.9701</v>
      </c>
      <c r="D32" s="0" t="s">
        <v>107</v>
      </c>
      <c r="E32" s="0" t="n">
        <v>20.1473</v>
      </c>
      <c r="G32" s="0" t="s">
        <v>107</v>
      </c>
      <c r="H32" s="0" t="n">
        <v>20.0544</v>
      </c>
      <c r="J32" s="0" t="s">
        <v>107</v>
      </c>
      <c r="K32" s="0" t="n">
        <v>20.084</v>
      </c>
      <c r="M32" s="0" t="s">
        <v>107</v>
      </c>
      <c r="N32" s="0" t="n">
        <v>20.1949</v>
      </c>
      <c r="P32" s="0" t="s">
        <v>107</v>
      </c>
      <c r="Q32" s="0" t="n">
        <v>20.1493</v>
      </c>
      <c r="S32" s="0" t="n">
        <v>0</v>
      </c>
      <c r="T32" s="0" t="n">
        <v>329374</v>
      </c>
    </row>
    <row r="33" customFormat="false" ht="13.8" hidden="false" customHeight="false" outlineLevel="0" collapsed="false">
      <c r="A33" s="0" t="s">
        <v>108</v>
      </c>
      <c r="B33" s="0" t="n">
        <v>20.0789</v>
      </c>
      <c r="D33" s="0" t="s">
        <v>108</v>
      </c>
      <c r="E33" s="0" t="n">
        <v>19.8763</v>
      </c>
      <c r="G33" s="0" t="s">
        <v>108</v>
      </c>
      <c r="H33" s="0" t="n">
        <v>20.0585</v>
      </c>
      <c r="J33" s="0" t="s">
        <v>108</v>
      </c>
      <c r="K33" s="0" t="n">
        <v>20.094</v>
      </c>
      <c r="M33" s="0" t="s">
        <v>108</v>
      </c>
      <c r="N33" s="0" t="n">
        <v>20.204</v>
      </c>
      <c r="P33" s="0" t="s">
        <v>108</v>
      </c>
      <c r="Q33" s="0" t="n">
        <v>20.1523</v>
      </c>
      <c r="S33" s="0" t="n">
        <v>0</v>
      </c>
      <c r="T33" s="0" t="n">
        <v>197173</v>
      </c>
    </row>
    <row r="34" customFormat="false" ht="13.8" hidden="false" customHeight="false" outlineLevel="0" collapsed="false">
      <c r="A34" s="0" t="s">
        <v>109</v>
      </c>
      <c r="B34" s="0" t="n">
        <v>20.1164</v>
      </c>
      <c r="D34" s="0" t="s">
        <v>109</v>
      </c>
      <c r="E34" s="0" t="n">
        <v>19.859</v>
      </c>
      <c r="G34" s="0" t="s">
        <v>109</v>
      </c>
      <c r="H34" s="0" t="n">
        <v>20.0504</v>
      </c>
      <c r="J34" s="0" t="s">
        <v>109</v>
      </c>
      <c r="K34" s="0" t="n">
        <v>20.0993</v>
      </c>
      <c r="M34" s="0" t="s">
        <v>109</v>
      </c>
      <c r="N34" s="0" t="n">
        <v>20.1995</v>
      </c>
      <c r="P34" s="0" t="s">
        <v>109</v>
      </c>
      <c r="Q34" s="0" t="n">
        <v>20.1515</v>
      </c>
      <c r="S34" s="0" t="s">
        <v>109</v>
      </c>
      <c r="T34" s="0" t="n">
        <v>20.1405</v>
      </c>
    </row>
    <row r="35" customFormat="false" ht="13.8" hidden="false" customHeight="false" outlineLevel="0" collapsed="false">
      <c r="A35" s="0" t="s">
        <v>110</v>
      </c>
      <c r="B35" s="0" t="n">
        <v>20.149</v>
      </c>
      <c r="D35" s="0" t="s">
        <v>110</v>
      </c>
      <c r="E35" s="0" t="n">
        <v>19.8903</v>
      </c>
      <c r="G35" s="0" t="s">
        <v>110</v>
      </c>
      <c r="H35" s="0" t="n">
        <v>20.0324</v>
      </c>
      <c r="J35" s="0" t="s">
        <v>110</v>
      </c>
      <c r="K35" s="0" t="n">
        <v>20.1039</v>
      </c>
      <c r="M35" s="0" t="s">
        <v>110</v>
      </c>
      <c r="N35" s="0" t="n">
        <v>20.1988</v>
      </c>
      <c r="P35" s="0" t="s">
        <v>110</v>
      </c>
      <c r="Q35" s="0" t="n">
        <v>20.1555</v>
      </c>
      <c r="S35" s="0" t="s">
        <v>110</v>
      </c>
      <c r="T35" s="0" t="n">
        <v>20.1438</v>
      </c>
    </row>
    <row r="36" customFormat="false" ht="13.8" hidden="false" customHeight="false" outlineLevel="0" collapsed="false">
      <c r="A36" s="0" t="s">
        <v>111</v>
      </c>
      <c r="B36" s="0" t="n">
        <v>20.1554</v>
      </c>
      <c r="D36" s="0" t="s">
        <v>111</v>
      </c>
      <c r="E36" s="0" t="n">
        <v>19.9679</v>
      </c>
      <c r="G36" s="0" t="s">
        <v>111</v>
      </c>
      <c r="H36" s="0" t="n">
        <v>20.0308</v>
      </c>
      <c r="J36" s="0" t="s">
        <v>111</v>
      </c>
      <c r="K36" s="0" t="n">
        <v>20.1041</v>
      </c>
      <c r="M36" s="0" t="s">
        <v>111</v>
      </c>
      <c r="N36" s="0" t="n">
        <v>20.1877</v>
      </c>
      <c r="P36" s="0" t="s">
        <v>111</v>
      </c>
      <c r="Q36" s="0" t="n">
        <v>20.1574</v>
      </c>
      <c r="S36" s="0" t="s">
        <v>111</v>
      </c>
      <c r="T36" s="0" t="n">
        <v>20.1285</v>
      </c>
    </row>
    <row r="37" customFormat="false" ht="13.8" hidden="false" customHeight="false" outlineLevel="0" collapsed="false">
      <c r="A37" s="0" t="s">
        <v>112</v>
      </c>
      <c r="B37" s="0" t="n">
        <v>20.1367</v>
      </c>
      <c r="D37" s="0" t="s">
        <v>112</v>
      </c>
      <c r="E37" s="0" t="n">
        <v>19.9942</v>
      </c>
      <c r="G37" s="0" t="s">
        <v>112</v>
      </c>
      <c r="H37" s="0" t="n">
        <v>20.0652</v>
      </c>
      <c r="J37" s="0" t="s">
        <v>112</v>
      </c>
      <c r="K37" s="0" t="n">
        <v>20.0986</v>
      </c>
      <c r="M37" s="0" t="s">
        <v>112</v>
      </c>
      <c r="N37" s="0" t="n">
        <v>20.175</v>
      </c>
      <c r="P37" s="0" t="s">
        <v>112</v>
      </c>
      <c r="Q37" s="0" t="n">
        <v>20.1652</v>
      </c>
      <c r="S37" s="0" t="s">
        <v>112</v>
      </c>
      <c r="T37" s="0" t="n">
        <v>20.1408</v>
      </c>
    </row>
    <row r="38" customFormat="false" ht="13.8" hidden="false" customHeight="false" outlineLevel="0" collapsed="false">
      <c r="A38" s="0" t="s">
        <v>47</v>
      </c>
      <c r="B38" s="0" t="n">
        <v>24.8999</v>
      </c>
      <c r="D38" s="0" t="s">
        <v>47</v>
      </c>
      <c r="E38" s="0" t="n">
        <v>25.1155</v>
      </c>
      <c r="G38" s="0" t="s">
        <v>47</v>
      </c>
      <c r="H38" s="0" t="n">
        <v>25.216</v>
      </c>
      <c r="J38" s="0" t="s">
        <v>47</v>
      </c>
      <c r="K38" s="0" t="n">
        <v>24.8994</v>
      </c>
      <c r="M38" s="0" t="s">
        <v>47</v>
      </c>
      <c r="N38" s="0" t="n">
        <v>25.4304</v>
      </c>
      <c r="P38" s="0" t="s">
        <v>47</v>
      </c>
      <c r="Q38" s="0" t="n">
        <v>24.7819</v>
      </c>
      <c r="S38" s="0" t="s">
        <v>47</v>
      </c>
      <c r="T38" s="0" t="n">
        <v>24.8207</v>
      </c>
    </row>
    <row r="39" customFormat="false" ht="13.8" hidden="false" customHeight="false" outlineLevel="0" collapsed="false">
      <c r="A39" s="0" t="s">
        <v>70</v>
      </c>
      <c r="B39" s="0" t="n">
        <v>24.9244</v>
      </c>
      <c r="D39" s="0" t="s">
        <v>70</v>
      </c>
      <c r="E39" s="0" t="n">
        <v>25.1528</v>
      </c>
      <c r="G39" s="0" t="s">
        <v>70</v>
      </c>
      <c r="H39" s="0" t="n">
        <v>25.1075</v>
      </c>
      <c r="J39" s="0" t="s">
        <v>70</v>
      </c>
      <c r="K39" s="0" t="n">
        <v>24.8766</v>
      </c>
      <c r="M39" s="0" t="s">
        <v>70</v>
      </c>
      <c r="N39" s="0" t="n">
        <v>25.4401</v>
      </c>
      <c r="P39" s="0" t="s">
        <v>70</v>
      </c>
      <c r="Q39" s="0" t="n">
        <v>24.7361</v>
      </c>
      <c r="S39" s="0" t="s">
        <v>70</v>
      </c>
      <c r="T39" s="0" t="n">
        <v>24.8772</v>
      </c>
    </row>
    <row r="40" customFormat="false" ht="13.8" hidden="false" customHeight="false" outlineLevel="0" collapsed="false">
      <c r="A40" s="0" t="s">
        <v>113</v>
      </c>
      <c r="B40" s="0" t="n">
        <v>24.7158</v>
      </c>
      <c r="D40" s="0" t="s">
        <v>113</v>
      </c>
      <c r="E40" s="0" t="n">
        <v>25.0792</v>
      </c>
      <c r="G40" s="0" t="s">
        <v>113</v>
      </c>
      <c r="H40" s="0" t="n">
        <v>25.1679</v>
      </c>
      <c r="J40" s="0" t="s">
        <v>113</v>
      </c>
      <c r="K40" s="0" t="n">
        <v>24.9471</v>
      </c>
      <c r="M40" s="0" t="s">
        <v>113</v>
      </c>
      <c r="N40" s="0" t="n">
        <v>25.3611</v>
      </c>
      <c r="P40" s="0" t="s">
        <v>113</v>
      </c>
      <c r="Q40" s="0" t="n">
        <v>24.631</v>
      </c>
      <c r="S40" s="0" t="s">
        <v>113</v>
      </c>
      <c r="T40" s="0" t="n">
        <v>24.8412</v>
      </c>
    </row>
    <row r="41" customFormat="false" ht="13.8" hidden="false" customHeight="false" outlineLevel="0" collapsed="false">
      <c r="A41" s="0" t="s">
        <v>114</v>
      </c>
      <c r="B41" s="0" t="n">
        <v>24.7076</v>
      </c>
      <c r="D41" s="0" t="s">
        <v>114</v>
      </c>
      <c r="E41" s="0" t="n">
        <v>25.0458</v>
      </c>
      <c r="G41" s="0" t="s">
        <v>114</v>
      </c>
      <c r="H41" s="0" t="n">
        <v>25.1608</v>
      </c>
      <c r="J41" s="0" t="s">
        <v>114</v>
      </c>
      <c r="K41" s="0" t="n">
        <v>24.9488</v>
      </c>
      <c r="M41" s="0" t="s">
        <v>114</v>
      </c>
      <c r="N41" s="0" t="n">
        <v>25.3654</v>
      </c>
      <c r="P41" s="0" t="s">
        <v>114</v>
      </c>
      <c r="Q41" s="0" t="n">
        <v>24.7215</v>
      </c>
      <c r="S41" s="0" t="s">
        <v>114</v>
      </c>
      <c r="T41" s="0" t="n">
        <v>24.8168</v>
      </c>
    </row>
    <row r="42" customFormat="false" ht="13.8" hidden="false" customHeight="false" outlineLevel="0" collapsed="false">
      <c r="A42" s="0" t="s">
        <v>115</v>
      </c>
      <c r="B42" s="0" t="n">
        <v>24.6033</v>
      </c>
      <c r="D42" s="0" t="s">
        <v>115</v>
      </c>
      <c r="E42" s="0" t="n">
        <v>25.0494</v>
      </c>
      <c r="G42" s="0" t="s">
        <v>115</v>
      </c>
      <c r="H42" s="0" t="n">
        <v>25.1549</v>
      </c>
      <c r="J42" s="0" t="s">
        <v>115</v>
      </c>
      <c r="K42" s="0" t="n">
        <v>24.887</v>
      </c>
      <c r="M42" s="0" t="s">
        <v>115</v>
      </c>
      <c r="N42" s="0" t="n">
        <v>25.3391</v>
      </c>
      <c r="P42" s="0" t="s">
        <v>115</v>
      </c>
      <c r="Q42" s="0" t="n">
        <v>24.613</v>
      </c>
      <c r="S42" s="0" t="s">
        <v>115</v>
      </c>
      <c r="T42" s="0" t="n">
        <v>24.8205</v>
      </c>
    </row>
    <row r="43" customFormat="false" ht="13.8" hidden="false" customHeight="false" outlineLevel="0" collapsed="false">
      <c r="A43" s="0" t="s">
        <v>116</v>
      </c>
      <c r="B43" s="0" t="n">
        <v>24.6798</v>
      </c>
      <c r="D43" s="0" t="s">
        <v>116</v>
      </c>
      <c r="E43" s="0" t="n">
        <v>25.0713</v>
      </c>
      <c r="G43" s="0" t="s">
        <v>116</v>
      </c>
      <c r="H43" s="0" t="n">
        <v>25.0603</v>
      </c>
      <c r="J43" s="0" t="s">
        <v>116</v>
      </c>
      <c r="K43" s="0" t="n">
        <v>24.8316</v>
      </c>
      <c r="M43" s="0" t="s">
        <v>116</v>
      </c>
      <c r="N43" s="0" t="n">
        <v>25.2763</v>
      </c>
      <c r="P43" s="0" t="s">
        <v>116</v>
      </c>
      <c r="Q43" s="0" t="n">
        <v>24.6589</v>
      </c>
      <c r="S43" s="0" t="s">
        <v>116</v>
      </c>
      <c r="T43" s="0" t="n">
        <v>24.7984</v>
      </c>
    </row>
    <row r="44" customFormat="false" ht="13.8" hidden="false" customHeight="false" outlineLevel="0" collapsed="false">
      <c r="A44" s="0" t="s">
        <v>117</v>
      </c>
      <c r="B44" s="0" t="n">
        <v>24.6352</v>
      </c>
      <c r="D44" s="0" t="s">
        <v>117</v>
      </c>
      <c r="E44" s="0" t="n">
        <v>25.0859</v>
      </c>
      <c r="G44" s="0" t="s">
        <v>117</v>
      </c>
      <c r="H44" s="0" t="n">
        <v>25.0895</v>
      </c>
      <c r="J44" s="0" t="s">
        <v>117</v>
      </c>
      <c r="K44" s="0" t="n">
        <v>24.7201</v>
      </c>
      <c r="M44" s="0" t="s">
        <v>117</v>
      </c>
      <c r="N44" s="0" t="n">
        <v>25.2948</v>
      </c>
      <c r="P44" s="0" t="s">
        <v>117</v>
      </c>
      <c r="Q44" s="0" t="n">
        <v>24.6085</v>
      </c>
      <c r="S44" s="0" t="s">
        <v>117</v>
      </c>
      <c r="T44" s="0" t="n">
        <v>24.7281</v>
      </c>
    </row>
    <row r="45" customFormat="false" ht="13.8" hidden="false" customHeight="false" outlineLevel="0" collapsed="false">
      <c r="A45" s="0" t="s">
        <v>118</v>
      </c>
      <c r="B45" s="0" t="n">
        <v>24.6391</v>
      </c>
      <c r="D45" s="0" t="s">
        <v>118</v>
      </c>
      <c r="E45" s="0" t="n">
        <v>25.0629</v>
      </c>
      <c r="G45" s="0" t="s">
        <v>118</v>
      </c>
      <c r="H45" s="0" t="n">
        <v>25.0568</v>
      </c>
      <c r="J45" s="0" t="s">
        <v>118</v>
      </c>
      <c r="K45" s="0" t="n">
        <v>24.8159</v>
      </c>
      <c r="M45" s="0" t="s">
        <v>118</v>
      </c>
      <c r="N45" s="0" t="n">
        <v>25.292</v>
      </c>
      <c r="P45" s="0" t="s">
        <v>118</v>
      </c>
      <c r="Q45" s="0" t="n">
        <v>24.5242</v>
      </c>
      <c r="S45" s="0" t="s">
        <v>118</v>
      </c>
      <c r="T45" s="0" t="n">
        <v>24.7774</v>
      </c>
    </row>
    <row r="46" customFormat="false" ht="13.8" hidden="false" customHeight="false" outlineLevel="0" collapsed="false">
      <c r="A46" s="0" t="s">
        <v>119</v>
      </c>
      <c r="B46" s="0" t="n">
        <v>24.6736</v>
      </c>
      <c r="D46" s="0" t="s">
        <v>119</v>
      </c>
      <c r="E46" s="0" t="n">
        <v>24.8794</v>
      </c>
      <c r="G46" s="0" t="s">
        <v>119</v>
      </c>
      <c r="H46" s="0" t="n">
        <v>25.0398</v>
      </c>
      <c r="J46" s="0" t="s">
        <v>119</v>
      </c>
      <c r="K46" s="0" t="n">
        <v>24.7536</v>
      </c>
      <c r="M46" s="0" t="s">
        <v>119</v>
      </c>
      <c r="N46" s="0" t="n">
        <v>25.3353</v>
      </c>
      <c r="P46" s="0" t="s">
        <v>119</v>
      </c>
      <c r="Q46" s="0" t="n">
        <v>24.6194</v>
      </c>
      <c r="S46" s="0" t="s">
        <v>119</v>
      </c>
      <c r="T46" s="0" t="n">
        <v>24.6401</v>
      </c>
    </row>
    <row r="47" customFormat="false" ht="13.8" hidden="false" customHeight="false" outlineLevel="0" collapsed="false">
      <c r="A47" s="0" t="s">
        <v>120</v>
      </c>
      <c r="B47" s="0" t="n">
        <v>13.4526</v>
      </c>
      <c r="D47" s="0" t="s">
        <v>120</v>
      </c>
      <c r="E47" s="0" t="n">
        <v>13.4269</v>
      </c>
      <c r="G47" s="0" t="s">
        <v>120</v>
      </c>
      <c r="H47" s="0" t="n">
        <v>13.5542</v>
      </c>
      <c r="J47" s="0" t="s">
        <v>120</v>
      </c>
      <c r="K47" s="0" t="n">
        <v>13.3854</v>
      </c>
      <c r="M47" s="0" t="s">
        <v>120</v>
      </c>
      <c r="N47" s="0" t="n">
        <v>13.6271</v>
      </c>
      <c r="P47" s="0" t="s">
        <v>120</v>
      </c>
      <c r="Q47" s="0" t="n">
        <v>13.4641</v>
      </c>
      <c r="S47" s="0" t="s">
        <v>120</v>
      </c>
      <c r="T47" s="0" t="n">
        <v>13.47</v>
      </c>
    </row>
    <row r="48" customFormat="false" ht="13.8" hidden="false" customHeight="false" outlineLevel="0" collapsed="false">
      <c r="A48" s="0" t="s">
        <v>121</v>
      </c>
      <c r="B48" s="0" t="n">
        <v>13.2916</v>
      </c>
      <c r="D48" s="0" t="s">
        <v>121</v>
      </c>
      <c r="E48" s="0" t="n">
        <v>13.4294</v>
      </c>
      <c r="G48" s="0" t="s">
        <v>121</v>
      </c>
      <c r="H48" s="0" t="n">
        <v>13.5366</v>
      </c>
      <c r="J48" s="0" t="s">
        <v>121</v>
      </c>
      <c r="K48" s="0" t="n">
        <v>13.4133</v>
      </c>
      <c r="M48" s="0" t="s">
        <v>121</v>
      </c>
      <c r="N48" s="0" t="n">
        <v>13.6251</v>
      </c>
      <c r="P48" s="0" t="s">
        <v>121</v>
      </c>
      <c r="Q48" s="0" t="n">
        <v>13.4665</v>
      </c>
      <c r="S48" s="0" t="s">
        <v>121</v>
      </c>
      <c r="T48" s="0" t="n">
        <v>13.4735</v>
      </c>
    </row>
    <row r="49" customFormat="false" ht="13.8" hidden="false" customHeight="false" outlineLevel="0" collapsed="false">
      <c r="A49" s="0" t="s">
        <v>122</v>
      </c>
      <c r="B49" s="0" t="n">
        <v>13.3179</v>
      </c>
      <c r="D49" s="0" t="s">
        <v>122</v>
      </c>
      <c r="E49" s="0" t="n">
        <v>13.4529</v>
      </c>
      <c r="G49" s="0" t="s">
        <v>122</v>
      </c>
      <c r="H49" s="0" t="n">
        <v>13.5499</v>
      </c>
      <c r="J49" s="0" t="s">
        <v>122</v>
      </c>
      <c r="K49" s="0" t="n">
        <v>13.3943</v>
      </c>
      <c r="M49" s="0" t="s">
        <v>122</v>
      </c>
      <c r="N49" s="0" t="n">
        <v>13.6178</v>
      </c>
      <c r="P49" s="0" t="s">
        <v>122</v>
      </c>
      <c r="Q49" s="0" t="n">
        <v>13.4763</v>
      </c>
      <c r="S49" s="0" t="s">
        <v>122</v>
      </c>
      <c r="T49" s="0" t="n">
        <v>13.4731</v>
      </c>
    </row>
    <row r="50" customFormat="false" ht="13.8" hidden="false" customHeight="false" outlineLevel="0" collapsed="false">
      <c r="A50" s="0" t="s">
        <v>123</v>
      </c>
      <c r="B50" s="0" t="n">
        <v>13.4123</v>
      </c>
      <c r="D50" s="0" t="s">
        <v>123</v>
      </c>
      <c r="E50" s="0" t="n">
        <v>13.5332</v>
      </c>
      <c r="G50" s="0" t="s">
        <v>123</v>
      </c>
      <c r="H50" s="0" t="n">
        <v>13.5317</v>
      </c>
      <c r="J50" s="0" t="s">
        <v>123</v>
      </c>
      <c r="K50" s="0" t="n">
        <v>13.3939</v>
      </c>
      <c r="M50" s="0" t="s">
        <v>123</v>
      </c>
      <c r="N50" s="0" t="n">
        <v>13.6279</v>
      </c>
      <c r="P50" s="0" t="s">
        <v>123</v>
      </c>
      <c r="Q50" s="0" t="n">
        <v>13.4489</v>
      </c>
      <c r="S50" s="0" t="s">
        <v>123</v>
      </c>
      <c r="T50" s="0" t="n">
        <v>13.4899</v>
      </c>
    </row>
    <row r="51" customFormat="false" ht="13.8" hidden="false" customHeight="false" outlineLevel="0" collapsed="false">
      <c r="A51" s="0" t="s">
        <v>124</v>
      </c>
      <c r="B51" s="0" t="n">
        <v>13.4984</v>
      </c>
      <c r="D51" s="0" t="s">
        <v>124</v>
      </c>
      <c r="E51" s="0" t="n">
        <v>13.3957</v>
      </c>
      <c r="G51" s="0" t="s">
        <v>124</v>
      </c>
      <c r="H51" s="0" t="n">
        <v>13.5216</v>
      </c>
      <c r="J51" s="0" t="s">
        <v>124</v>
      </c>
      <c r="K51" s="0" t="n">
        <v>13.3952</v>
      </c>
      <c r="M51" s="0" t="s">
        <v>124</v>
      </c>
      <c r="N51" s="0" t="n">
        <v>13.6208</v>
      </c>
      <c r="P51" s="0" t="s">
        <v>124</v>
      </c>
      <c r="Q51" s="0" t="n">
        <v>13.4608</v>
      </c>
      <c r="S51" s="0" t="s">
        <v>124</v>
      </c>
      <c r="T51" s="0" t="n">
        <v>13.4631</v>
      </c>
    </row>
    <row r="52" customFormat="false" ht="13.8" hidden="false" customHeight="false" outlineLevel="0" collapsed="false">
      <c r="A52" s="0" t="s">
        <v>125</v>
      </c>
      <c r="B52" s="0" t="n">
        <v>13.5146</v>
      </c>
      <c r="D52" s="0" t="s">
        <v>125</v>
      </c>
      <c r="E52" s="0" t="n">
        <v>13.3395</v>
      </c>
      <c r="G52" s="0" t="s">
        <v>125</v>
      </c>
      <c r="H52" s="0" t="n">
        <v>13.5236</v>
      </c>
      <c r="J52" s="0" t="s">
        <v>125</v>
      </c>
      <c r="K52" s="0" t="n">
        <v>13.3778</v>
      </c>
      <c r="M52" s="0" t="s">
        <v>125</v>
      </c>
      <c r="N52" s="0" t="n">
        <v>13.6115</v>
      </c>
      <c r="P52" s="0" t="s">
        <v>125</v>
      </c>
      <c r="Q52" s="0" t="n">
        <v>13.4505</v>
      </c>
      <c r="S52" s="0" t="s">
        <v>125</v>
      </c>
      <c r="T52" s="0" t="n">
        <v>13.4673</v>
      </c>
    </row>
    <row r="53" customFormat="false" ht="13.8" hidden="false" customHeight="false" outlineLevel="0" collapsed="false">
      <c r="A53" s="0" t="s">
        <v>126</v>
      </c>
      <c r="B53" s="0" t="n">
        <v>13.5008</v>
      </c>
      <c r="D53" s="0" t="s">
        <v>126</v>
      </c>
      <c r="E53" s="0" t="n">
        <v>13.3397</v>
      </c>
      <c r="G53" s="0" t="s">
        <v>126</v>
      </c>
      <c r="H53" s="0" t="n">
        <v>13.5003</v>
      </c>
      <c r="J53" s="0" t="s">
        <v>126</v>
      </c>
      <c r="K53" s="0" t="n">
        <v>13.3893</v>
      </c>
      <c r="M53" s="0" t="s">
        <v>126</v>
      </c>
      <c r="N53" s="0" t="n">
        <v>13.6021</v>
      </c>
      <c r="P53" s="0" t="s">
        <v>126</v>
      </c>
      <c r="Q53" s="0" t="n">
        <v>13.4444</v>
      </c>
      <c r="S53" s="0" t="s">
        <v>126</v>
      </c>
      <c r="T53" s="0" t="n">
        <v>13.4489</v>
      </c>
    </row>
    <row r="54" customFormat="false" ht="13.8" hidden="false" customHeight="false" outlineLevel="0" collapsed="false">
      <c r="A54" s="0" t="s">
        <v>127</v>
      </c>
      <c r="B54" s="0" t="n">
        <v>13.4664</v>
      </c>
      <c r="D54" s="0" t="s">
        <v>127</v>
      </c>
      <c r="E54" s="0" t="n">
        <v>13.396</v>
      </c>
      <c r="G54" s="0" t="s">
        <v>127</v>
      </c>
      <c r="H54" s="0" t="n">
        <v>13.4939</v>
      </c>
      <c r="J54" s="0" t="s">
        <v>127</v>
      </c>
      <c r="K54" s="0" t="n">
        <v>13.3742</v>
      </c>
      <c r="M54" s="0" t="s">
        <v>127</v>
      </c>
      <c r="N54" s="0" t="n">
        <v>13.6027</v>
      </c>
      <c r="P54" s="0" t="s">
        <v>127</v>
      </c>
      <c r="Q54" s="0" t="n">
        <v>13.4333</v>
      </c>
      <c r="S54" s="0" t="s">
        <v>127</v>
      </c>
      <c r="T54" s="0" t="n">
        <v>13.4337</v>
      </c>
    </row>
    <row r="55" customFormat="false" ht="13.8" hidden="false" customHeight="false" outlineLevel="0" collapsed="false">
      <c r="A55" s="0" t="s">
        <v>128</v>
      </c>
      <c r="B55" s="0" t="n">
        <v>13.4223</v>
      </c>
      <c r="D55" s="0" t="s">
        <v>128</v>
      </c>
      <c r="E55" s="0" t="n">
        <v>13.4084</v>
      </c>
      <c r="G55" s="0" t="s">
        <v>128</v>
      </c>
      <c r="H55" s="0" t="n">
        <v>13.4995</v>
      </c>
      <c r="J55" s="0" t="s">
        <v>128</v>
      </c>
      <c r="K55" s="0" t="n">
        <v>13.3583</v>
      </c>
      <c r="M55" s="0" t="s">
        <v>128</v>
      </c>
      <c r="N55" s="0" t="n">
        <v>13.5915</v>
      </c>
      <c r="P55" s="0" t="s">
        <v>128</v>
      </c>
      <c r="Q55" s="0" t="n">
        <v>13.4298</v>
      </c>
      <c r="S55" s="0" t="s">
        <v>128</v>
      </c>
      <c r="T55" s="0" t="n">
        <v>13.44</v>
      </c>
    </row>
    <row r="56" customFormat="false" ht="13.8" hidden="false" customHeight="false" outlineLevel="0" collapsed="false">
      <c r="A56" s="0" t="s">
        <v>129</v>
      </c>
      <c r="B56" s="0" t="n">
        <v>75.0315</v>
      </c>
      <c r="D56" s="0" t="s">
        <v>129</v>
      </c>
      <c r="E56" s="0" t="n">
        <v>75.1225</v>
      </c>
      <c r="G56" s="0" t="s">
        <v>129</v>
      </c>
      <c r="H56" s="0" t="n">
        <v>74.8504</v>
      </c>
      <c r="J56" s="0" t="s">
        <v>129</v>
      </c>
      <c r="K56" s="0" t="n">
        <v>74.9685</v>
      </c>
      <c r="M56" s="0" t="s">
        <v>129</v>
      </c>
      <c r="N56" s="0" t="n">
        <v>74.5283</v>
      </c>
      <c r="P56" s="0" t="s">
        <v>129</v>
      </c>
      <c r="Q56" s="0" t="n">
        <v>74.9564</v>
      </c>
      <c r="S56" s="0" t="s">
        <v>129</v>
      </c>
      <c r="T56" s="0" t="n">
        <v>74.7195</v>
      </c>
    </row>
    <row r="57" customFormat="false" ht="13.8" hidden="false" customHeight="false" outlineLevel="0" collapsed="false">
      <c r="A57" s="0" t="s">
        <v>130</v>
      </c>
      <c r="B57" s="0" t="n">
        <v>74.7337</v>
      </c>
      <c r="D57" s="0" t="s">
        <v>130</v>
      </c>
      <c r="E57" s="0" t="n">
        <v>75.2117</v>
      </c>
      <c r="G57" s="0" t="s">
        <v>130</v>
      </c>
      <c r="H57" s="0" t="n">
        <v>74.8139</v>
      </c>
      <c r="J57" s="0" t="s">
        <v>130</v>
      </c>
      <c r="K57" s="0" t="n">
        <v>75.0069</v>
      </c>
      <c r="M57" s="0" t="s">
        <v>130</v>
      </c>
      <c r="N57" s="0" t="n">
        <v>74.5338</v>
      </c>
      <c r="P57" s="0" t="s">
        <v>130</v>
      </c>
      <c r="Q57" s="0" t="n">
        <v>75.0167</v>
      </c>
      <c r="S57" s="0" t="s">
        <v>130</v>
      </c>
      <c r="T57" s="0" t="n">
        <v>74.736</v>
      </c>
    </row>
    <row r="58" customFormat="false" ht="13.8" hidden="false" customHeight="false" outlineLevel="0" collapsed="false">
      <c r="A58" s="0" t="s">
        <v>131</v>
      </c>
      <c r="B58" s="0" t="n">
        <v>74.6754</v>
      </c>
      <c r="D58" s="0" t="s">
        <v>131</v>
      </c>
      <c r="E58" s="0" t="n">
        <v>75.225</v>
      </c>
      <c r="G58" s="0" t="s">
        <v>131</v>
      </c>
      <c r="H58" s="0" t="n">
        <v>74.7997</v>
      </c>
      <c r="J58" s="0" t="s">
        <v>131</v>
      </c>
      <c r="K58" s="0" t="n">
        <v>74.9999</v>
      </c>
      <c r="M58" s="0" t="s">
        <v>131</v>
      </c>
      <c r="N58" s="0" t="n">
        <v>74.5485</v>
      </c>
      <c r="P58" s="0" t="s">
        <v>131</v>
      </c>
      <c r="Q58" s="0" t="n">
        <v>74.9294</v>
      </c>
      <c r="S58" s="0" t="s">
        <v>131</v>
      </c>
      <c r="T58" s="0" t="n">
        <v>74.6927</v>
      </c>
    </row>
    <row r="59" customFormat="false" ht="13.8" hidden="false" customHeight="false" outlineLevel="0" collapsed="false">
      <c r="A59" s="0" t="s">
        <v>132</v>
      </c>
      <c r="B59" s="0" t="n">
        <v>74.6886</v>
      </c>
      <c r="D59" s="0" t="s">
        <v>132</v>
      </c>
      <c r="E59" s="0" t="n">
        <v>75.22</v>
      </c>
      <c r="G59" s="0" t="s">
        <v>132</v>
      </c>
      <c r="H59" s="0" t="n">
        <v>74.8859</v>
      </c>
      <c r="J59" s="0" t="s">
        <v>132</v>
      </c>
      <c r="K59" s="0" t="n">
        <v>74.9806</v>
      </c>
      <c r="M59" s="0" t="s">
        <v>132</v>
      </c>
      <c r="N59" s="0" t="n">
        <v>74.5773</v>
      </c>
      <c r="P59" s="0" t="s">
        <v>132</v>
      </c>
      <c r="Q59" s="0" t="n">
        <v>75.0247</v>
      </c>
      <c r="S59" s="0" t="s">
        <v>132</v>
      </c>
      <c r="T59" s="0" t="n">
        <v>74.7091</v>
      </c>
    </row>
    <row r="60" customFormat="false" ht="13.8" hidden="false" customHeight="false" outlineLevel="0" collapsed="false">
      <c r="A60" s="0" t="s">
        <v>133</v>
      </c>
      <c r="B60" s="0" t="n">
        <v>74.7293</v>
      </c>
      <c r="D60" s="0" t="s">
        <v>133</v>
      </c>
      <c r="E60" s="0" t="n">
        <v>74.9202</v>
      </c>
      <c r="G60" s="0" t="s">
        <v>133</v>
      </c>
      <c r="H60" s="0" t="n">
        <v>74.9089</v>
      </c>
      <c r="J60" s="0" t="s">
        <v>133</v>
      </c>
      <c r="K60" s="0" t="n">
        <v>74.9798</v>
      </c>
      <c r="M60" s="0" t="s">
        <v>133</v>
      </c>
      <c r="N60" s="0" t="n">
        <v>74.5837</v>
      </c>
      <c r="P60" s="0" t="s">
        <v>133</v>
      </c>
      <c r="Q60" s="0" t="n">
        <v>75.0065</v>
      </c>
      <c r="S60" s="0" t="s">
        <v>133</v>
      </c>
      <c r="T60" s="0" t="n">
        <v>74.7365</v>
      </c>
    </row>
    <row r="61" customFormat="false" ht="13.8" hidden="false" customHeight="false" outlineLevel="0" collapsed="false">
      <c r="A61" s="0" t="s">
        <v>134</v>
      </c>
      <c r="B61" s="0" t="n">
        <v>74.8285</v>
      </c>
      <c r="D61" s="0" t="s">
        <v>134</v>
      </c>
      <c r="E61" s="0" t="n">
        <v>75.0376</v>
      </c>
      <c r="G61" s="0" t="s">
        <v>134</v>
      </c>
      <c r="H61" s="0" t="n">
        <v>74.8816</v>
      </c>
      <c r="J61" s="0" t="s">
        <v>134</v>
      </c>
      <c r="K61" s="0" t="n">
        <v>75.0152</v>
      </c>
      <c r="M61" s="0" t="s">
        <v>134</v>
      </c>
      <c r="N61" s="0" t="n">
        <v>74.5436</v>
      </c>
      <c r="P61" s="0" t="s">
        <v>134</v>
      </c>
      <c r="Q61" s="0" t="n">
        <v>75.0151</v>
      </c>
      <c r="S61" s="0" t="s">
        <v>134</v>
      </c>
      <c r="T61" s="0" t="n">
        <v>74.7802</v>
      </c>
    </row>
    <row r="62" customFormat="false" ht="13.8" hidden="false" customHeight="false" outlineLevel="0" collapsed="false">
      <c r="A62" s="0" t="s">
        <v>135</v>
      </c>
      <c r="B62" s="0" t="n">
        <v>74.9438</v>
      </c>
      <c r="D62" s="0" t="s">
        <v>135</v>
      </c>
      <c r="E62" s="0" t="n">
        <v>75.1381</v>
      </c>
      <c r="G62" s="0" t="s">
        <v>135</v>
      </c>
      <c r="H62" s="0" t="n">
        <v>74.9118</v>
      </c>
      <c r="J62" s="0" t="s">
        <v>135</v>
      </c>
      <c r="K62" s="0" t="n">
        <v>75.0109</v>
      </c>
      <c r="M62" s="0" t="s">
        <v>135</v>
      </c>
      <c r="N62" s="0" t="n">
        <v>74.6086</v>
      </c>
      <c r="P62" s="0" t="s">
        <v>135</v>
      </c>
      <c r="Q62" s="0" t="n">
        <v>75.0541</v>
      </c>
      <c r="S62" s="0" t="s">
        <v>135</v>
      </c>
      <c r="T62" s="0" t="n">
        <v>74.7867</v>
      </c>
    </row>
    <row r="63" customFormat="false" ht="13.8" hidden="false" customHeight="false" outlineLevel="0" collapsed="false">
      <c r="A63" s="0" t="s">
        <v>136</v>
      </c>
      <c r="B63" s="0" t="n">
        <v>75.049</v>
      </c>
      <c r="D63" s="0" t="s">
        <v>136</v>
      </c>
      <c r="E63" s="0" t="n">
        <v>75.1902</v>
      </c>
      <c r="G63" s="0" t="s">
        <v>136</v>
      </c>
      <c r="H63" s="0" t="n">
        <v>74.9459</v>
      </c>
      <c r="J63" s="0" t="s">
        <v>136</v>
      </c>
      <c r="K63" s="0" t="n">
        <v>75.0839</v>
      </c>
      <c r="M63" s="0" t="s">
        <v>136</v>
      </c>
      <c r="N63" s="0" t="n">
        <v>74.5504</v>
      </c>
      <c r="P63" s="0" t="s">
        <v>136</v>
      </c>
      <c r="Q63" s="0" t="n">
        <v>75.0522</v>
      </c>
      <c r="S63" s="0" t="s">
        <v>136</v>
      </c>
      <c r="T63" s="0" t="n">
        <v>74.7651</v>
      </c>
    </row>
    <row r="64" customFormat="false" ht="13.8" hidden="false" customHeight="false" outlineLevel="0" collapsed="false">
      <c r="A64" s="0" t="s">
        <v>137</v>
      </c>
      <c r="B64" s="0" t="n">
        <v>75.085</v>
      </c>
      <c r="D64" s="0" t="s">
        <v>137</v>
      </c>
      <c r="E64" s="0" t="n">
        <v>75.1582</v>
      </c>
      <c r="G64" s="0" t="s">
        <v>137</v>
      </c>
      <c r="H64" s="0" t="n">
        <v>74.9587</v>
      </c>
      <c r="J64" s="0" t="s">
        <v>137</v>
      </c>
      <c r="K64" s="0" t="n">
        <v>75.0848</v>
      </c>
      <c r="M64" s="0" t="s">
        <v>137</v>
      </c>
      <c r="N64" s="0" t="n">
        <v>74.6497</v>
      </c>
      <c r="P64" s="0" t="s">
        <v>137</v>
      </c>
      <c r="Q64" s="0" t="n">
        <v>75.1097</v>
      </c>
      <c r="S64" s="0" t="s">
        <v>137</v>
      </c>
      <c r="T64" s="0" t="n">
        <v>74.8077</v>
      </c>
    </row>
    <row r="65" customFormat="false" ht="13.8" hidden="false" customHeight="false" outlineLevel="0" collapsed="false">
      <c r="A65" s="0" t="s">
        <v>138</v>
      </c>
      <c r="B65" s="0" t="n">
        <v>33.5484</v>
      </c>
      <c r="D65" s="0" t="s">
        <v>138</v>
      </c>
      <c r="E65" s="0" t="n">
        <v>33.5456</v>
      </c>
      <c r="G65" s="0" t="s">
        <v>138</v>
      </c>
      <c r="H65" s="0" t="n">
        <v>33.3779</v>
      </c>
      <c r="J65" s="0" t="s">
        <v>138</v>
      </c>
      <c r="K65" s="0" t="n">
        <v>33.5557</v>
      </c>
      <c r="M65" s="0" t="s">
        <v>138</v>
      </c>
      <c r="N65" s="0" t="n">
        <v>33.5305</v>
      </c>
      <c r="P65" s="0" t="s">
        <v>138</v>
      </c>
      <c r="Q65" s="0" t="n">
        <v>33.5815</v>
      </c>
      <c r="S65" s="0" t="s">
        <v>138</v>
      </c>
      <c r="T65" s="0" t="n">
        <v>33.4691</v>
      </c>
    </row>
    <row r="66" customFormat="false" ht="13.8" hidden="false" customHeight="false" outlineLevel="0" collapsed="false">
      <c r="A66" s="0" t="s">
        <v>139</v>
      </c>
      <c r="B66" s="0" t="n">
        <v>33.0225</v>
      </c>
      <c r="D66" s="0" t="s">
        <v>139</v>
      </c>
      <c r="E66" s="0" t="n">
        <v>33.6475</v>
      </c>
      <c r="G66" s="0" t="s">
        <v>139</v>
      </c>
      <c r="H66" s="0" t="n">
        <v>33.3638</v>
      </c>
      <c r="J66" s="0" t="s">
        <v>139</v>
      </c>
      <c r="K66" s="0" t="n">
        <v>33.6531</v>
      </c>
      <c r="M66" s="0" t="s">
        <v>139</v>
      </c>
      <c r="N66" s="0" t="n">
        <v>33.5205</v>
      </c>
      <c r="P66" s="0" t="s">
        <v>139</v>
      </c>
      <c r="Q66" s="0" t="n">
        <v>33.651</v>
      </c>
      <c r="S66" s="0" t="s">
        <v>139</v>
      </c>
      <c r="T66" s="0" t="n">
        <v>33.5196</v>
      </c>
    </row>
    <row r="67" customFormat="false" ht="13.8" hidden="false" customHeight="false" outlineLevel="0" collapsed="false">
      <c r="A67" s="0" t="s">
        <v>140</v>
      </c>
      <c r="B67" s="0" t="n">
        <v>33.1193</v>
      </c>
      <c r="D67" s="0" t="s">
        <v>140</v>
      </c>
      <c r="E67" s="0" t="n">
        <v>33.7262</v>
      </c>
      <c r="G67" s="0" t="s">
        <v>140</v>
      </c>
      <c r="H67" s="0" t="n">
        <v>33.4013</v>
      </c>
      <c r="J67" s="0" t="s">
        <v>140</v>
      </c>
      <c r="K67" s="0" t="n">
        <v>33.6312</v>
      </c>
      <c r="M67" s="0" t="s">
        <v>140</v>
      </c>
      <c r="N67" s="0" t="n">
        <v>33.5705</v>
      </c>
      <c r="P67" s="0" t="s">
        <v>140</v>
      </c>
      <c r="Q67" s="0" t="n">
        <v>33.6361</v>
      </c>
      <c r="S67" s="0" t="s">
        <v>140</v>
      </c>
      <c r="T67" s="0" t="n">
        <v>33.5406</v>
      </c>
    </row>
    <row r="68" customFormat="false" ht="13.8" hidden="false" customHeight="false" outlineLevel="0" collapsed="false">
      <c r="A68" s="0" t="s">
        <v>141</v>
      </c>
      <c r="B68" s="0" t="n">
        <v>33.3113</v>
      </c>
      <c r="D68" s="0" t="s">
        <v>141</v>
      </c>
      <c r="E68" s="0" t="n">
        <v>33.8492</v>
      </c>
      <c r="G68" s="0" t="s">
        <v>141</v>
      </c>
      <c r="H68" s="0" t="n">
        <v>33.4359</v>
      </c>
      <c r="J68" s="0" t="s">
        <v>141</v>
      </c>
      <c r="K68" s="0" t="n">
        <v>33.6463</v>
      </c>
      <c r="M68" s="0" t="s">
        <v>141</v>
      </c>
      <c r="N68" s="0" t="n">
        <v>33.6274</v>
      </c>
      <c r="P68" s="0" t="s">
        <v>141</v>
      </c>
      <c r="Q68" s="0" t="n">
        <v>33.7042</v>
      </c>
      <c r="S68" s="0" t="s">
        <v>141</v>
      </c>
      <c r="T68" s="0" t="n">
        <v>33.5874</v>
      </c>
    </row>
    <row r="69" customFormat="false" ht="13.8" hidden="false" customHeight="false" outlineLevel="0" collapsed="false">
      <c r="A69" s="0" t="s">
        <v>142</v>
      </c>
      <c r="B69" s="0" t="n">
        <v>33.4712</v>
      </c>
      <c r="D69" s="0" t="s">
        <v>142</v>
      </c>
      <c r="E69" s="0" t="n">
        <v>33.3992</v>
      </c>
      <c r="G69" s="0" t="s">
        <v>142</v>
      </c>
      <c r="H69" s="0" t="n">
        <v>33.493</v>
      </c>
      <c r="J69" s="0" t="s">
        <v>142</v>
      </c>
      <c r="K69" s="0" t="n">
        <v>33.7187</v>
      </c>
      <c r="M69" s="0" t="s">
        <v>142</v>
      </c>
      <c r="N69" s="0" t="n">
        <v>33.6641</v>
      </c>
      <c r="P69" s="0" t="s">
        <v>142</v>
      </c>
      <c r="Q69" s="0" t="n">
        <v>33.7221</v>
      </c>
      <c r="S69" s="0" t="s">
        <v>142</v>
      </c>
      <c r="T69" s="0" t="n">
        <v>33.5984</v>
      </c>
    </row>
    <row r="70" customFormat="false" ht="13.8" hidden="false" customHeight="false" outlineLevel="0" collapsed="false">
      <c r="A70" s="0" t="s">
        <v>143</v>
      </c>
      <c r="B70" s="0" t="n">
        <v>33.6021</v>
      </c>
      <c r="D70" s="0" t="s">
        <v>143</v>
      </c>
      <c r="E70" s="0" t="n">
        <v>33.4456</v>
      </c>
      <c r="G70" s="0" t="s">
        <v>143</v>
      </c>
      <c r="H70" s="0" t="n">
        <v>33.4752</v>
      </c>
      <c r="J70" s="0" t="s">
        <v>143</v>
      </c>
      <c r="K70" s="0" t="n">
        <v>33.754</v>
      </c>
      <c r="M70" s="0" t="s">
        <v>143</v>
      </c>
      <c r="N70" s="0" t="n">
        <v>33.6778</v>
      </c>
      <c r="P70" s="0" t="s">
        <v>143</v>
      </c>
      <c r="Q70" s="0" t="n">
        <v>33.7622</v>
      </c>
      <c r="S70" s="0" t="s">
        <v>143</v>
      </c>
      <c r="T70" s="0" t="n">
        <v>33.6203</v>
      </c>
    </row>
    <row r="71" customFormat="false" ht="13.8" hidden="false" customHeight="false" outlineLevel="0" collapsed="false">
      <c r="A71" s="0" t="s">
        <v>144</v>
      </c>
      <c r="B71" s="0" t="n">
        <v>33.6635</v>
      </c>
      <c r="D71" s="0" t="s">
        <v>144</v>
      </c>
      <c r="E71" s="0" t="n">
        <v>33.5493</v>
      </c>
      <c r="G71" s="0" t="s">
        <v>144</v>
      </c>
      <c r="H71" s="0" t="n">
        <v>33.5125</v>
      </c>
      <c r="J71" s="0" t="s">
        <v>144</v>
      </c>
      <c r="K71" s="0" t="n">
        <v>33.7543</v>
      </c>
      <c r="M71" s="0" t="s">
        <v>144</v>
      </c>
      <c r="N71" s="0" t="n">
        <v>33.7241</v>
      </c>
      <c r="P71" s="0" t="s">
        <v>144</v>
      </c>
      <c r="Q71" s="0" t="n">
        <v>33.7709</v>
      </c>
      <c r="S71" s="0" t="s">
        <v>144</v>
      </c>
      <c r="T71" s="0" t="n">
        <v>33.6831</v>
      </c>
    </row>
    <row r="72" customFormat="false" ht="13.8" hidden="false" customHeight="false" outlineLevel="0" collapsed="false">
      <c r="A72" s="0" t="s">
        <v>145</v>
      </c>
      <c r="B72" s="0" t="n">
        <v>33.726</v>
      </c>
      <c r="D72" s="0" t="s">
        <v>145</v>
      </c>
      <c r="E72" s="0" t="n">
        <v>33.6658</v>
      </c>
      <c r="G72" s="0" t="s">
        <v>145</v>
      </c>
      <c r="H72" s="0" t="n">
        <v>33.5487</v>
      </c>
      <c r="J72" s="0" t="s">
        <v>145</v>
      </c>
      <c r="K72" s="0" t="n">
        <v>33.7998</v>
      </c>
      <c r="M72" s="0" t="s">
        <v>145</v>
      </c>
      <c r="N72" s="0" t="n">
        <v>33.731</v>
      </c>
      <c r="P72" s="0" t="s">
        <v>145</v>
      </c>
      <c r="Q72" s="0" t="n">
        <v>33.8037</v>
      </c>
      <c r="S72" s="0" t="s">
        <v>145</v>
      </c>
      <c r="T72" s="0" t="n">
        <v>33.6867</v>
      </c>
    </row>
    <row r="73" customFormat="false" ht="13.8" hidden="false" customHeight="false" outlineLevel="0" collapsed="false">
      <c r="A73" s="0" t="s">
        <v>146</v>
      </c>
      <c r="B73" s="0" t="n">
        <v>33.7326</v>
      </c>
      <c r="D73" s="0" t="s">
        <v>146</v>
      </c>
      <c r="E73" s="0" t="n">
        <v>33.768</v>
      </c>
      <c r="G73" s="0" t="s">
        <v>146</v>
      </c>
      <c r="H73" s="0" t="n">
        <v>33.5917</v>
      </c>
      <c r="J73" s="0" t="s">
        <v>146</v>
      </c>
      <c r="K73" s="0" t="n">
        <v>33.8018</v>
      </c>
      <c r="M73" s="0" t="s">
        <v>146</v>
      </c>
      <c r="N73" s="0" t="n">
        <v>33.7429</v>
      </c>
      <c r="P73" s="0" t="s">
        <v>146</v>
      </c>
      <c r="Q73" s="0" t="n">
        <v>33.8638</v>
      </c>
      <c r="S73" s="0" t="s">
        <v>146</v>
      </c>
      <c r="T73" s="0" t="n">
        <v>33.7217</v>
      </c>
    </row>
    <row r="74" customFormat="false" ht="13.8" hidden="false" customHeight="false" outlineLevel="0" collapsed="false">
      <c r="A74" s="0" t="s">
        <v>147</v>
      </c>
      <c r="B74" s="0" t="n">
        <v>6.11329</v>
      </c>
      <c r="D74" s="0" t="s">
        <v>147</v>
      </c>
      <c r="E74" s="0" t="n">
        <v>6.1499</v>
      </c>
      <c r="G74" s="0" t="s">
        <v>147</v>
      </c>
      <c r="H74" s="0" t="n">
        <v>6.18157</v>
      </c>
      <c r="J74" s="0" t="s">
        <v>147</v>
      </c>
      <c r="K74" s="0" t="n">
        <v>6.119</v>
      </c>
      <c r="M74" s="0" t="s">
        <v>147</v>
      </c>
      <c r="N74" s="0" t="n">
        <v>6.27454</v>
      </c>
      <c r="P74" s="0" t="s">
        <v>147</v>
      </c>
      <c r="Q74" s="0" t="n">
        <v>6.16502</v>
      </c>
      <c r="S74" s="0" t="s">
        <v>147</v>
      </c>
      <c r="T74" s="0" t="n">
        <v>6.21133</v>
      </c>
    </row>
    <row r="75" customFormat="false" ht="13.8" hidden="false" customHeight="false" outlineLevel="0" collapsed="false">
      <c r="A75" s="0" t="s">
        <v>148</v>
      </c>
      <c r="B75" s="0" t="n">
        <v>6.13414</v>
      </c>
      <c r="D75" s="0" t="s">
        <v>148</v>
      </c>
      <c r="E75" s="0" t="n">
        <v>6.0888</v>
      </c>
      <c r="G75" s="0" t="s">
        <v>148</v>
      </c>
      <c r="H75" s="0" t="n">
        <v>6.18196</v>
      </c>
      <c r="J75" s="0" t="s">
        <v>148</v>
      </c>
      <c r="K75" s="0" t="n">
        <v>6.09237</v>
      </c>
      <c r="M75" s="0" t="s">
        <v>148</v>
      </c>
      <c r="N75" s="0" t="n">
        <v>6.28378</v>
      </c>
      <c r="P75" s="0" t="s">
        <v>148</v>
      </c>
      <c r="Q75" s="0" t="n">
        <v>6.11937</v>
      </c>
      <c r="S75" s="0" t="s">
        <v>148</v>
      </c>
      <c r="T75" s="0" t="n">
        <v>6.20045</v>
      </c>
    </row>
    <row r="76" customFormat="false" ht="13.8" hidden="false" customHeight="false" outlineLevel="0" collapsed="false">
      <c r="A76" s="0" t="s">
        <v>149</v>
      </c>
      <c r="B76" s="0" t="n">
        <v>6.18455</v>
      </c>
      <c r="D76" s="0" t="s">
        <v>149</v>
      </c>
      <c r="E76" s="0" t="n">
        <v>6.0597</v>
      </c>
      <c r="G76" s="0" t="s">
        <v>149</v>
      </c>
      <c r="H76" s="0" t="n">
        <v>6.18158</v>
      </c>
      <c r="J76" s="0" t="s">
        <v>149</v>
      </c>
      <c r="K76" s="0" t="n">
        <v>6.0955</v>
      </c>
      <c r="M76" s="0" t="s">
        <v>149</v>
      </c>
      <c r="N76" s="0" t="n">
        <v>6.26247</v>
      </c>
      <c r="P76" s="0" t="s">
        <v>149</v>
      </c>
      <c r="Q76" s="0" t="n">
        <v>6.12575</v>
      </c>
      <c r="S76" s="0" t="s">
        <v>149</v>
      </c>
      <c r="T76" s="0" t="n">
        <v>6.18689</v>
      </c>
    </row>
    <row r="77" customFormat="false" ht="13.8" hidden="false" customHeight="false" outlineLevel="0" collapsed="false">
      <c r="A77" s="0" t="s">
        <v>150</v>
      </c>
      <c r="B77" s="0" t="n">
        <v>6.18466</v>
      </c>
      <c r="D77" s="0" t="s">
        <v>150</v>
      </c>
      <c r="E77" s="0" t="n">
        <v>6.07742</v>
      </c>
      <c r="G77" s="0" t="s">
        <v>150</v>
      </c>
      <c r="H77" s="0" t="n">
        <v>6.1625</v>
      </c>
      <c r="J77" s="0" t="s">
        <v>150</v>
      </c>
      <c r="K77" s="0" t="n">
        <v>6.08235</v>
      </c>
      <c r="M77" s="0" t="s">
        <v>150</v>
      </c>
      <c r="N77" s="0" t="n">
        <v>6.23654</v>
      </c>
      <c r="P77" s="0" t="s">
        <v>150</v>
      </c>
      <c r="Q77" s="0" t="n">
        <v>6.08759</v>
      </c>
      <c r="S77" s="0" t="s">
        <v>150</v>
      </c>
      <c r="T77" s="0" t="n">
        <v>6.17821</v>
      </c>
    </row>
    <row r="78" customFormat="false" ht="13.8" hidden="false" customHeight="false" outlineLevel="0" collapsed="false">
      <c r="A78" s="0" t="s">
        <v>151</v>
      </c>
      <c r="B78" s="0" t="n">
        <v>6.21101</v>
      </c>
      <c r="D78" s="0" t="s">
        <v>151</v>
      </c>
      <c r="E78" s="0" t="n">
        <v>6.09793</v>
      </c>
      <c r="G78" s="0" t="s">
        <v>151</v>
      </c>
      <c r="H78" s="0" t="n">
        <v>6.13927</v>
      </c>
      <c r="J78" s="0" t="s">
        <v>151</v>
      </c>
      <c r="K78" s="0" t="n">
        <v>6.04839</v>
      </c>
      <c r="M78" s="0" t="s">
        <v>151</v>
      </c>
      <c r="N78" s="0" t="n">
        <v>6.23637</v>
      </c>
      <c r="P78" s="0" t="s">
        <v>151</v>
      </c>
      <c r="Q78" s="0" t="n">
        <v>6.07295</v>
      </c>
      <c r="S78" s="0" t="s">
        <v>151</v>
      </c>
      <c r="T78" s="0" t="n">
        <v>6.15278</v>
      </c>
    </row>
    <row r="79" customFormat="false" ht="13.8" hidden="false" customHeight="false" outlineLevel="0" collapsed="false">
      <c r="A79" s="0" t="s">
        <v>152</v>
      </c>
      <c r="B79" s="0" t="n">
        <v>6.1445</v>
      </c>
      <c r="D79" s="0" t="s">
        <v>152</v>
      </c>
      <c r="E79" s="0" t="n">
        <v>6.02138</v>
      </c>
      <c r="G79" s="0" t="s">
        <v>152</v>
      </c>
      <c r="H79" s="0" t="n">
        <v>6.13687</v>
      </c>
      <c r="J79" s="0" t="s">
        <v>152</v>
      </c>
      <c r="K79" s="0" t="n">
        <v>6.03394</v>
      </c>
      <c r="M79" s="0" t="s">
        <v>152</v>
      </c>
      <c r="N79" s="0" t="n">
        <v>6.21791</v>
      </c>
      <c r="P79" s="0" t="s">
        <v>152</v>
      </c>
      <c r="Q79" s="0" t="n">
        <v>6.06991</v>
      </c>
      <c r="S79" s="0" t="s">
        <v>152</v>
      </c>
      <c r="T79" s="0" t="n">
        <v>6.15107</v>
      </c>
    </row>
    <row r="80" customFormat="false" ht="13.8" hidden="false" customHeight="false" outlineLevel="0" collapsed="false">
      <c r="A80" s="0" t="s">
        <v>153</v>
      </c>
      <c r="B80" s="0" t="n">
        <v>6.11738</v>
      </c>
      <c r="D80" s="0" t="s">
        <v>153</v>
      </c>
      <c r="E80" s="0" t="n">
        <v>5.96813</v>
      </c>
      <c r="G80" s="0" t="s">
        <v>153</v>
      </c>
      <c r="H80" s="0" t="n">
        <v>6.1049</v>
      </c>
      <c r="J80" s="0" t="s">
        <v>153</v>
      </c>
      <c r="K80" s="0" t="n">
        <v>6.03753</v>
      </c>
      <c r="M80" s="0" t="s">
        <v>153</v>
      </c>
      <c r="N80" s="0" t="n">
        <v>6.19559</v>
      </c>
      <c r="P80" s="0" t="s">
        <v>153</v>
      </c>
      <c r="Q80" s="0" t="n">
        <v>6.06101</v>
      </c>
      <c r="S80" s="0" t="s">
        <v>153</v>
      </c>
      <c r="T80" s="0" t="n">
        <v>6.11342</v>
      </c>
    </row>
    <row r="81" customFormat="false" ht="13.8" hidden="false" customHeight="false" outlineLevel="0" collapsed="false">
      <c r="A81" s="0" t="s">
        <v>154</v>
      </c>
      <c r="B81" s="0" t="n">
        <v>6.07317</v>
      </c>
      <c r="D81" s="0" t="s">
        <v>154</v>
      </c>
      <c r="E81" s="0" t="n">
        <v>5.99589</v>
      </c>
      <c r="G81" s="0" t="s">
        <v>154</v>
      </c>
      <c r="H81" s="0" t="n">
        <v>6.08922</v>
      </c>
      <c r="J81" s="0" t="s">
        <v>154</v>
      </c>
      <c r="K81" s="0" t="n">
        <v>6.02337</v>
      </c>
      <c r="M81" s="0" t="s">
        <v>154</v>
      </c>
      <c r="N81" s="0" t="n">
        <v>6.19332</v>
      </c>
      <c r="P81" s="0" t="s">
        <v>154</v>
      </c>
      <c r="Q81" s="0" t="n">
        <v>6.03834</v>
      </c>
      <c r="S81" s="0" t="s">
        <v>154</v>
      </c>
      <c r="T81" s="0" t="n">
        <v>6.11036</v>
      </c>
    </row>
    <row r="82" customFormat="false" ht="13.8" hidden="false" customHeight="false" outlineLevel="0" collapsed="false">
      <c r="A82" s="0" t="s">
        <v>155</v>
      </c>
      <c r="B82" s="0" t="n">
        <v>6.03159</v>
      </c>
      <c r="D82" s="0" t="s">
        <v>155</v>
      </c>
      <c r="E82" s="0" t="n">
        <v>6.0573</v>
      </c>
      <c r="G82" s="0" t="s">
        <v>155</v>
      </c>
      <c r="H82" s="0" t="n">
        <v>6.09969</v>
      </c>
      <c r="J82" s="0" t="s">
        <v>155</v>
      </c>
      <c r="K82" s="0" t="n">
        <v>6.01649</v>
      </c>
      <c r="M82" s="0" t="s">
        <v>155</v>
      </c>
      <c r="N82" s="0" t="n">
        <v>6.17366</v>
      </c>
      <c r="P82" s="0" t="s">
        <v>155</v>
      </c>
      <c r="Q82" s="0" t="n">
        <v>6.03581</v>
      </c>
      <c r="S82" s="0" t="s">
        <v>155</v>
      </c>
      <c r="T82" s="0" t="n">
        <v>6.09547</v>
      </c>
    </row>
    <row r="83" customFormat="false" ht="13.8" hidden="false" customHeight="false" outlineLevel="0" collapsed="false">
      <c r="A83" s="0" t="s">
        <v>156</v>
      </c>
      <c r="B83" s="0" t="n">
        <v>21.1605</v>
      </c>
      <c r="D83" s="0" t="s">
        <v>156</v>
      </c>
      <c r="E83" s="0" t="n">
        <v>21.0222</v>
      </c>
      <c r="G83" s="0" t="s">
        <v>156</v>
      </c>
      <c r="H83" s="0" t="n">
        <v>21.0729</v>
      </c>
      <c r="J83" s="0" t="s">
        <v>156</v>
      </c>
      <c r="K83" s="0" t="n">
        <v>21.0821</v>
      </c>
      <c r="M83" s="0" t="s">
        <v>156</v>
      </c>
      <c r="N83" s="0" t="n">
        <v>21.208</v>
      </c>
      <c r="P83" s="0" t="s">
        <v>156</v>
      </c>
      <c r="Q83" s="0" t="n">
        <v>21.1467</v>
      </c>
      <c r="S83" s="0" t="s">
        <v>156</v>
      </c>
      <c r="T83" s="0" t="n">
        <v>21.1097</v>
      </c>
    </row>
    <row r="84" customFormat="false" ht="13.8" hidden="false" customHeight="false" outlineLevel="0" collapsed="false">
      <c r="A84" s="0" t="s">
        <v>157</v>
      </c>
      <c r="B84" s="0" t="n">
        <v>20.8499</v>
      </c>
      <c r="D84" s="0" t="s">
        <v>157</v>
      </c>
      <c r="E84" s="0" t="n">
        <v>21.0462</v>
      </c>
      <c r="G84" s="0" t="s">
        <v>157</v>
      </c>
      <c r="H84" s="0" t="n">
        <v>21.0523</v>
      </c>
      <c r="J84" s="0" t="s">
        <v>157</v>
      </c>
      <c r="K84" s="0" t="n">
        <v>21.1049</v>
      </c>
      <c r="M84" s="0" t="s">
        <v>157</v>
      </c>
      <c r="N84" s="0" t="n">
        <v>21.2048</v>
      </c>
      <c r="P84" s="0" t="s">
        <v>157</v>
      </c>
      <c r="Q84" s="0" t="n">
        <v>21.1343</v>
      </c>
      <c r="S84" s="0" t="s">
        <v>157</v>
      </c>
      <c r="T84" s="0" t="n">
        <v>21.1167</v>
      </c>
    </row>
    <row r="85" customFormat="false" ht="13.8" hidden="false" customHeight="false" outlineLevel="0" collapsed="false">
      <c r="A85" s="0" t="s">
        <v>158</v>
      </c>
      <c r="B85" s="0" t="n">
        <v>20.8447</v>
      </c>
      <c r="D85" s="0" t="s">
        <v>158</v>
      </c>
      <c r="E85" s="0" t="n">
        <v>21.0822</v>
      </c>
      <c r="G85" s="0" t="s">
        <v>158</v>
      </c>
      <c r="H85" s="0" t="n">
        <v>21.0619</v>
      </c>
      <c r="J85" s="0" t="s">
        <v>158</v>
      </c>
      <c r="K85" s="0" t="n">
        <v>21.0852</v>
      </c>
      <c r="M85" s="0" t="s">
        <v>158</v>
      </c>
      <c r="N85" s="0" t="n">
        <v>21.2048</v>
      </c>
      <c r="P85" s="0" t="s">
        <v>158</v>
      </c>
      <c r="Q85" s="0" t="n">
        <v>21.1243</v>
      </c>
      <c r="S85" s="0" t="s">
        <v>158</v>
      </c>
      <c r="T85" s="0" t="n">
        <v>21.1135</v>
      </c>
    </row>
    <row r="86" customFormat="false" ht="13.8" hidden="false" customHeight="false" outlineLevel="0" collapsed="false">
      <c r="A86" s="0" t="s">
        <v>159</v>
      </c>
      <c r="B86" s="0" t="n">
        <v>20.9441</v>
      </c>
      <c r="D86" s="0" t="s">
        <v>159</v>
      </c>
      <c r="E86" s="0" t="n">
        <v>21.1401</v>
      </c>
      <c r="G86" s="0" t="s">
        <v>159</v>
      </c>
      <c r="H86" s="0" t="n">
        <v>21.0604</v>
      </c>
      <c r="J86" s="0" t="s">
        <v>159</v>
      </c>
      <c r="K86" s="0" t="n">
        <v>21.0758</v>
      </c>
      <c r="M86" s="0" t="s">
        <v>159</v>
      </c>
      <c r="N86" s="0" t="n">
        <v>21.2085</v>
      </c>
      <c r="P86" s="0" t="s">
        <v>159</v>
      </c>
      <c r="Q86" s="0" t="n">
        <v>21.1193</v>
      </c>
      <c r="S86" s="0" t="s">
        <v>159</v>
      </c>
      <c r="T86" s="0" t="n">
        <v>21.1231</v>
      </c>
    </row>
    <row r="87" customFormat="false" ht="13.8" hidden="false" customHeight="false" outlineLevel="0" collapsed="false">
      <c r="A87" s="0" t="s">
        <v>160</v>
      </c>
      <c r="B87" s="0" t="n">
        <v>21.0406</v>
      </c>
      <c r="D87" s="0" t="s">
        <v>160</v>
      </c>
      <c r="E87" s="0" t="n">
        <v>20.8799</v>
      </c>
      <c r="G87" s="0" t="s">
        <v>160</v>
      </c>
      <c r="H87" s="0" t="n">
        <v>21.0586</v>
      </c>
      <c r="J87" s="0" t="s">
        <v>160</v>
      </c>
      <c r="K87" s="0" t="n">
        <v>21.0801</v>
      </c>
      <c r="M87" s="0" t="s">
        <v>160</v>
      </c>
      <c r="N87" s="0" t="n">
        <v>21.2106</v>
      </c>
      <c r="P87" s="0" t="s">
        <v>160</v>
      </c>
      <c r="Q87" s="0" t="n">
        <v>21.1128</v>
      </c>
      <c r="S87" s="0" t="s">
        <v>160</v>
      </c>
      <c r="T87" s="0" t="n">
        <v>21.0975</v>
      </c>
    </row>
    <row r="88" customFormat="false" ht="13.8" hidden="false" customHeight="false" outlineLevel="0" collapsed="false">
      <c r="A88" s="0" t="s">
        <v>161</v>
      </c>
      <c r="B88" s="0" t="n">
        <v>21.0817</v>
      </c>
      <c r="D88" s="0" t="s">
        <v>161</v>
      </c>
      <c r="E88" s="0" t="n">
        <v>20.8622</v>
      </c>
      <c r="G88" s="0" t="s">
        <v>161</v>
      </c>
      <c r="H88" s="0" t="n">
        <v>21.0414</v>
      </c>
      <c r="J88" s="0" t="s">
        <v>161</v>
      </c>
      <c r="K88" s="0" t="n">
        <v>21.075</v>
      </c>
      <c r="M88" s="0" t="s">
        <v>161</v>
      </c>
      <c r="N88" s="0" t="n">
        <v>21.202</v>
      </c>
      <c r="P88" s="0" t="s">
        <v>161</v>
      </c>
      <c r="Q88" s="0" t="n">
        <v>21.1163</v>
      </c>
      <c r="S88" s="0" t="s">
        <v>161</v>
      </c>
      <c r="T88" s="0" t="n">
        <v>21.1008</v>
      </c>
    </row>
    <row r="89" customFormat="false" ht="13.8" hidden="false" customHeight="false" outlineLevel="0" collapsed="false">
      <c r="A89" s="0" t="s">
        <v>162</v>
      </c>
      <c r="B89" s="0" t="n">
        <v>21.1062</v>
      </c>
      <c r="D89" s="0" t="s">
        <v>162</v>
      </c>
      <c r="E89" s="0" t="n">
        <v>20.8912</v>
      </c>
      <c r="G89" s="0" t="s">
        <v>162</v>
      </c>
      <c r="H89" s="0" t="n">
        <v>21.0283</v>
      </c>
      <c r="J89" s="0" t="s">
        <v>162</v>
      </c>
      <c r="K89" s="0" t="n">
        <v>21.0691</v>
      </c>
      <c r="M89" s="0" t="s">
        <v>162</v>
      </c>
      <c r="N89" s="0" t="n">
        <v>21.2018</v>
      </c>
      <c r="P89" s="0" t="s">
        <v>162</v>
      </c>
      <c r="Q89" s="0" t="n">
        <v>21.1175</v>
      </c>
      <c r="S89" s="0" t="s">
        <v>162</v>
      </c>
      <c r="T89" s="0" t="n">
        <v>21.0971</v>
      </c>
    </row>
    <row r="90" customFormat="false" ht="13.8" hidden="false" customHeight="false" outlineLevel="0" collapsed="false">
      <c r="A90" s="0" t="s">
        <v>163</v>
      </c>
      <c r="B90" s="0" t="n">
        <v>21.1152</v>
      </c>
      <c r="D90" s="0" t="s">
        <v>163</v>
      </c>
      <c r="E90" s="0" t="n">
        <v>20.9681</v>
      </c>
      <c r="G90" s="0" t="s">
        <v>163</v>
      </c>
      <c r="H90" s="0" t="n">
        <v>21.0261</v>
      </c>
      <c r="J90" s="0" t="s">
        <v>163</v>
      </c>
      <c r="K90" s="0" t="n">
        <v>21.0808</v>
      </c>
      <c r="M90" s="0" t="s">
        <v>163</v>
      </c>
      <c r="N90" s="0" t="n">
        <v>21.1924</v>
      </c>
      <c r="P90" s="0" t="s">
        <v>163</v>
      </c>
      <c r="Q90" s="0" t="n">
        <v>21.1095</v>
      </c>
      <c r="S90" s="0" t="s">
        <v>163</v>
      </c>
      <c r="T90" s="0" t="n">
        <v>21.0849</v>
      </c>
    </row>
    <row r="91" customFormat="false" ht="13.8" hidden="false" customHeight="false" outlineLevel="0" collapsed="false">
      <c r="A91" s="0" t="s">
        <v>164</v>
      </c>
      <c r="B91" s="0" t="n">
        <v>21.096</v>
      </c>
      <c r="D91" s="0" t="s">
        <v>164</v>
      </c>
      <c r="E91" s="0" t="n">
        <v>20.9796</v>
      </c>
      <c r="G91" s="0" t="s">
        <v>164</v>
      </c>
      <c r="H91" s="0" t="n">
        <v>21.0523</v>
      </c>
      <c r="J91" s="0" t="s">
        <v>164</v>
      </c>
      <c r="K91" s="0" t="n">
        <v>21.0679</v>
      </c>
      <c r="M91" s="0" t="s">
        <v>164</v>
      </c>
      <c r="N91" s="0" t="n">
        <v>21.1826</v>
      </c>
      <c r="P91" s="0" t="s">
        <v>164</v>
      </c>
      <c r="Q91" s="0" t="n">
        <v>21.1248</v>
      </c>
      <c r="S91" s="0" t="s">
        <v>164</v>
      </c>
      <c r="T91" s="0" t="n">
        <v>21.0856</v>
      </c>
    </row>
    <row r="92" customFormat="false" ht="13.8" hidden="false" customHeight="false" outlineLevel="0" collapsed="false">
      <c r="A92" s="0" t="s">
        <v>165</v>
      </c>
      <c r="B92" s="0" t="n">
        <v>14.0584</v>
      </c>
      <c r="D92" s="0" t="s">
        <v>165</v>
      </c>
      <c r="E92" s="0" t="n">
        <v>13.8489</v>
      </c>
      <c r="G92" s="0" t="s">
        <v>165</v>
      </c>
      <c r="H92" s="0" t="n">
        <v>14.3949</v>
      </c>
      <c r="J92" s="0" t="s">
        <v>165</v>
      </c>
      <c r="K92" s="0" t="n">
        <v>14.0005</v>
      </c>
      <c r="M92" s="0" t="s">
        <v>165</v>
      </c>
      <c r="N92" s="0" t="n">
        <v>14.5865</v>
      </c>
      <c r="P92" s="0" t="s">
        <v>165</v>
      </c>
      <c r="Q92" s="0" t="n">
        <v>13.7521</v>
      </c>
      <c r="S92" s="0" t="s">
        <v>165</v>
      </c>
      <c r="T92" s="0" t="n">
        <v>14.0877</v>
      </c>
    </row>
    <row r="93" customFormat="false" ht="13.8" hidden="false" customHeight="false" outlineLevel="0" collapsed="false">
      <c r="A93" s="0" t="s">
        <v>166</v>
      </c>
      <c r="B93" s="0" t="n">
        <v>14.0654</v>
      </c>
      <c r="D93" s="0" t="s">
        <v>166</v>
      </c>
      <c r="E93" s="0" t="n">
        <v>13.89</v>
      </c>
      <c r="G93" s="0" t="s">
        <v>166</v>
      </c>
      <c r="H93" s="0" t="n">
        <v>14.3241</v>
      </c>
      <c r="J93" s="0" t="s">
        <v>166</v>
      </c>
      <c r="K93" s="0" t="n">
        <v>13.955</v>
      </c>
      <c r="M93" s="0" t="s">
        <v>166</v>
      </c>
      <c r="N93" s="0" t="n">
        <v>14.5276</v>
      </c>
      <c r="P93" s="0" t="s">
        <v>166</v>
      </c>
      <c r="Q93" s="0" t="n">
        <v>13.8114</v>
      </c>
      <c r="S93" s="0" t="s">
        <v>166</v>
      </c>
      <c r="T93" s="0" t="n">
        <v>14.1052</v>
      </c>
    </row>
    <row r="94" customFormat="false" ht="13.8" hidden="false" customHeight="false" outlineLevel="0" collapsed="false">
      <c r="A94" s="0" t="s">
        <v>167</v>
      </c>
      <c r="B94" s="0" t="n">
        <v>14.0098</v>
      </c>
      <c r="D94" s="0" t="s">
        <v>167</v>
      </c>
      <c r="E94" s="0" t="n">
        <v>13.8562</v>
      </c>
      <c r="G94" s="0" t="s">
        <v>167</v>
      </c>
      <c r="H94" s="0" t="n">
        <v>14.3587</v>
      </c>
      <c r="J94" s="0" t="s">
        <v>167</v>
      </c>
      <c r="K94" s="0" t="n">
        <v>13.9845</v>
      </c>
      <c r="M94" s="0" t="s">
        <v>167</v>
      </c>
      <c r="N94" s="0" t="n">
        <v>14.5653</v>
      </c>
      <c r="P94" s="0" t="s">
        <v>167</v>
      </c>
      <c r="Q94" s="0" t="n">
        <v>13.8491</v>
      </c>
      <c r="S94" s="0" t="s">
        <v>167</v>
      </c>
      <c r="T94" s="0" t="n">
        <v>14.0802</v>
      </c>
    </row>
    <row r="95" customFormat="false" ht="13.8" hidden="false" customHeight="false" outlineLevel="0" collapsed="false">
      <c r="A95" s="0" t="s">
        <v>168</v>
      </c>
      <c r="B95" s="0" t="n">
        <v>14.0004</v>
      </c>
      <c r="D95" s="0" t="s">
        <v>168</v>
      </c>
      <c r="E95" s="0" t="n">
        <v>13.9659</v>
      </c>
      <c r="G95" s="0" t="s">
        <v>168</v>
      </c>
      <c r="H95" s="0" t="n">
        <v>14.2609</v>
      </c>
      <c r="J95" s="0" t="s">
        <v>168</v>
      </c>
      <c r="K95" s="0" t="n">
        <v>13.9693</v>
      </c>
      <c r="M95" s="0" t="s">
        <v>168</v>
      </c>
      <c r="N95" s="0" t="n">
        <v>14.5448</v>
      </c>
      <c r="P95" s="0" t="s">
        <v>168</v>
      </c>
      <c r="Q95" s="0" t="n">
        <v>13.7905</v>
      </c>
      <c r="S95" s="0" t="s">
        <v>168</v>
      </c>
      <c r="T95" s="0" t="n">
        <v>14.0839</v>
      </c>
    </row>
    <row r="96" customFormat="false" ht="13.8" hidden="false" customHeight="false" outlineLevel="0" collapsed="false">
      <c r="A96" s="0" t="s">
        <v>169</v>
      </c>
      <c r="B96" s="0" t="n">
        <v>13.9903</v>
      </c>
      <c r="D96" s="0" t="s">
        <v>169</v>
      </c>
      <c r="E96" s="0" t="n">
        <v>13.9034</v>
      </c>
      <c r="G96" s="0" t="s">
        <v>169</v>
      </c>
      <c r="H96" s="0" t="n">
        <v>14.3142</v>
      </c>
      <c r="J96" s="0" t="s">
        <v>169</v>
      </c>
      <c r="K96" s="0" t="n">
        <v>13.9219</v>
      </c>
      <c r="M96" s="0" t="s">
        <v>169</v>
      </c>
      <c r="N96" s="0" t="n">
        <v>14.5669</v>
      </c>
      <c r="P96" s="0" t="s">
        <v>169</v>
      </c>
      <c r="Q96" s="0" t="n">
        <v>13.7732</v>
      </c>
      <c r="S96" s="0" t="s">
        <v>169</v>
      </c>
      <c r="T96" s="0" t="n">
        <v>14.0716</v>
      </c>
    </row>
    <row r="97" customFormat="false" ht="13.8" hidden="false" customHeight="false" outlineLevel="0" collapsed="false">
      <c r="A97" s="0" t="s">
        <v>170</v>
      </c>
      <c r="B97" s="0" t="n">
        <v>14.0227</v>
      </c>
      <c r="D97" s="0" t="s">
        <v>170</v>
      </c>
      <c r="E97" s="0" t="n">
        <v>13.9222</v>
      </c>
      <c r="G97" s="0" t="s">
        <v>170</v>
      </c>
      <c r="H97" s="0" t="n">
        <v>14.2881</v>
      </c>
      <c r="J97" s="0" t="s">
        <v>170</v>
      </c>
      <c r="K97" s="0" t="n">
        <v>13.9829</v>
      </c>
      <c r="M97" s="0" t="s">
        <v>170</v>
      </c>
      <c r="N97" s="0" t="n">
        <v>14.5355</v>
      </c>
      <c r="P97" s="0" t="s">
        <v>170</v>
      </c>
      <c r="Q97" s="0" t="n">
        <v>13.7573</v>
      </c>
      <c r="S97" s="0" t="s">
        <v>170</v>
      </c>
      <c r="T97" s="0" t="n">
        <v>14.0724</v>
      </c>
    </row>
    <row r="98" customFormat="false" ht="13.8" hidden="false" customHeight="false" outlineLevel="0" collapsed="false">
      <c r="A98" s="0" t="s">
        <v>171</v>
      </c>
      <c r="B98" s="0" t="n">
        <v>14.0522</v>
      </c>
      <c r="D98" s="0" t="s">
        <v>171</v>
      </c>
      <c r="E98" s="0" t="n">
        <v>13.9495</v>
      </c>
      <c r="G98" s="0" t="s">
        <v>171</v>
      </c>
      <c r="H98" s="0" t="n">
        <v>14.2794</v>
      </c>
      <c r="J98" s="0" t="s">
        <v>171</v>
      </c>
      <c r="K98" s="0" t="n">
        <v>13.938</v>
      </c>
      <c r="M98" s="0" t="s">
        <v>171</v>
      </c>
      <c r="N98" s="0" t="n">
        <v>14.5557</v>
      </c>
      <c r="P98" s="0" t="s">
        <v>171</v>
      </c>
      <c r="Q98" s="0" t="n">
        <v>13.7361</v>
      </c>
      <c r="S98" s="0" t="s">
        <v>171</v>
      </c>
      <c r="T98" s="0" t="n">
        <v>14.0582</v>
      </c>
    </row>
    <row r="99" customFormat="false" ht="13.8" hidden="false" customHeight="false" outlineLevel="0" collapsed="false">
      <c r="A99" s="0" t="s">
        <v>172</v>
      </c>
      <c r="B99" s="0" t="n">
        <v>14.0085</v>
      </c>
      <c r="D99" s="0" t="s">
        <v>172</v>
      </c>
      <c r="E99" s="0" t="n">
        <v>13.9207</v>
      </c>
      <c r="G99" s="0" t="s">
        <v>172</v>
      </c>
      <c r="H99" s="0" t="n">
        <v>14.2466</v>
      </c>
      <c r="J99" s="0" t="s">
        <v>172</v>
      </c>
      <c r="K99" s="0" t="n">
        <v>13.944</v>
      </c>
      <c r="M99" s="0" t="s">
        <v>172</v>
      </c>
      <c r="N99" s="0" t="n">
        <v>14.5327</v>
      </c>
      <c r="P99" s="0" t="s">
        <v>172</v>
      </c>
      <c r="Q99" s="0" t="n">
        <v>13.7593</v>
      </c>
      <c r="S99" s="0" t="s">
        <v>172</v>
      </c>
      <c r="T99" s="0" t="n">
        <v>14.0755</v>
      </c>
    </row>
    <row r="100" customFormat="false" ht="13.8" hidden="false" customHeight="false" outlineLevel="0" collapsed="false">
      <c r="A100" s="0" t="s">
        <v>173</v>
      </c>
      <c r="B100" s="0" t="n">
        <v>14.0577</v>
      </c>
      <c r="D100" s="0" t="s">
        <v>173</v>
      </c>
      <c r="E100" s="0" t="n">
        <v>13.8423</v>
      </c>
      <c r="G100" s="0" t="s">
        <v>173</v>
      </c>
      <c r="H100" s="0" t="n">
        <v>14.3063</v>
      </c>
      <c r="J100" s="0" t="s">
        <v>173</v>
      </c>
      <c r="K100" s="0" t="n">
        <v>13.9477</v>
      </c>
      <c r="M100" s="0" t="s">
        <v>173</v>
      </c>
      <c r="N100" s="0" t="n">
        <v>14.5378</v>
      </c>
      <c r="P100" s="0" t="s">
        <v>173</v>
      </c>
      <c r="Q100" s="0" t="n">
        <v>13.7605</v>
      </c>
      <c r="S100" s="0" t="s">
        <v>173</v>
      </c>
      <c r="T100" s="0" t="n">
        <v>14.0384</v>
      </c>
    </row>
    <row r="101" customFormat="false" ht="13.8" hidden="false" customHeight="false" outlineLevel="0" collapsed="false">
      <c r="A101" s="0" t="s">
        <v>174</v>
      </c>
      <c r="B101" s="0" t="n">
        <v>7.23926</v>
      </c>
      <c r="D101" s="0" t="s">
        <v>174</v>
      </c>
      <c r="E101" s="0" t="n">
        <v>7.21471</v>
      </c>
      <c r="G101" s="0" t="s">
        <v>174</v>
      </c>
      <c r="H101" s="0" t="n">
        <v>7.34858</v>
      </c>
      <c r="J101" s="0" t="s">
        <v>174</v>
      </c>
      <c r="K101" s="0" t="n">
        <v>7.22325</v>
      </c>
      <c r="M101" s="0" t="s">
        <v>174</v>
      </c>
      <c r="N101" s="0" t="n">
        <v>7.44949</v>
      </c>
      <c r="P101" s="0" t="s">
        <v>174</v>
      </c>
      <c r="Q101" s="0" t="n">
        <v>7.22591</v>
      </c>
      <c r="S101" s="0" t="s">
        <v>174</v>
      </c>
      <c r="T101" s="0" t="n">
        <v>7.31559</v>
      </c>
    </row>
    <row r="102" customFormat="false" ht="13.8" hidden="false" customHeight="false" outlineLevel="0" collapsed="false">
      <c r="A102" s="0" t="s">
        <v>175</v>
      </c>
      <c r="B102" s="0" t="n">
        <v>7.26798</v>
      </c>
      <c r="D102" s="0" t="s">
        <v>175</v>
      </c>
      <c r="E102" s="0" t="n">
        <v>7.16546</v>
      </c>
      <c r="G102" s="0" t="s">
        <v>175</v>
      </c>
      <c r="H102" s="0" t="n">
        <v>7.3344</v>
      </c>
      <c r="J102" s="0" t="s">
        <v>175</v>
      </c>
      <c r="K102" s="0" t="n">
        <v>7.19019</v>
      </c>
      <c r="M102" s="0" t="s">
        <v>175</v>
      </c>
      <c r="N102" s="0" t="n">
        <v>7.44567</v>
      </c>
      <c r="P102" s="0" t="s">
        <v>175</v>
      </c>
      <c r="Q102" s="0" t="n">
        <v>7.1914</v>
      </c>
      <c r="S102" s="0" t="s">
        <v>175</v>
      </c>
      <c r="T102" s="0" t="n">
        <v>7.30688</v>
      </c>
    </row>
    <row r="103" customFormat="false" ht="13.8" hidden="false" customHeight="false" outlineLevel="0" collapsed="false">
      <c r="A103" s="0" t="s">
        <v>176</v>
      </c>
      <c r="B103" s="0" t="n">
        <v>7.29188</v>
      </c>
      <c r="D103" s="0" t="s">
        <v>176</v>
      </c>
      <c r="E103" s="0" t="n">
        <v>7.13165</v>
      </c>
      <c r="G103" s="0" t="s">
        <v>176</v>
      </c>
      <c r="H103" s="0" t="n">
        <v>7.33577</v>
      </c>
      <c r="J103" s="0" t="s">
        <v>176</v>
      </c>
      <c r="K103" s="0" t="n">
        <v>7.19325</v>
      </c>
      <c r="M103" s="0" t="s">
        <v>176</v>
      </c>
      <c r="N103" s="0" t="n">
        <v>7.43226</v>
      </c>
      <c r="P103" s="0" t="s">
        <v>176</v>
      </c>
      <c r="Q103" s="0" t="n">
        <v>7.20111</v>
      </c>
      <c r="S103" s="0" t="s">
        <v>176</v>
      </c>
      <c r="T103" s="0" t="n">
        <v>7.28704</v>
      </c>
    </row>
    <row r="104" customFormat="false" ht="13.8" hidden="false" customHeight="false" outlineLevel="0" collapsed="false">
      <c r="A104" s="0" t="s">
        <v>177</v>
      </c>
      <c r="B104" s="0" t="n">
        <v>7.28367</v>
      </c>
      <c r="D104" s="0" t="s">
        <v>177</v>
      </c>
      <c r="E104" s="0" t="n">
        <v>7.159</v>
      </c>
      <c r="G104" s="0" t="s">
        <v>177</v>
      </c>
      <c r="H104" s="0" t="n">
        <v>7.30054</v>
      </c>
      <c r="J104" s="0" t="s">
        <v>177</v>
      </c>
      <c r="K104" s="0" t="n">
        <v>7.18018</v>
      </c>
      <c r="M104" s="0" t="s">
        <v>177</v>
      </c>
      <c r="N104" s="0" t="n">
        <v>7.40225</v>
      </c>
      <c r="P104" s="0" t="s">
        <v>177</v>
      </c>
      <c r="Q104" s="0" t="n">
        <v>7.15545</v>
      </c>
      <c r="S104" s="0" t="s">
        <v>177</v>
      </c>
      <c r="T104" s="0" t="n">
        <v>7.27787</v>
      </c>
    </row>
    <row r="105" customFormat="false" ht="13.8" hidden="false" customHeight="false" outlineLevel="0" collapsed="false">
      <c r="A105" s="0" t="s">
        <v>178</v>
      </c>
      <c r="B105" s="0" t="n">
        <v>7.29817</v>
      </c>
      <c r="D105" s="0" t="s">
        <v>178</v>
      </c>
      <c r="E105" s="0" t="n">
        <v>7.17515</v>
      </c>
      <c r="G105" s="0" t="s">
        <v>178</v>
      </c>
      <c r="H105" s="0" t="n">
        <v>7.28432</v>
      </c>
      <c r="J105" s="0" t="s">
        <v>178</v>
      </c>
      <c r="K105" s="0" t="n">
        <v>7.13773</v>
      </c>
      <c r="M105" s="0" t="s">
        <v>178</v>
      </c>
      <c r="N105" s="0" t="n">
        <v>7.3998</v>
      </c>
      <c r="P105" s="0" t="s">
        <v>178</v>
      </c>
      <c r="Q105" s="0" t="n">
        <v>7.13756</v>
      </c>
      <c r="S105" s="0" t="s">
        <v>178</v>
      </c>
      <c r="T105" s="0" t="n">
        <v>7.24994</v>
      </c>
    </row>
    <row r="106" customFormat="false" ht="13.8" hidden="false" customHeight="false" outlineLevel="0" collapsed="false">
      <c r="A106" s="0" t="s">
        <v>179</v>
      </c>
      <c r="B106" s="0" t="n">
        <v>7.24256</v>
      </c>
      <c r="D106" s="0" t="s">
        <v>179</v>
      </c>
      <c r="E106" s="0" t="n">
        <v>7.1104</v>
      </c>
      <c r="G106" s="0" t="s">
        <v>179</v>
      </c>
      <c r="H106" s="0" t="n">
        <v>7.27495</v>
      </c>
      <c r="J106" s="0" t="s">
        <v>179</v>
      </c>
      <c r="K106" s="0" t="n">
        <v>7.13298</v>
      </c>
      <c r="M106" s="0" t="s">
        <v>179</v>
      </c>
      <c r="N106" s="0" t="n">
        <v>7.3786</v>
      </c>
      <c r="P106" s="0" t="s">
        <v>179</v>
      </c>
      <c r="Q106" s="0" t="n">
        <v>7.12853</v>
      </c>
      <c r="S106" s="0" t="s">
        <v>179</v>
      </c>
      <c r="T106" s="0" t="n">
        <v>7.24863</v>
      </c>
    </row>
    <row r="107" customFormat="false" ht="13.8" hidden="false" customHeight="false" outlineLevel="0" collapsed="false">
      <c r="A107" s="0" t="s">
        <v>180</v>
      </c>
      <c r="B107" s="0" t="n">
        <v>7.22103</v>
      </c>
      <c r="D107" s="0" t="s">
        <v>180</v>
      </c>
      <c r="E107" s="0" t="n">
        <v>7.06598</v>
      </c>
      <c r="G107" s="0" t="s">
        <v>180</v>
      </c>
      <c r="H107" s="0" t="n">
        <v>7.24501</v>
      </c>
      <c r="J107" s="0" t="s">
        <v>180</v>
      </c>
      <c r="K107" s="0" t="n">
        <v>7.124</v>
      </c>
      <c r="M107" s="0" t="s">
        <v>180</v>
      </c>
      <c r="N107" s="0" t="n">
        <v>7.35882</v>
      </c>
      <c r="P107" s="0" t="s">
        <v>180</v>
      </c>
      <c r="Q107" s="0" t="n">
        <v>7.11863</v>
      </c>
      <c r="S107" s="0" t="s">
        <v>180</v>
      </c>
      <c r="T107" s="0" t="n">
        <v>7.21069</v>
      </c>
    </row>
    <row r="108" customFormat="false" ht="13.8" hidden="false" customHeight="false" outlineLevel="0" collapsed="false">
      <c r="A108" s="0" t="s">
        <v>181</v>
      </c>
      <c r="B108" s="0" t="n">
        <v>7.17454</v>
      </c>
      <c r="D108" s="0" t="s">
        <v>181</v>
      </c>
      <c r="E108" s="0" t="n">
        <v>7.08067</v>
      </c>
      <c r="G108" s="0" t="s">
        <v>181</v>
      </c>
      <c r="H108" s="0" t="n">
        <v>7.22535</v>
      </c>
      <c r="J108" s="0" t="s">
        <v>181</v>
      </c>
      <c r="K108" s="0" t="n">
        <v>7.1143</v>
      </c>
      <c r="M108" s="0" t="s">
        <v>181</v>
      </c>
      <c r="N108" s="0" t="n">
        <v>7.35253</v>
      </c>
      <c r="P108" s="0" t="s">
        <v>181</v>
      </c>
      <c r="Q108" s="0" t="n">
        <v>7.1005</v>
      </c>
      <c r="S108" s="0" t="s">
        <v>181</v>
      </c>
      <c r="T108" s="0" t="n">
        <v>7.20858</v>
      </c>
    </row>
    <row r="109" customFormat="false" ht="13.8" hidden="false" customHeight="false" outlineLevel="0" collapsed="false">
      <c r="A109" s="0" t="s">
        <v>182</v>
      </c>
      <c r="B109" s="0" t="n">
        <v>7.14537</v>
      </c>
      <c r="D109" s="0" t="s">
        <v>182</v>
      </c>
      <c r="E109" s="0" t="n">
        <v>7.11144</v>
      </c>
      <c r="G109" s="0" t="s">
        <v>182</v>
      </c>
      <c r="H109" s="0" t="n">
        <v>7.23973</v>
      </c>
      <c r="J109" s="0" t="s">
        <v>182</v>
      </c>
      <c r="K109" s="0" t="n">
        <v>7.10639</v>
      </c>
      <c r="M109" s="0" t="s">
        <v>182</v>
      </c>
      <c r="N109" s="0" t="n">
        <v>7.33337</v>
      </c>
      <c r="P109" s="0" t="s">
        <v>182</v>
      </c>
      <c r="Q109" s="0" t="n">
        <v>7.09434</v>
      </c>
      <c r="S109" s="0" t="s">
        <v>182</v>
      </c>
      <c r="T109" s="0" t="n">
        <v>7.18676</v>
      </c>
    </row>
    <row r="110" customFormat="false" ht="13.8" hidden="false" customHeight="false" outlineLevel="0" collapsed="false">
      <c r="A110" s="0" t="s">
        <v>183</v>
      </c>
      <c r="B110" s="0" t="n">
        <v>36.9185</v>
      </c>
      <c r="D110" s="0" t="s">
        <v>183</v>
      </c>
      <c r="E110" s="0" t="n">
        <v>36.9262</v>
      </c>
      <c r="G110" s="0" t="s">
        <v>183</v>
      </c>
      <c r="H110" s="0" t="n">
        <v>36.6711</v>
      </c>
      <c r="J110" s="0" t="s">
        <v>183</v>
      </c>
      <c r="K110" s="0" t="n">
        <v>36.9304</v>
      </c>
      <c r="M110" s="0" t="s">
        <v>183</v>
      </c>
      <c r="N110" s="0" t="n">
        <v>36.7832</v>
      </c>
      <c r="P110" s="0" t="s">
        <v>183</v>
      </c>
      <c r="Q110" s="0" t="n">
        <v>36.9904</v>
      </c>
      <c r="S110" s="0" t="s">
        <v>183</v>
      </c>
      <c r="T110" s="0" t="n">
        <v>36.7967</v>
      </c>
    </row>
    <row r="111" customFormat="false" ht="13.8" hidden="false" customHeight="false" outlineLevel="0" collapsed="false">
      <c r="A111" s="0" t="s">
        <v>184</v>
      </c>
      <c r="B111" s="0" t="n">
        <v>36.3541</v>
      </c>
      <c r="D111" s="0" t="s">
        <v>184</v>
      </c>
      <c r="E111" s="0" t="n">
        <v>37.0273</v>
      </c>
      <c r="G111" s="0" t="s">
        <v>184</v>
      </c>
      <c r="H111" s="0" t="n">
        <v>36.6582</v>
      </c>
      <c r="J111" s="0" t="s">
        <v>184</v>
      </c>
      <c r="K111" s="0" t="n">
        <v>37.048</v>
      </c>
      <c r="M111" s="0" t="s">
        <v>184</v>
      </c>
      <c r="N111" s="0" t="n">
        <v>36.7714</v>
      </c>
      <c r="P111" s="0" t="s">
        <v>184</v>
      </c>
      <c r="Q111" s="0" t="n">
        <v>37.0582</v>
      </c>
      <c r="S111" s="0" t="s">
        <v>184</v>
      </c>
      <c r="T111" s="0" t="n">
        <v>36.8531</v>
      </c>
    </row>
    <row r="112" customFormat="false" ht="13.8" hidden="false" customHeight="false" outlineLevel="0" collapsed="false">
      <c r="A112" s="0" t="s">
        <v>185</v>
      </c>
      <c r="B112" s="0" t="n">
        <v>36.4784</v>
      </c>
      <c r="D112" s="0" t="s">
        <v>185</v>
      </c>
      <c r="E112" s="0" t="n">
        <v>37.1045</v>
      </c>
      <c r="G112" s="0" t="s">
        <v>185</v>
      </c>
      <c r="H112" s="0" t="n">
        <v>36.6876</v>
      </c>
      <c r="J112" s="0" t="s">
        <v>185</v>
      </c>
      <c r="K112" s="0" t="n">
        <v>37.0037</v>
      </c>
      <c r="M112" s="0" t="s">
        <v>185</v>
      </c>
      <c r="N112" s="0" t="n">
        <v>36.8296</v>
      </c>
      <c r="P112" s="0" t="s">
        <v>185</v>
      </c>
      <c r="Q112" s="0" t="n">
        <v>37.0304</v>
      </c>
      <c r="S112" s="0" t="s">
        <v>185</v>
      </c>
      <c r="T112" s="0" t="n">
        <v>36.8666</v>
      </c>
    </row>
    <row r="113" customFormat="false" ht="13.8" hidden="false" customHeight="false" outlineLevel="0" collapsed="false">
      <c r="A113" s="0" t="s">
        <v>186</v>
      </c>
      <c r="B113" s="0" t="n">
        <v>36.68</v>
      </c>
      <c r="D113" s="0" t="s">
        <v>186</v>
      </c>
      <c r="E113" s="0" t="n">
        <v>37.2224</v>
      </c>
      <c r="G113" s="0" t="s">
        <v>186</v>
      </c>
      <c r="H113" s="0" t="n">
        <v>36.7343</v>
      </c>
      <c r="J113" s="0" t="s">
        <v>186</v>
      </c>
      <c r="K113" s="0" t="n">
        <v>37.0327</v>
      </c>
      <c r="M113" s="0" t="s">
        <v>186</v>
      </c>
      <c r="N113" s="0" t="n">
        <v>36.8893</v>
      </c>
      <c r="P113" s="0" t="s">
        <v>186</v>
      </c>
      <c r="Q113" s="0" t="n">
        <v>37.1146</v>
      </c>
      <c r="S113" s="0" t="s">
        <v>186</v>
      </c>
      <c r="T113" s="0" t="n">
        <v>36.9177</v>
      </c>
    </row>
    <row r="114" customFormat="false" ht="13.8" hidden="false" customHeight="false" outlineLevel="0" collapsed="false">
      <c r="A114" s="0" t="s">
        <v>187</v>
      </c>
      <c r="B114" s="0" t="n">
        <v>36.8437</v>
      </c>
      <c r="D114" s="0" t="s">
        <v>187</v>
      </c>
      <c r="E114" s="0" t="n">
        <v>36.7504</v>
      </c>
      <c r="G114" s="0" t="s">
        <v>187</v>
      </c>
      <c r="H114" s="0" t="n">
        <v>36.7861</v>
      </c>
      <c r="J114" s="0" t="s">
        <v>187</v>
      </c>
      <c r="K114" s="0" t="n">
        <v>37.1082</v>
      </c>
      <c r="M114" s="0" t="s">
        <v>187</v>
      </c>
      <c r="N114" s="0" t="n">
        <v>36.9153</v>
      </c>
      <c r="P114" s="0" t="s">
        <v>187</v>
      </c>
      <c r="Q114" s="0" t="n">
        <v>37.1309</v>
      </c>
      <c r="S114" s="0" t="s">
        <v>187</v>
      </c>
      <c r="T114" s="0" t="n">
        <v>36.9244</v>
      </c>
    </row>
    <row r="115" customFormat="false" ht="13.8" hidden="false" customHeight="false" outlineLevel="0" collapsed="false">
      <c r="A115" s="0" t="s">
        <v>188</v>
      </c>
      <c r="B115" s="0" t="n">
        <v>36.9762</v>
      </c>
      <c r="D115" s="0" t="s">
        <v>188</v>
      </c>
      <c r="E115" s="0" t="n">
        <v>36.7969</v>
      </c>
      <c r="G115" s="0" t="s">
        <v>188</v>
      </c>
      <c r="H115" s="0" t="n">
        <v>36.7586</v>
      </c>
      <c r="J115" s="0" t="s">
        <v>188</v>
      </c>
      <c r="K115" s="0" t="n">
        <v>37.1427</v>
      </c>
      <c r="M115" s="0" t="s">
        <v>188</v>
      </c>
      <c r="N115" s="0" t="n">
        <v>36.938</v>
      </c>
      <c r="P115" s="0" t="s">
        <v>188</v>
      </c>
      <c r="Q115" s="0" t="n">
        <v>37.1711</v>
      </c>
      <c r="S115" s="0" t="s">
        <v>188</v>
      </c>
      <c r="T115" s="0" t="n">
        <v>36.9547</v>
      </c>
    </row>
    <row r="116" customFormat="false" ht="13.8" hidden="false" customHeight="false" outlineLevel="0" collapsed="false">
      <c r="A116" s="0" t="s">
        <v>189</v>
      </c>
      <c r="B116" s="0" t="n">
        <v>37.0295</v>
      </c>
      <c r="D116" s="0" t="s">
        <v>189</v>
      </c>
      <c r="E116" s="0" t="n">
        <v>36.9034</v>
      </c>
      <c r="G116" s="0" t="s">
        <v>189</v>
      </c>
      <c r="H116" s="0" t="n">
        <v>36.8087</v>
      </c>
      <c r="J116" s="0" t="s">
        <v>189</v>
      </c>
      <c r="K116" s="0" t="n">
        <v>37.1303</v>
      </c>
      <c r="M116" s="0" t="s">
        <v>189</v>
      </c>
      <c r="N116" s="0" t="n">
        <v>36.9821</v>
      </c>
      <c r="P116" s="0" t="s">
        <v>189</v>
      </c>
      <c r="Q116" s="0" t="n">
        <v>37.1887</v>
      </c>
      <c r="S116" s="0" t="s">
        <v>189</v>
      </c>
      <c r="T116" s="0" t="n">
        <v>37.0264</v>
      </c>
    </row>
    <row r="117" customFormat="false" ht="13.8" hidden="false" customHeight="false" outlineLevel="0" collapsed="false">
      <c r="A117" s="0" t="s">
        <v>190</v>
      </c>
      <c r="B117" s="0" t="n">
        <v>37.1036</v>
      </c>
      <c r="D117" s="0" t="s">
        <v>190</v>
      </c>
      <c r="E117" s="0" t="n">
        <v>37.0239</v>
      </c>
      <c r="G117" s="0" t="s">
        <v>190</v>
      </c>
      <c r="H117" s="0" t="n">
        <v>36.8595</v>
      </c>
      <c r="J117" s="0" t="s">
        <v>190</v>
      </c>
      <c r="K117" s="0" t="n">
        <v>37.1937</v>
      </c>
      <c r="M117" s="0" t="s">
        <v>190</v>
      </c>
      <c r="N117" s="0" t="n">
        <v>36.9969</v>
      </c>
      <c r="P117" s="0" t="s">
        <v>190</v>
      </c>
      <c r="Q117" s="0" t="n">
        <v>37.2219</v>
      </c>
      <c r="S117" s="0" t="s">
        <v>190</v>
      </c>
      <c r="T117" s="0" t="n">
        <v>37.0255</v>
      </c>
    </row>
    <row r="118" customFormat="false" ht="13.8" hidden="false" customHeight="false" outlineLevel="0" collapsed="false">
      <c r="A118" s="0" t="s">
        <v>191</v>
      </c>
      <c r="B118" s="0" t="n">
        <v>37.1006</v>
      </c>
      <c r="D118" s="0" t="s">
        <v>191</v>
      </c>
      <c r="E118" s="0" t="n">
        <v>37.1495</v>
      </c>
      <c r="G118" s="0" t="s">
        <v>191</v>
      </c>
      <c r="H118" s="0" t="n">
        <v>36.8864</v>
      </c>
      <c r="J118" s="0" t="s">
        <v>191</v>
      </c>
      <c r="K118" s="0" t="n">
        <v>37.1897</v>
      </c>
      <c r="M118" s="0" t="s">
        <v>191</v>
      </c>
      <c r="N118" s="0" t="n">
        <v>37.0012</v>
      </c>
      <c r="P118" s="0" t="s">
        <v>191</v>
      </c>
      <c r="Q118" s="0" t="n">
        <v>37.2821</v>
      </c>
      <c r="S118" s="0" t="s">
        <v>191</v>
      </c>
      <c r="T118" s="0" t="n">
        <v>37.0632</v>
      </c>
    </row>
    <row r="119" customFormat="false" ht="13.8" hidden="false" customHeight="false" outlineLevel="0" collapsed="false">
      <c r="A119" s="0" t="s">
        <v>192</v>
      </c>
      <c r="B119" s="0" t="n">
        <v>23.4746</v>
      </c>
      <c r="D119" s="0" t="s">
        <v>192</v>
      </c>
      <c r="E119" s="0" t="n">
        <v>23.251</v>
      </c>
      <c r="G119" s="0" t="s">
        <v>192</v>
      </c>
      <c r="H119" s="0" t="n">
        <v>23.2393</v>
      </c>
      <c r="J119" s="0" t="s">
        <v>192</v>
      </c>
      <c r="K119" s="0" t="n">
        <v>23.283</v>
      </c>
      <c r="M119" s="0" t="s">
        <v>192</v>
      </c>
      <c r="N119" s="0" t="n">
        <v>23.4318</v>
      </c>
      <c r="P119" s="0" t="s">
        <v>192</v>
      </c>
      <c r="Q119" s="0" t="n">
        <v>23.3784</v>
      </c>
      <c r="S119" s="0" t="s">
        <v>192</v>
      </c>
      <c r="T119" s="0" t="n">
        <v>23.3019</v>
      </c>
    </row>
    <row r="120" customFormat="false" ht="13.8" hidden="false" customHeight="false" outlineLevel="0" collapsed="false">
      <c r="A120" s="0" t="s">
        <v>193</v>
      </c>
      <c r="B120" s="0" t="n">
        <v>23.0622</v>
      </c>
      <c r="D120" s="0" t="s">
        <v>193</v>
      </c>
      <c r="E120" s="0" t="n">
        <v>23.3233</v>
      </c>
      <c r="G120" s="0" t="s">
        <v>193</v>
      </c>
      <c r="H120" s="0" t="n">
        <v>23.2362</v>
      </c>
      <c r="J120" s="0" t="s">
        <v>193</v>
      </c>
      <c r="K120" s="0" t="n">
        <v>23.3258</v>
      </c>
      <c r="M120" s="0" t="s">
        <v>193</v>
      </c>
      <c r="N120" s="0" t="n">
        <v>23.4453</v>
      </c>
      <c r="P120" s="0" t="s">
        <v>193</v>
      </c>
      <c r="Q120" s="0" t="n">
        <v>23.3855</v>
      </c>
      <c r="S120" s="0" t="s">
        <v>193</v>
      </c>
      <c r="T120" s="0" t="n">
        <v>23.3352</v>
      </c>
    </row>
    <row r="121" customFormat="false" ht="13.8" hidden="false" customHeight="false" outlineLevel="0" collapsed="false">
      <c r="A121" s="0" t="s">
        <v>194</v>
      </c>
      <c r="B121" s="0" t="n">
        <v>23.033</v>
      </c>
      <c r="D121" s="0" t="s">
        <v>194</v>
      </c>
      <c r="E121" s="0" t="n">
        <v>23.395</v>
      </c>
      <c r="G121" s="0" t="s">
        <v>194</v>
      </c>
      <c r="H121" s="0" t="n">
        <v>23.2596</v>
      </c>
      <c r="J121" s="0" t="s">
        <v>194</v>
      </c>
      <c r="K121" s="0" t="n">
        <v>23.3365</v>
      </c>
      <c r="M121" s="0" t="s">
        <v>194</v>
      </c>
      <c r="N121" s="0" t="n">
        <v>23.4626</v>
      </c>
      <c r="P121" s="0" t="s">
        <v>194</v>
      </c>
      <c r="Q121" s="0" t="n">
        <v>23.3939</v>
      </c>
      <c r="S121" s="0" t="s">
        <v>194</v>
      </c>
      <c r="T121" s="0" t="n">
        <v>23.3445</v>
      </c>
    </row>
    <row r="122" customFormat="false" ht="13.8" hidden="false" customHeight="false" outlineLevel="0" collapsed="false">
      <c r="A122" s="0" t="s">
        <v>195</v>
      </c>
      <c r="B122" s="0" t="n">
        <v>23.1448</v>
      </c>
      <c r="D122" s="0" t="s">
        <v>195</v>
      </c>
      <c r="E122" s="0" t="n">
        <v>23.448</v>
      </c>
      <c r="G122" s="0" t="s">
        <v>195</v>
      </c>
      <c r="H122" s="0" t="n">
        <v>23.2849</v>
      </c>
      <c r="J122" s="0" t="s">
        <v>195</v>
      </c>
      <c r="K122" s="0" t="n">
        <v>23.3407</v>
      </c>
      <c r="M122" s="0" t="s">
        <v>195</v>
      </c>
      <c r="N122" s="0" t="n">
        <v>23.4868</v>
      </c>
      <c r="P122" s="0" t="s">
        <v>195</v>
      </c>
      <c r="Q122" s="0" t="n">
        <v>23.4034</v>
      </c>
      <c r="S122" s="0" t="s">
        <v>195</v>
      </c>
      <c r="T122" s="0" t="n">
        <v>23.3835</v>
      </c>
    </row>
    <row r="123" customFormat="false" ht="13.8" hidden="false" customHeight="false" outlineLevel="0" collapsed="false">
      <c r="A123" s="0" t="s">
        <v>196</v>
      </c>
      <c r="B123" s="0" t="n">
        <v>23.2822</v>
      </c>
      <c r="D123" s="0" t="s">
        <v>196</v>
      </c>
      <c r="E123" s="0" t="n">
        <v>23.0982</v>
      </c>
      <c r="G123" s="0" t="s">
        <v>196</v>
      </c>
      <c r="H123" s="0" t="n">
        <v>23.2913</v>
      </c>
      <c r="J123" s="0" t="s">
        <v>196</v>
      </c>
      <c r="K123" s="0" t="n">
        <v>23.3615</v>
      </c>
      <c r="M123" s="0" t="s">
        <v>196</v>
      </c>
      <c r="N123" s="0" t="n">
        <v>23.5117</v>
      </c>
      <c r="P123" s="0" t="s">
        <v>196</v>
      </c>
      <c r="Q123" s="0" t="n">
        <v>23.4174</v>
      </c>
      <c r="S123" s="0" t="s">
        <v>196</v>
      </c>
      <c r="T123" s="0" t="n">
        <v>23.3634</v>
      </c>
    </row>
    <row r="124" customFormat="false" ht="13.8" hidden="false" customHeight="false" outlineLevel="0" collapsed="false">
      <c r="A124" s="0" t="s">
        <v>197</v>
      </c>
      <c r="B124" s="0" t="n">
        <v>23.3604</v>
      </c>
      <c r="D124" s="0" t="s">
        <v>197</v>
      </c>
      <c r="E124" s="0" t="n">
        <v>23.1328</v>
      </c>
      <c r="G124" s="0" t="s">
        <v>197</v>
      </c>
      <c r="H124" s="0" t="n">
        <v>23.2971</v>
      </c>
      <c r="J124" s="0" t="s">
        <v>197</v>
      </c>
      <c r="K124" s="0" t="n">
        <v>23.3726</v>
      </c>
      <c r="M124" s="0" t="s">
        <v>197</v>
      </c>
      <c r="N124" s="0" t="n">
        <v>23.5163</v>
      </c>
      <c r="P124" s="0" t="s">
        <v>197</v>
      </c>
      <c r="Q124" s="0" t="n">
        <v>23.4414</v>
      </c>
      <c r="S124" s="0" t="s">
        <v>197</v>
      </c>
      <c r="T124" s="0" t="n">
        <v>23.3949</v>
      </c>
    </row>
    <row r="125" customFormat="false" ht="13.8" hidden="false" customHeight="false" outlineLevel="0" collapsed="false">
      <c r="A125" s="0" t="s">
        <v>198</v>
      </c>
      <c r="B125" s="0" t="n">
        <v>23.4303</v>
      </c>
      <c r="D125" s="0" t="s">
        <v>198</v>
      </c>
      <c r="E125" s="0" t="n">
        <v>23.2105</v>
      </c>
      <c r="G125" s="0" t="s">
        <v>198</v>
      </c>
      <c r="H125" s="0" t="n">
        <v>23.3035</v>
      </c>
      <c r="J125" s="0" t="s">
        <v>198</v>
      </c>
      <c r="K125" s="0" t="n">
        <v>23.3852</v>
      </c>
      <c r="M125" s="0" t="s">
        <v>198</v>
      </c>
      <c r="N125" s="0" t="n">
        <v>23.5287</v>
      </c>
      <c r="P125" s="0" t="s">
        <v>198</v>
      </c>
      <c r="Q125" s="0" t="n">
        <v>23.4586</v>
      </c>
      <c r="S125" s="0" t="s">
        <v>198</v>
      </c>
      <c r="T125" s="0" t="n">
        <v>23.4</v>
      </c>
    </row>
    <row r="126" customFormat="false" ht="13.8" hidden="false" customHeight="false" outlineLevel="0" collapsed="false">
      <c r="A126" s="0" t="s">
        <v>199</v>
      </c>
      <c r="B126" s="0" t="n">
        <v>23.4863</v>
      </c>
      <c r="D126" s="0" t="s">
        <v>199</v>
      </c>
      <c r="E126" s="0" t="n">
        <v>23.3093</v>
      </c>
      <c r="G126" s="0" t="s">
        <v>199</v>
      </c>
      <c r="H126" s="0" t="n">
        <v>23.3037</v>
      </c>
      <c r="J126" s="0" t="s">
        <v>199</v>
      </c>
      <c r="K126" s="0" t="n">
        <v>23.4147</v>
      </c>
      <c r="M126" s="0" t="s">
        <v>199</v>
      </c>
      <c r="N126" s="0" t="n">
        <v>23.5388</v>
      </c>
      <c r="P126" s="0" t="s">
        <v>199</v>
      </c>
      <c r="Q126" s="0" t="n">
        <v>23.4664</v>
      </c>
      <c r="S126" s="0" t="s">
        <v>199</v>
      </c>
      <c r="T126" s="0" t="n">
        <v>23.4032</v>
      </c>
    </row>
    <row r="127" customFormat="false" ht="13.8" hidden="false" customHeight="false" outlineLevel="0" collapsed="false">
      <c r="A127" s="0" t="s">
        <v>200</v>
      </c>
      <c r="B127" s="0" t="n">
        <v>23.5193</v>
      </c>
      <c r="D127" s="0" t="s">
        <v>200</v>
      </c>
      <c r="E127" s="0" t="n">
        <v>23.304</v>
      </c>
      <c r="G127" s="0" t="s">
        <v>200</v>
      </c>
      <c r="H127" s="0" t="n">
        <v>23.3552</v>
      </c>
      <c r="J127" s="0" t="s">
        <v>200</v>
      </c>
      <c r="K127" s="0" t="n">
        <v>23.4069</v>
      </c>
      <c r="M127" s="0" t="s">
        <v>200</v>
      </c>
      <c r="N127" s="0" t="n">
        <v>23.5449</v>
      </c>
      <c r="P127" s="0" t="s">
        <v>200</v>
      </c>
      <c r="Q127" s="0" t="n">
        <v>23.4945</v>
      </c>
      <c r="S127" s="0" t="s">
        <v>200</v>
      </c>
      <c r="T127" s="0" t="n">
        <v>23.4267</v>
      </c>
    </row>
    <row r="128" customFormat="false" ht="13.8" hidden="false" customHeight="false" outlineLevel="0" collapsed="false">
      <c r="A128" s="0" t="s">
        <v>201</v>
      </c>
      <c r="B128" s="0" t="n">
        <v>13.3305</v>
      </c>
      <c r="D128" s="0" t="s">
        <v>201</v>
      </c>
      <c r="E128" s="0" t="n">
        <v>13.1876</v>
      </c>
      <c r="G128" s="0" t="s">
        <v>201</v>
      </c>
      <c r="H128" s="0" t="n">
        <v>13.4524</v>
      </c>
      <c r="J128" s="0" t="s">
        <v>201</v>
      </c>
      <c r="K128" s="0" t="n">
        <v>13.3759</v>
      </c>
      <c r="M128" s="0" t="s">
        <v>201</v>
      </c>
      <c r="N128" s="0" t="n">
        <v>13.5838</v>
      </c>
      <c r="P128" s="0" t="s">
        <v>201</v>
      </c>
      <c r="Q128" s="0" t="n">
        <v>13.2786</v>
      </c>
      <c r="S128" s="0" t="s">
        <v>201</v>
      </c>
      <c r="T128" s="0" t="n">
        <v>13.4328</v>
      </c>
    </row>
    <row r="129" customFormat="false" ht="13.8" hidden="false" customHeight="false" outlineLevel="0" collapsed="false">
      <c r="A129" s="0" t="s">
        <v>202</v>
      </c>
      <c r="B129" s="0" t="n">
        <v>13.3166</v>
      </c>
      <c r="D129" s="0" t="s">
        <v>202</v>
      </c>
      <c r="E129" s="0" t="n">
        <v>13.1566</v>
      </c>
      <c r="G129" s="0" t="s">
        <v>202</v>
      </c>
      <c r="H129" s="0" t="n">
        <v>13.3936</v>
      </c>
      <c r="J129" s="0" t="s">
        <v>202</v>
      </c>
      <c r="K129" s="0" t="n">
        <v>13.3456</v>
      </c>
      <c r="M129" s="0" t="s">
        <v>202</v>
      </c>
      <c r="N129" s="0" t="n">
        <v>13.5427</v>
      </c>
      <c r="P129" s="0" t="s">
        <v>202</v>
      </c>
      <c r="Q129" s="0" t="n">
        <v>13.2542</v>
      </c>
      <c r="S129" s="0" t="s">
        <v>202</v>
      </c>
      <c r="T129" s="0" t="n">
        <v>13.394</v>
      </c>
    </row>
    <row r="130" customFormat="false" ht="13.8" hidden="false" customHeight="false" outlineLevel="0" collapsed="false">
      <c r="A130" s="0" t="s">
        <v>203</v>
      </c>
      <c r="B130" s="0" t="n">
        <v>13.2731</v>
      </c>
      <c r="D130" s="0" t="s">
        <v>203</v>
      </c>
      <c r="E130" s="0" t="n">
        <v>13.1238</v>
      </c>
      <c r="G130" s="0" t="s">
        <v>203</v>
      </c>
      <c r="H130" s="0" t="n">
        <v>13.395</v>
      </c>
      <c r="J130" s="0" t="s">
        <v>203</v>
      </c>
      <c r="K130" s="0" t="n">
        <v>13.2943</v>
      </c>
      <c r="M130" s="0" t="s">
        <v>203</v>
      </c>
      <c r="N130" s="0" t="n">
        <v>13.5303</v>
      </c>
      <c r="P130" s="0" t="s">
        <v>203</v>
      </c>
      <c r="Q130" s="0" t="n">
        <v>13.2307</v>
      </c>
      <c r="S130" s="0" t="s">
        <v>203</v>
      </c>
      <c r="T130" s="0" t="n">
        <v>13.3712</v>
      </c>
    </row>
    <row r="131" customFormat="false" ht="13.8" hidden="false" customHeight="false" outlineLevel="0" collapsed="false">
      <c r="A131" s="0" t="s">
        <v>204</v>
      </c>
      <c r="B131" s="0" t="n">
        <v>13.2804</v>
      </c>
      <c r="D131" s="0" t="s">
        <v>204</v>
      </c>
      <c r="E131" s="0" t="n">
        <v>13.1746</v>
      </c>
      <c r="G131" s="0" t="s">
        <v>204</v>
      </c>
      <c r="H131" s="0" t="n">
        <v>13.324</v>
      </c>
      <c r="J131" s="0" t="s">
        <v>204</v>
      </c>
      <c r="K131" s="0" t="n">
        <v>13.2622</v>
      </c>
      <c r="M131" s="0" t="s">
        <v>204</v>
      </c>
      <c r="N131" s="0" t="n">
        <v>13.4912</v>
      </c>
      <c r="P131" s="0" t="s">
        <v>204</v>
      </c>
      <c r="Q131" s="0" t="n">
        <v>13.1951</v>
      </c>
      <c r="S131" s="0" t="s">
        <v>204</v>
      </c>
      <c r="T131" s="0" t="n">
        <v>13.3339</v>
      </c>
    </row>
    <row r="132" customFormat="false" ht="13.8" hidden="false" customHeight="false" outlineLevel="0" collapsed="false">
      <c r="A132" s="0" t="s">
        <v>205</v>
      </c>
      <c r="B132" s="0" t="n">
        <v>13.2421</v>
      </c>
      <c r="D132" s="0" t="s">
        <v>205</v>
      </c>
      <c r="E132" s="0" t="n">
        <v>13.1598</v>
      </c>
      <c r="G132" s="0" t="s">
        <v>205</v>
      </c>
      <c r="H132" s="0" t="n">
        <v>13.338</v>
      </c>
      <c r="J132" s="0" t="s">
        <v>205</v>
      </c>
      <c r="K132" s="0" t="n">
        <v>13.2341</v>
      </c>
      <c r="M132" s="0" t="s">
        <v>205</v>
      </c>
      <c r="N132" s="0" t="n">
        <v>13.4678</v>
      </c>
      <c r="P132" s="0" t="s">
        <v>205</v>
      </c>
      <c r="Q132" s="0" t="n">
        <v>13.1484</v>
      </c>
      <c r="S132" s="0" t="s">
        <v>205</v>
      </c>
      <c r="T132" s="0" t="n">
        <v>13.3145</v>
      </c>
    </row>
    <row r="133" customFormat="false" ht="13.8" hidden="false" customHeight="false" outlineLevel="0" collapsed="false">
      <c r="A133" s="0" t="s">
        <v>206</v>
      </c>
      <c r="B133" s="0" t="n">
        <v>13.2219</v>
      </c>
      <c r="D133" s="0" t="s">
        <v>206</v>
      </c>
      <c r="E133" s="0" t="n">
        <v>13.1056</v>
      </c>
      <c r="G133" s="0" t="s">
        <v>206</v>
      </c>
      <c r="H133" s="0" t="n">
        <v>13.2716</v>
      </c>
      <c r="J133" s="0" t="s">
        <v>206</v>
      </c>
      <c r="K133" s="0" t="n">
        <v>13.2302</v>
      </c>
      <c r="M133" s="0" t="s">
        <v>206</v>
      </c>
      <c r="N133" s="0" t="n">
        <v>13.4338</v>
      </c>
      <c r="P133" s="0" t="s">
        <v>206</v>
      </c>
      <c r="Q133" s="0" t="n">
        <v>13.128</v>
      </c>
      <c r="S133" s="0" t="s">
        <v>206</v>
      </c>
      <c r="T133" s="0" t="n">
        <v>13.258</v>
      </c>
    </row>
    <row r="134" customFormat="false" ht="13.8" hidden="false" customHeight="false" outlineLevel="0" collapsed="false">
      <c r="A134" s="0" t="s">
        <v>207</v>
      </c>
      <c r="B134" s="0" t="n">
        <v>13.2012</v>
      </c>
      <c r="D134" s="0" t="s">
        <v>207</v>
      </c>
      <c r="E134" s="0" t="n">
        <v>13.058</v>
      </c>
      <c r="G134" s="0" t="s">
        <v>207</v>
      </c>
      <c r="H134" s="0" t="n">
        <v>13.2406</v>
      </c>
      <c r="J134" s="0" t="s">
        <v>207</v>
      </c>
      <c r="K134" s="0" t="n">
        <v>13.1834</v>
      </c>
      <c r="M134" s="0" t="s">
        <v>207</v>
      </c>
      <c r="N134" s="0" t="n">
        <v>13.4261</v>
      </c>
      <c r="P134" s="0" t="s">
        <v>207</v>
      </c>
      <c r="Q134" s="0" t="n">
        <v>13.0929</v>
      </c>
      <c r="S134" s="0" t="s">
        <v>207</v>
      </c>
      <c r="T134" s="0" t="n">
        <v>13.2623</v>
      </c>
    </row>
    <row r="135" customFormat="false" ht="13.8" hidden="false" customHeight="false" outlineLevel="0" collapsed="false">
      <c r="A135" s="0" t="s">
        <v>208</v>
      </c>
      <c r="B135" s="0" t="n">
        <v>13.1523</v>
      </c>
      <c r="D135" s="0" t="s">
        <v>208</v>
      </c>
      <c r="E135" s="0" t="n">
        <v>13.0535</v>
      </c>
      <c r="G135" s="0" t="s">
        <v>208</v>
      </c>
      <c r="H135" s="0" t="n">
        <v>13.2379</v>
      </c>
      <c r="J135" s="0" t="s">
        <v>208</v>
      </c>
      <c r="K135" s="0" t="n">
        <v>13.1611</v>
      </c>
      <c r="M135" s="0" t="s">
        <v>208</v>
      </c>
      <c r="N135" s="0" t="n">
        <v>13.3829</v>
      </c>
      <c r="P135" s="0" t="s">
        <v>208</v>
      </c>
      <c r="Q135" s="0" t="n">
        <v>13.081</v>
      </c>
      <c r="S135" s="0" t="s">
        <v>208</v>
      </c>
      <c r="T135" s="0" t="n">
        <v>13.2307</v>
      </c>
    </row>
    <row r="136" customFormat="false" ht="13.8" hidden="false" customHeight="false" outlineLevel="0" collapsed="false">
      <c r="A136" s="0" t="s">
        <v>209</v>
      </c>
      <c r="B136" s="0" t="n">
        <v>13.1133</v>
      </c>
      <c r="D136" s="0" t="s">
        <v>209</v>
      </c>
      <c r="E136" s="0" t="n">
        <v>12.9897</v>
      </c>
      <c r="G136" s="0" t="s">
        <v>209</v>
      </c>
      <c r="H136" s="0" t="n">
        <v>13.2304</v>
      </c>
      <c r="J136" s="0" t="s">
        <v>209</v>
      </c>
      <c r="K136" s="0" t="n">
        <v>13.1667</v>
      </c>
      <c r="M136" s="0" t="s">
        <v>209</v>
      </c>
      <c r="N136" s="0" t="n">
        <v>13.3524</v>
      </c>
      <c r="P136" s="0" t="s">
        <v>209</v>
      </c>
      <c r="Q136" s="0" t="n">
        <v>13.0809</v>
      </c>
      <c r="S136" s="0" t="s">
        <v>209</v>
      </c>
      <c r="T136" s="0" t="n">
        <v>13.177</v>
      </c>
    </row>
    <row r="137" customFormat="false" ht="13.8" hidden="false" customHeight="false" outlineLevel="0" collapsed="false">
      <c r="A137" s="0" t="s">
        <v>210</v>
      </c>
      <c r="B137" s="0" t="n">
        <v>17.7891</v>
      </c>
      <c r="D137" s="0" t="s">
        <v>210</v>
      </c>
      <c r="E137" s="0" t="n">
        <v>17.6849</v>
      </c>
      <c r="G137" s="0" t="s">
        <v>210</v>
      </c>
      <c r="H137" s="0" t="n">
        <v>17.688</v>
      </c>
      <c r="J137" s="0" t="s">
        <v>210</v>
      </c>
      <c r="K137" s="0" t="n">
        <v>17.754</v>
      </c>
      <c r="M137" s="0" t="s">
        <v>210</v>
      </c>
      <c r="N137" s="0" t="n">
        <v>17.8087</v>
      </c>
      <c r="P137" s="0" t="s">
        <v>210</v>
      </c>
      <c r="Q137" s="0" t="n">
        <v>17.8261</v>
      </c>
      <c r="S137" s="0" t="s">
        <v>210</v>
      </c>
      <c r="T137" s="0" t="n">
        <v>17.8008</v>
      </c>
    </row>
    <row r="138" customFormat="false" ht="13.8" hidden="false" customHeight="false" outlineLevel="0" collapsed="false">
      <c r="A138" s="0" t="s">
        <v>211</v>
      </c>
      <c r="B138" s="0" t="n">
        <v>17.5422</v>
      </c>
      <c r="D138" s="0" t="s">
        <v>211</v>
      </c>
      <c r="E138" s="0" t="n">
        <v>17.7228</v>
      </c>
      <c r="G138" s="0" t="s">
        <v>211</v>
      </c>
      <c r="H138" s="0" t="n">
        <v>17.6641</v>
      </c>
      <c r="J138" s="0" t="s">
        <v>211</v>
      </c>
      <c r="K138" s="0" t="n">
        <v>17.7658</v>
      </c>
      <c r="M138" s="0" t="s">
        <v>211</v>
      </c>
      <c r="N138" s="0" t="n">
        <v>17.8078</v>
      </c>
      <c r="P138" s="0" t="s">
        <v>211</v>
      </c>
      <c r="Q138" s="0" t="n">
        <v>17.8232</v>
      </c>
      <c r="S138" s="0" t="s">
        <v>211</v>
      </c>
      <c r="T138" s="0" t="n">
        <v>17.8113</v>
      </c>
    </row>
    <row r="139" customFormat="false" ht="13.8" hidden="false" customHeight="false" outlineLevel="0" collapsed="false">
      <c r="A139" s="0" t="s">
        <v>212</v>
      </c>
      <c r="B139" s="0" t="n">
        <v>17.5189</v>
      </c>
      <c r="D139" s="0" t="s">
        <v>212</v>
      </c>
      <c r="E139" s="0" t="n">
        <v>17.7419</v>
      </c>
      <c r="G139" s="0" t="s">
        <v>212</v>
      </c>
      <c r="H139" s="0" t="n">
        <v>17.6704</v>
      </c>
      <c r="J139" s="0" t="s">
        <v>212</v>
      </c>
      <c r="K139" s="0" t="n">
        <v>17.7624</v>
      </c>
      <c r="M139" s="0" t="s">
        <v>212</v>
      </c>
      <c r="N139" s="0" t="n">
        <v>17.7941</v>
      </c>
      <c r="P139" s="0" t="s">
        <v>212</v>
      </c>
      <c r="Q139" s="0" t="n">
        <v>17.8083</v>
      </c>
      <c r="S139" s="0" t="s">
        <v>212</v>
      </c>
      <c r="T139" s="0" t="n">
        <v>17.8034</v>
      </c>
    </row>
    <row r="140" customFormat="false" ht="13.8" hidden="false" customHeight="false" outlineLevel="0" collapsed="false">
      <c r="A140" s="0" t="s">
        <v>213</v>
      </c>
      <c r="B140" s="0" t="n">
        <v>17.593</v>
      </c>
      <c r="D140" s="0" t="s">
        <v>213</v>
      </c>
      <c r="E140" s="0" t="n">
        <v>17.7839</v>
      </c>
      <c r="G140" s="0" t="s">
        <v>213</v>
      </c>
      <c r="H140" s="0" t="n">
        <v>17.6666</v>
      </c>
      <c r="J140" s="0" t="s">
        <v>213</v>
      </c>
      <c r="K140" s="0" t="n">
        <v>17.7416</v>
      </c>
      <c r="M140" s="0" t="s">
        <v>213</v>
      </c>
      <c r="N140" s="0" t="n">
        <v>17.7946</v>
      </c>
      <c r="P140" s="0" t="s">
        <v>213</v>
      </c>
      <c r="Q140" s="0" t="n">
        <v>17.8047</v>
      </c>
      <c r="S140" s="0" t="s">
        <v>213</v>
      </c>
      <c r="T140" s="0" t="n">
        <v>17.8142</v>
      </c>
    </row>
    <row r="141" customFormat="false" ht="13.8" hidden="false" customHeight="false" outlineLevel="0" collapsed="false">
      <c r="A141" s="0" t="s">
        <v>214</v>
      </c>
      <c r="B141" s="0" t="n">
        <v>17.6585</v>
      </c>
      <c r="D141" s="0" t="s">
        <v>214</v>
      </c>
      <c r="E141" s="0" t="n">
        <v>17.5861</v>
      </c>
      <c r="G141" s="0" t="s">
        <v>214</v>
      </c>
      <c r="H141" s="0" t="n">
        <v>17.6634</v>
      </c>
      <c r="J141" s="0" t="s">
        <v>214</v>
      </c>
      <c r="K141" s="0" t="n">
        <v>17.7495</v>
      </c>
      <c r="M141" s="0" t="s">
        <v>214</v>
      </c>
      <c r="N141" s="0" t="n">
        <v>17.7989</v>
      </c>
      <c r="P141" s="0" t="s">
        <v>214</v>
      </c>
      <c r="Q141" s="0" t="n">
        <v>17.784</v>
      </c>
      <c r="S141" s="0" t="s">
        <v>214</v>
      </c>
      <c r="T141" s="0" t="n">
        <v>17.7851</v>
      </c>
    </row>
    <row r="142" customFormat="false" ht="13.8" hidden="false" customHeight="false" outlineLevel="0" collapsed="false">
      <c r="A142" s="0" t="s">
        <v>215</v>
      </c>
      <c r="B142" s="0" t="n">
        <v>17.69</v>
      </c>
      <c r="D142" s="0" t="s">
        <v>215</v>
      </c>
      <c r="E142" s="0" t="n">
        <v>17.5746</v>
      </c>
      <c r="G142" s="0" t="s">
        <v>215</v>
      </c>
      <c r="H142" s="0" t="n">
        <v>17.6468</v>
      </c>
      <c r="J142" s="0" t="s">
        <v>215</v>
      </c>
      <c r="K142" s="0" t="n">
        <v>17.7417</v>
      </c>
      <c r="M142" s="0" t="s">
        <v>215</v>
      </c>
      <c r="N142" s="0" t="n">
        <v>17.7903</v>
      </c>
      <c r="P142" s="0" t="s">
        <v>215</v>
      </c>
      <c r="Q142" s="0" t="n">
        <v>17.7907</v>
      </c>
      <c r="S142" s="0" t="s">
        <v>215</v>
      </c>
      <c r="T142" s="0" t="n">
        <v>17.7852</v>
      </c>
    </row>
    <row r="143" customFormat="false" ht="13.8" hidden="false" customHeight="false" outlineLevel="0" collapsed="false">
      <c r="A143" s="0" t="s">
        <v>216</v>
      </c>
      <c r="B143" s="0" t="n">
        <v>17.7064</v>
      </c>
      <c r="D143" s="0" t="s">
        <v>216</v>
      </c>
      <c r="E143" s="0" t="n">
        <v>17.6058</v>
      </c>
      <c r="G143" s="0" t="s">
        <v>216</v>
      </c>
      <c r="H143" s="0" t="n">
        <v>17.6413</v>
      </c>
      <c r="J143" s="0" t="s">
        <v>216</v>
      </c>
      <c r="K143" s="0" t="n">
        <v>17.7286</v>
      </c>
      <c r="M143" s="0" t="s">
        <v>216</v>
      </c>
      <c r="N143" s="0" t="n">
        <v>17.7857</v>
      </c>
      <c r="P143" s="0" t="s">
        <v>216</v>
      </c>
      <c r="Q143" s="0" t="n">
        <v>17.7921</v>
      </c>
      <c r="S143" s="0" t="s">
        <v>216</v>
      </c>
      <c r="T143" s="0" t="n">
        <v>17.7802</v>
      </c>
    </row>
    <row r="144" customFormat="false" ht="13.8" hidden="false" customHeight="false" outlineLevel="0" collapsed="false">
      <c r="A144" s="0" t="s">
        <v>217</v>
      </c>
      <c r="B144" s="0" t="n">
        <v>17.7165</v>
      </c>
      <c r="D144" s="0" t="s">
        <v>217</v>
      </c>
      <c r="E144" s="0" t="n">
        <v>17.6462</v>
      </c>
      <c r="G144" s="0" t="s">
        <v>217</v>
      </c>
      <c r="H144" s="0" t="n">
        <v>17.6291</v>
      </c>
      <c r="J144" s="0" t="s">
        <v>217</v>
      </c>
      <c r="K144" s="0" t="n">
        <v>17.7384</v>
      </c>
      <c r="M144" s="0" t="s">
        <v>217</v>
      </c>
      <c r="N144" s="0" t="n">
        <v>17.7788</v>
      </c>
      <c r="P144" s="0" t="s">
        <v>217</v>
      </c>
      <c r="Q144" s="0" t="n">
        <v>17.7772</v>
      </c>
      <c r="S144" s="0" t="s">
        <v>217</v>
      </c>
      <c r="T144" s="0" t="n">
        <v>17.7776</v>
      </c>
    </row>
    <row r="145" customFormat="false" ht="13.8" hidden="false" customHeight="false" outlineLevel="0" collapsed="false">
      <c r="A145" s="0" t="s">
        <v>218</v>
      </c>
      <c r="B145" s="0" t="n">
        <v>17.7091</v>
      </c>
      <c r="D145" s="0" t="s">
        <v>218</v>
      </c>
      <c r="E145" s="0" t="n">
        <v>17.6404</v>
      </c>
      <c r="G145" s="0" t="s">
        <v>218</v>
      </c>
      <c r="H145" s="0" t="n">
        <v>17.6605</v>
      </c>
      <c r="J145" s="0" t="s">
        <v>218</v>
      </c>
      <c r="K145" s="0" t="n">
        <v>17.7297</v>
      </c>
      <c r="M145" s="0" t="s">
        <v>218</v>
      </c>
      <c r="N145" s="0" t="n">
        <v>17.7756</v>
      </c>
      <c r="P145" s="0" t="s">
        <v>218</v>
      </c>
      <c r="Q145" s="0" t="n">
        <v>17.7982</v>
      </c>
      <c r="S145" s="0" t="s">
        <v>218</v>
      </c>
      <c r="T145" s="0" t="n">
        <v>17.768</v>
      </c>
    </row>
    <row r="146" customFormat="false" ht="13.8" hidden="false" customHeight="false" outlineLevel="0" collapsed="false">
      <c r="A146" s="0" t="s">
        <v>219</v>
      </c>
      <c r="B146" s="0" t="n">
        <v>45.1613</v>
      </c>
      <c r="D146" s="0" t="s">
        <v>219</v>
      </c>
      <c r="E146" s="0" t="n">
        <v>44.5937</v>
      </c>
      <c r="G146" s="0" t="s">
        <v>219</v>
      </c>
      <c r="H146" s="0" t="n">
        <v>44.3885</v>
      </c>
      <c r="J146" s="0" t="s">
        <v>219</v>
      </c>
      <c r="K146" s="0" t="n">
        <v>44.705</v>
      </c>
      <c r="M146" s="0" t="s">
        <v>219</v>
      </c>
      <c r="N146" s="0" t="n">
        <v>44.1831</v>
      </c>
      <c r="P146" s="0" t="s">
        <v>219</v>
      </c>
      <c r="Q146" s="0" t="n">
        <v>45.1532</v>
      </c>
      <c r="S146" s="0" t="s">
        <v>219</v>
      </c>
      <c r="T146" s="0" t="n">
        <v>44.7049</v>
      </c>
    </row>
    <row r="147" customFormat="false" ht="13.8" hidden="false" customHeight="false" outlineLevel="0" collapsed="false">
      <c r="A147" s="0" t="s">
        <v>220</v>
      </c>
      <c r="B147" s="0" t="n">
        <v>44.5955</v>
      </c>
      <c r="D147" s="0" t="s">
        <v>220</v>
      </c>
      <c r="E147" s="0" t="n">
        <v>44.62</v>
      </c>
      <c r="G147" s="0" t="s">
        <v>220</v>
      </c>
      <c r="H147" s="0" t="n">
        <v>44.4185</v>
      </c>
      <c r="J147" s="0" t="s">
        <v>220</v>
      </c>
      <c r="K147" s="0" t="n">
        <v>44.7902</v>
      </c>
      <c r="M147" s="0" t="s">
        <v>220</v>
      </c>
      <c r="N147" s="0" t="n">
        <v>44.1624</v>
      </c>
      <c r="P147" s="0" t="s">
        <v>220</v>
      </c>
      <c r="Q147" s="0" t="n">
        <v>45.1484</v>
      </c>
      <c r="S147" s="0" t="s">
        <v>220</v>
      </c>
      <c r="T147" s="0" t="n">
        <v>44.7475</v>
      </c>
    </row>
    <row r="148" customFormat="false" ht="13.8" hidden="false" customHeight="false" outlineLevel="0" collapsed="false">
      <c r="A148" s="0" t="s">
        <v>221</v>
      </c>
      <c r="B148" s="0" t="n">
        <v>44.5913</v>
      </c>
      <c r="D148" s="0" t="s">
        <v>221</v>
      </c>
      <c r="E148" s="0" t="n">
        <v>44.7561</v>
      </c>
      <c r="G148" s="0" t="s">
        <v>221</v>
      </c>
      <c r="H148" s="0" t="n">
        <v>44.4928</v>
      </c>
      <c r="J148" s="0" t="s">
        <v>221</v>
      </c>
      <c r="K148" s="0" t="n">
        <v>44.6902</v>
      </c>
      <c r="M148" s="0" t="s">
        <v>221</v>
      </c>
      <c r="N148" s="0" t="n">
        <v>44.3171</v>
      </c>
      <c r="P148" s="0" t="s">
        <v>221</v>
      </c>
      <c r="Q148" s="0" t="n">
        <v>45.2642</v>
      </c>
      <c r="S148" s="0" t="s">
        <v>221</v>
      </c>
      <c r="T148" s="0" t="n">
        <v>44.7812</v>
      </c>
    </row>
    <row r="149" customFormat="false" ht="13.8" hidden="false" customHeight="false" outlineLevel="0" collapsed="false">
      <c r="A149" s="0" t="s">
        <v>222</v>
      </c>
      <c r="B149" s="0" t="n">
        <v>44.7146</v>
      </c>
      <c r="D149" s="0" t="s">
        <v>222</v>
      </c>
      <c r="E149" s="0" t="n">
        <v>44.872</v>
      </c>
      <c r="G149" s="0" t="s">
        <v>222</v>
      </c>
      <c r="H149" s="0" t="n">
        <v>44.4647</v>
      </c>
      <c r="J149" s="0" t="s">
        <v>222</v>
      </c>
      <c r="K149" s="0" t="n">
        <v>44.7634</v>
      </c>
      <c r="M149" s="0" t="s">
        <v>222</v>
      </c>
      <c r="N149" s="0" t="n">
        <v>44.3358</v>
      </c>
      <c r="P149" s="0" t="s">
        <v>222</v>
      </c>
      <c r="Q149" s="0" t="n">
        <v>45.1988</v>
      </c>
      <c r="S149" s="0" t="s">
        <v>222</v>
      </c>
      <c r="T149" s="0" t="n">
        <v>44.8063</v>
      </c>
    </row>
    <row r="150" customFormat="false" ht="13.8" hidden="false" customHeight="false" outlineLevel="0" collapsed="false">
      <c r="A150" s="0" t="s">
        <v>223</v>
      </c>
      <c r="B150" s="0" t="n">
        <v>44.9437</v>
      </c>
      <c r="D150" s="0" t="s">
        <v>223</v>
      </c>
      <c r="E150" s="0" t="n">
        <v>44.3062</v>
      </c>
      <c r="G150" s="0" t="s">
        <v>223</v>
      </c>
      <c r="H150" s="0" t="n">
        <v>44.5256</v>
      </c>
      <c r="J150" s="0" t="s">
        <v>223</v>
      </c>
      <c r="K150" s="0" t="n">
        <v>44.7685</v>
      </c>
      <c r="M150" s="0" t="s">
        <v>223</v>
      </c>
      <c r="N150" s="0" t="n">
        <v>44.3862</v>
      </c>
      <c r="P150" s="0" t="s">
        <v>223</v>
      </c>
      <c r="Q150" s="0" t="n">
        <v>45.3218</v>
      </c>
      <c r="S150" s="0" t="s">
        <v>223</v>
      </c>
      <c r="T150" s="0" t="n">
        <v>44.8177</v>
      </c>
    </row>
    <row r="151" customFormat="false" ht="13.8" hidden="false" customHeight="false" outlineLevel="0" collapsed="false">
      <c r="A151" s="0" t="s">
        <v>224</v>
      </c>
      <c r="B151" s="0" t="n">
        <v>45.0231</v>
      </c>
      <c r="D151" s="0" t="s">
        <v>224</v>
      </c>
      <c r="E151" s="0" t="n">
        <v>44.3979</v>
      </c>
      <c r="G151" s="0" t="s">
        <v>224</v>
      </c>
      <c r="H151" s="0" t="n">
        <v>44.5469</v>
      </c>
      <c r="J151" s="0" t="s">
        <v>224</v>
      </c>
      <c r="K151" s="0" t="n">
        <v>44.8259</v>
      </c>
      <c r="M151" s="0" t="s">
        <v>224</v>
      </c>
      <c r="N151" s="0" t="n">
        <v>44.3569</v>
      </c>
      <c r="P151" s="0" t="s">
        <v>224</v>
      </c>
      <c r="Q151" s="0" t="n">
        <v>45.2954</v>
      </c>
      <c r="S151" s="0" t="s">
        <v>224</v>
      </c>
      <c r="T151" s="0" t="n">
        <v>44.8499</v>
      </c>
    </row>
    <row r="152" customFormat="false" ht="13.8" hidden="false" customHeight="false" outlineLevel="0" collapsed="false">
      <c r="A152" s="0" t="s">
        <v>225</v>
      </c>
      <c r="B152" s="0" t="n">
        <v>45.161</v>
      </c>
      <c r="D152" s="0" t="s">
        <v>225</v>
      </c>
      <c r="E152" s="0" t="n">
        <v>44.4432</v>
      </c>
      <c r="G152" s="0" t="s">
        <v>225</v>
      </c>
      <c r="H152" s="0" t="n">
        <v>44.4912</v>
      </c>
      <c r="J152" s="0" t="s">
        <v>225</v>
      </c>
      <c r="K152" s="0" t="n">
        <v>44.9089</v>
      </c>
      <c r="M152" s="0" t="s">
        <v>225</v>
      </c>
      <c r="N152" s="0" t="n">
        <v>44.4026</v>
      </c>
      <c r="P152" s="0" t="s">
        <v>225</v>
      </c>
      <c r="Q152" s="0" t="n">
        <v>45.2683</v>
      </c>
      <c r="S152" s="0" t="s">
        <v>225</v>
      </c>
      <c r="T152" s="0" t="n">
        <v>44.8897</v>
      </c>
    </row>
    <row r="153" customFormat="false" ht="13.8" hidden="false" customHeight="false" outlineLevel="0" collapsed="false">
      <c r="A153" s="0" t="s">
        <v>226</v>
      </c>
      <c r="B153" s="0" t="n">
        <v>45.226</v>
      </c>
      <c r="D153" s="0" t="s">
        <v>226</v>
      </c>
      <c r="E153" s="0" t="n">
        <v>44.6436</v>
      </c>
      <c r="G153" s="0" t="s">
        <v>226</v>
      </c>
      <c r="H153" s="0" t="n">
        <v>44.5342</v>
      </c>
      <c r="J153" s="0" t="s">
        <v>226</v>
      </c>
      <c r="K153" s="0" t="n">
        <v>44.8981</v>
      </c>
      <c r="M153" s="0" t="s">
        <v>226</v>
      </c>
      <c r="N153" s="0" t="n">
        <v>44.3839</v>
      </c>
      <c r="P153" s="0" t="s">
        <v>226</v>
      </c>
      <c r="Q153" s="0" t="n">
        <v>45.3634</v>
      </c>
      <c r="S153" s="0" t="s">
        <v>226</v>
      </c>
      <c r="T153" s="0" t="n">
        <v>44.8783</v>
      </c>
    </row>
    <row r="154" customFormat="false" ht="13.8" hidden="false" customHeight="false" outlineLevel="0" collapsed="false">
      <c r="A154" s="0" t="s">
        <v>227</v>
      </c>
      <c r="B154" s="0" t="n">
        <v>45.276</v>
      </c>
      <c r="D154" s="0" t="s">
        <v>227</v>
      </c>
      <c r="E154" s="0" t="n">
        <v>44.6365</v>
      </c>
      <c r="G154" s="0" t="s">
        <v>227</v>
      </c>
      <c r="H154" s="0" t="n">
        <v>44.5475</v>
      </c>
      <c r="J154" s="0" t="s">
        <v>227</v>
      </c>
      <c r="K154" s="0" t="n">
        <v>44.8769</v>
      </c>
      <c r="M154" s="0" t="s">
        <v>227</v>
      </c>
      <c r="N154" s="0" t="n">
        <v>44.3462</v>
      </c>
      <c r="P154" s="0" t="s">
        <v>227</v>
      </c>
      <c r="Q154" s="0" t="n">
        <v>45.3534</v>
      </c>
      <c r="S154" s="0" t="s">
        <v>227</v>
      </c>
      <c r="T154" s="0" t="n">
        <v>44.9116</v>
      </c>
    </row>
    <row r="155" customFormat="false" ht="13.8" hidden="false" customHeight="false" outlineLevel="0" collapsed="false">
      <c r="A155" s="0" t="s">
        <v>228</v>
      </c>
      <c r="B155" s="0" t="n">
        <v>35.4993</v>
      </c>
      <c r="D155" s="0" t="s">
        <v>228</v>
      </c>
      <c r="E155" s="0" t="n">
        <v>34.9203</v>
      </c>
      <c r="G155" s="0" t="s">
        <v>228</v>
      </c>
      <c r="H155" s="0" t="n">
        <v>35.0145</v>
      </c>
      <c r="J155" s="0" t="s">
        <v>228</v>
      </c>
      <c r="K155" s="0" t="n">
        <v>34.8486</v>
      </c>
      <c r="M155" s="0" t="s">
        <v>228</v>
      </c>
      <c r="N155" s="0" t="n">
        <v>35.0597</v>
      </c>
      <c r="P155" s="0" t="s">
        <v>228</v>
      </c>
      <c r="Q155" s="0" t="n">
        <v>35.0309</v>
      </c>
      <c r="S155" s="0" t="s">
        <v>228</v>
      </c>
      <c r="T155" s="0" t="n">
        <v>34.9537</v>
      </c>
    </row>
    <row r="156" customFormat="false" ht="13.8" hidden="false" customHeight="false" outlineLevel="0" collapsed="false">
      <c r="A156" s="0" t="s">
        <v>229</v>
      </c>
      <c r="B156" s="0" t="n">
        <v>34.9555</v>
      </c>
      <c r="D156" s="0" t="s">
        <v>229</v>
      </c>
      <c r="E156" s="0" t="n">
        <v>35.133</v>
      </c>
      <c r="G156" s="0" t="s">
        <v>229</v>
      </c>
      <c r="H156" s="0" t="n">
        <v>35.0156</v>
      </c>
      <c r="J156" s="0" t="s">
        <v>229</v>
      </c>
      <c r="K156" s="0" t="n">
        <v>34.9273</v>
      </c>
      <c r="M156" s="0" t="s">
        <v>229</v>
      </c>
      <c r="N156" s="0" t="n">
        <v>35.0816</v>
      </c>
      <c r="P156" s="0" t="s">
        <v>229</v>
      </c>
      <c r="Q156" s="0" t="n">
        <v>35.0014</v>
      </c>
      <c r="S156" s="0" t="s">
        <v>229</v>
      </c>
      <c r="T156" s="0" t="n">
        <v>35.0203</v>
      </c>
    </row>
    <row r="157" customFormat="false" ht="13.8" hidden="false" customHeight="false" outlineLevel="0" collapsed="false">
      <c r="A157" s="0" t="s">
        <v>230</v>
      </c>
      <c r="B157" s="0" t="n">
        <v>34.7467</v>
      </c>
      <c r="D157" s="0" t="s">
        <v>230</v>
      </c>
      <c r="E157" s="0" t="n">
        <v>35.2471</v>
      </c>
      <c r="G157" s="0" t="s">
        <v>230</v>
      </c>
      <c r="H157" s="0" t="n">
        <v>35.047</v>
      </c>
      <c r="J157" s="0" t="s">
        <v>230</v>
      </c>
      <c r="K157" s="0" t="n">
        <v>34.9059</v>
      </c>
      <c r="M157" s="0" t="s">
        <v>230</v>
      </c>
      <c r="N157" s="0" t="n">
        <v>35.1353</v>
      </c>
      <c r="P157" s="0" t="s">
        <v>230</v>
      </c>
      <c r="Q157" s="0" t="n">
        <v>35.0602</v>
      </c>
      <c r="S157" s="0" t="s">
        <v>230</v>
      </c>
      <c r="T157" s="0" t="n">
        <v>35.0343</v>
      </c>
    </row>
    <row r="158" customFormat="false" ht="13.8" hidden="false" customHeight="false" outlineLevel="0" collapsed="false">
      <c r="A158" s="0" t="s">
        <v>231</v>
      </c>
      <c r="B158" s="0" t="n">
        <v>34.7404</v>
      </c>
      <c r="D158" s="0" t="s">
        <v>231</v>
      </c>
      <c r="E158" s="0" t="n">
        <v>35.208</v>
      </c>
      <c r="G158" s="0" t="s">
        <v>231</v>
      </c>
      <c r="H158" s="0" t="n">
        <v>35.0802</v>
      </c>
      <c r="J158" s="0" t="s">
        <v>231</v>
      </c>
      <c r="K158" s="0" t="n">
        <v>34.949</v>
      </c>
      <c r="M158" s="0" t="s">
        <v>231</v>
      </c>
      <c r="N158" s="0" t="n">
        <v>35.1915</v>
      </c>
      <c r="P158" s="0" t="s">
        <v>231</v>
      </c>
      <c r="Q158" s="0" t="n">
        <v>35.0618</v>
      </c>
      <c r="S158" s="0" t="s">
        <v>231</v>
      </c>
      <c r="T158" s="0" t="n">
        <v>35.1264</v>
      </c>
    </row>
    <row r="159" customFormat="false" ht="13.8" hidden="false" customHeight="false" outlineLevel="0" collapsed="false">
      <c r="A159" s="0" t="s">
        <v>232</v>
      </c>
      <c r="B159" s="0" t="n">
        <v>34.8755</v>
      </c>
      <c r="D159" s="0" t="s">
        <v>232</v>
      </c>
      <c r="E159" s="0" t="n">
        <v>34.7003</v>
      </c>
      <c r="G159" s="0" t="s">
        <v>232</v>
      </c>
      <c r="H159" s="0" t="n">
        <v>35.0763</v>
      </c>
      <c r="J159" s="0" t="s">
        <v>232</v>
      </c>
      <c r="K159" s="0" t="n">
        <v>34.9414</v>
      </c>
      <c r="M159" s="0" t="s">
        <v>232</v>
      </c>
      <c r="N159" s="0" t="n">
        <v>35.2511</v>
      </c>
      <c r="P159" s="0" t="s">
        <v>232</v>
      </c>
      <c r="Q159" s="0" t="n">
        <v>35.0955</v>
      </c>
      <c r="S159" s="0" t="s">
        <v>232</v>
      </c>
      <c r="T159" s="0" t="n">
        <v>35.0967</v>
      </c>
    </row>
    <row r="160" customFormat="false" ht="13.8" hidden="false" customHeight="false" outlineLevel="0" collapsed="false">
      <c r="A160" s="0" t="s">
        <v>233</v>
      </c>
      <c r="B160" s="0" t="n">
        <v>34.9967</v>
      </c>
      <c r="D160" s="0" t="s">
        <v>233</v>
      </c>
      <c r="E160" s="0" t="n">
        <v>34.8566</v>
      </c>
      <c r="G160" s="0" t="s">
        <v>233</v>
      </c>
      <c r="H160" s="0" t="n">
        <v>35.1313</v>
      </c>
      <c r="J160" s="0" t="s">
        <v>233</v>
      </c>
      <c r="K160" s="0" t="n">
        <v>34.9788</v>
      </c>
      <c r="M160" s="0" t="s">
        <v>233</v>
      </c>
      <c r="N160" s="0" t="n">
        <v>35.2431</v>
      </c>
      <c r="P160" s="0" t="s">
        <v>233</v>
      </c>
      <c r="Q160" s="0" t="n">
        <v>35.1409</v>
      </c>
      <c r="S160" s="0" t="s">
        <v>233</v>
      </c>
      <c r="T160" s="0" t="n">
        <v>35.1413</v>
      </c>
    </row>
    <row r="161" customFormat="false" ht="13.8" hidden="false" customHeight="false" outlineLevel="0" collapsed="false">
      <c r="A161" s="0" t="s">
        <v>234</v>
      </c>
      <c r="B161" s="0" t="n">
        <v>35.1087</v>
      </c>
      <c r="D161" s="0" t="s">
        <v>234</v>
      </c>
      <c r="E161" s="0" t="n">
        <v>34.9893</v>
      </c>
      <c r="G161" s="0" t="s">
        <v>234</v>
      </c>
      <c r="H161" s="0" t="n">
        <v>35.0978</v>
      </c>
      <c r="J161" s="0" t="s">
        <v>234</v>
      </c>
      <c r="K161" s="0" t="n">
        <v>35.0805</v>
      </c>
      <c r="M161" s="0" t="s">
        <v>234</v>
      </c>
      <c r="N161" s="0" t="n">
        <v>35.261</v>
      </c>
      <c r="P161" s="0" t="s">
        <v>234</v>
      </c>
      <c r="Q161" s="0" t="n">
        <v>35.1547</v>
      </c>
      <c r="S161" s="0" t="s">
        <v>234</v>
      </c>
      <c r="T161" s="0" t="n">
        <v>35.1121</v>
      </c>
    </row>
    <row r="162" customFormat="false" ht="13.8" hidden="false" customHeight="false" outlineLevel="0" collapsed="false">
      <c r="A162" s="0" t="s">
        <v>235</v>
      </c>
      <c r="B162" s="0" t="n">
        <v>35.2897</v>
      </c>
      <c r="D162" s="0" t="s">
        <v>235</v>
      </c>
      <c r="E162" s="0" t="n">
        <v>35.0922</v>
      </c>
      <c r="G162" s="0" t="s">
        <v>235</v>
      </c>
      <c r="H162" s="0" t="n">
        <v>35.1184</v>
      </c>
      <c r="J162" s="0" t="s">
        <v>235</v>
      </c>
      <c r="K162" s="0" t="n">
        <v>35.0775</v>
      </c>
      <c r="M162" s="0" t="s">
        <v>235</v>
      </c>
      <c r="N162" s="0" t="n">
        <v>35.3261</v>
      </c>
      <c r="P162" s="0" t="s">
        <v>235</v>
      </c>
      <c r="Q162" s="0" t="n">
        <v>35.1301</v>
      </c>
      <c r="S162" s="0" t="s">
        <v>235</v>
      </c>
      <c r="T162" s="0" t="n">
        <v>35.1677</v>
      </c>
    </row>
    <row r="163" customFormat="false" ht="13.8" hidden="false" customHeight="false" outlineLevel="0" collapsed="false">
      <c r="A163" s="0" t="s">
        <v>236</v>
      </c>
      <c r="B163" s="0" t="n">
        <v>35.4901</v>
      </c>
      <c r="D163" s="0" t="s">
        <v>236</v>
      </c>
      <c r="E163" s="0" t="n">
        <v>34.8755</v>
      </c>
      <c r="G163" s="0" t="s">
        <v>236</v>
      </c>
      <c r="H163" s="0" t="n">
        <v>35.1685</v>
      </c>
      <c r="J163" s="0" t="s">
        <v>236</v>
      </c>
      <c r="K163" s="0" t="n">
        <v>35.0371</v>
      </c>
      <c r="M163" s="0" t="s">
        <v>236</v>
      </c>
      <c r="N163" s="0" t="n">
        <v>35.2253</v>
      </c>
      <c r="P163" s="0" t="s">
        <v>236</v>
      </c>
      <c r="Q163" s="0" t="n">
        <v>35.2076</v>
      </c>
      <c r="S163" s="0" t="s">
        <v>236</v>
      </c>
      <c r="T163" s="0" t="n">
        <v>35.1805</v>
      </c>
    </row>
    <row r="164" customFormat="false" ht="13.8" hidden="false" customHeight="false" outlineLevel="0" collapsed="false">
      <c r="A164" s="0" t="s">
        <v>237</v>
      </c>
      <c r="B164" s="0" t="n">
        <v>17.17</v>
      </c>
      <c r="D164" s="0" t="s">
        <v>237</v>
      </c>
      <c r="E164" s="0" t="n">
        <v>17.0512</v>
      </c>
      <c r="G164" s="0" t="s">
        <v>237</v>
      </c>
      <c r="H164" s="0" t="n">
        <v>17.0791</v>
      </c>
      <c r="J164" s="0" t="s">
        <v>237</v>
      </c>
      <c r="K164" s="0" t="n">
        <v>17.188</v>
      </c>
      <c r="M164" s="0" t="s">
        <v>237</v>
      </c>
      <c r="N164" s="0" t="n">
        <v>17.2688</v>
      </c>
      <c r="P164" s="0" t="s">
        <v>237</v>
      </c>
      <c r="Q164" s="0" t="n">
        <v>17.1799</v>
      </c>
      <c r="S164" s="0" t="s">
        <v>237</v>
      </c>
      <c r="T164" s="0" t="n">
        <v>17.1822</v>
      </c>
    </row>
    <row r="165" customFormat="false" ht="13.8" hidden="false" customHeight="false" outlineLevel="0" collapsed="false">
      <c r="A165" s="0" t="s">
        <v>238</v>
      </c>
      <c r="B165" s="0" t="n">
        <v>16.956</v>
      </c>
      <c r="D165" s="0" t="s">
        <v>238</v>
      </c>
      <c r="E165" s="0" t="n">
        <v>17.066</v>
      </c>
      <c r="G165" s="0" t="s">
        <v>238</v>
      </c>
      <c r="H165" s="0" t="n">
        <v>17.0535</v>
      </c>
      <c r="J165" s="0" t="s">
        <v>238</v>
      </c>
      <c r="K165" s="0" t="n">
        <v>17.1954</v>
      </c>
      <c r="M165" s="0" t="s">
        <v>238</v>
      </c>
      <c r="N165" s="0" t="n">
        <v>17.2618</v>
      </c>
      <c r="P165" s="0" t="s">
        <v>238</v>
      </c>
      <c r="Q165" s="0" t="n">
        <v>17.1852</v>
      </c>
      <c r="S165" s="0" t="s">
        <v>238</v>
      </c>
      <c r="T165" s="0" t="n">
        <v>17.1851</v>
      </c>
    </row>
    <row r="166" customFormat="false" ht="13.8" hidden="false" customHeight="false" outlineLevel="0" collapsed="false">
      <c r="A166" s="0" t="s">
        <v>239</v>
      </c>
      <c r="B166" s="0" t="n">
        <v>16.9305</v>
      </c>
      <c r="D166" s="0" t="s">
        <v>239</v>
      </c>
      <c r="E166" s="0" t="n">
        <v>17.0758</v>
      </c>
      <c r="G166" s="0" t="s">
        <v>239</v>
      </c>
      <c r="H166" s="0" t="n">
        <v>17.0712</v>
      </c>
      <c r="J166" s="0" t="s">
        <v>239</v>
      </c>
      <c r="K166" s="0" t="n">
        <v>17.1889</v>
      </c>
      <c r="M166" s="0" t="s">
        <v>239</v>
      </c>
      <c r="N166" s="0" t="n">
        <v>17.2627</v>
      </c>
      <c r="P166" s="0" t="s">
        <v>239</v>
      </c>
      <c r="Q166" s="0" t="n">
        <v>17.1645</v>
      </c>
      <c r="S166" s="0" t="s">
        <v>239</v>
      </c>
      <c r="T166" s="0" t="n">
        <v>17.1781</v>
      </c>
    </row>
    <row r="167" customFormat="false" ht="13.8" hidden="false" customHeight="false" outlineLevel="0" collapsed="false">
      <c r="A167" s="0" t="s">
        <v>240</v>
      </c>
      <c r="B167" s="0" t="n">
        <v>17.0039</v>
      </c>
      <c r="D167" s="0" t="s">
        <v>240</v>
      </c>
      <c r="E167" s="0" t="n">
        <v>17.1204</v>
      </c>
      <c r="G167" s="0" t="s">
        <v>240</v>
      </c>
      <c r="H167" s="0" t="n">
        <v>17.0625</v>
      </c>
      <c r="J167" s="0" t="s">
        <v>240</v>
      </c>
      <c r="K167" s="0" t="n">
        <v>17.1659</v>
      </c>
      <c r="M167" s="0" t="s">
        <v>240</v>
      </c>
      <c r="N167" s="0" t="n">
        <v>17.2574</v>
      </c>
      <c r="P167" s="0" t="s">
        <v>240</v>
      </c>
      <c r="Q167" s="0" t="n">
        <v>17.1631</v>
      </c>
      <c r="S167" s="0" t="s">
        <v>240</v>
      </c>
      <c r="T167" s="0" t="n">
        <v>17.173</v>
      </c>
    </row>
    <row r="168" customFormat="false" ht="13.8" hidden="false" customHeight="false" outlineLevel="0" collapsed="false">
      <c r="A168" s="0" t="s">
        <v>241</v>
      </c>
      <c r="B168" s="0" t="n">
        <v>17.0649</v>
      </c>
      <c r="D168" s="0" t="s">
        <v>241</v>
      </c>
      <c r="E168" s="0" t="n">
        <v>16.9561</v>
      </c>
      <c r="G168" s="0" t="s">
        <v>241</v>
      </c>
      <c r="H168" s="0" t="n">
        <v>17.0744</v>
      </c>
      <c r="J168" s="0" t="s">
        <v>241</v>
      </c>
      <c r="K168" s="0" t="n">
        <v>17.1758</v>
      </c>
      <c r="M168" s="0" t="s">
        <v>241</v>
      </c>
      <c r="N168" s="0" t="n">
        <v>17.2554</v>
      </c>
      <c r="P168" s="0" t="s">
        <v>241</v>
      </c>
      <c r="Q168" s="0" t="n">
        <v>17.152</v>
      </c>
      <c r="S168" s="0" t="s">
        <v>241</v>
      </c>
      <c r="T168" s="0" t="n">
        <v>17.1595</v>
      </c>
    </row>
    <row r="169" customFormat="false" ht="13.8" hidden="false" customHeight="false" outlineLevel="0" collapsed="false">
      <c r="A169" s="0" t="s">
        <v>242</v>
      </c>
      <c r="B169" s="0" t="n">
        <v>17.0928</v>
      </c>
      <c r="D169" s="0" t="s">
        <v>242</v>
      </c>
      <c r="E169" s="0" t="n">
        <v>16.9529</v>
      </c>
      <c r="G169" s="0" t="s">
        <v>242</v>
      </c>
      <c r="H169" s="0" t="n">
        <v>17.0412</v>
      </c>
      <c r="J169" s="0" t="s">
        <v>242</v>
      </c>
      <c r="K169" s="0" t="n">
        <v>17.1783</v>
      </c>
      <c r="M169" s="0" t="s">
        <v>242</v>
      </c>
      <c r="N169" s="0" t="n">
        <v>17.2522</v>
      </c>
      <c r="P169" s="0" t="s">
        <v>242</v>
      </c>
      <c r="Q169" s="0" t="n">
        <v>17.1526</v>
      </c>
      <c r="S169" s="0" t="s">
        <v>242</v>
      </c>
      <c r="T169" s="0" t="n">
        <v>17.1558</v>
      </c>
    </row>
    <row r="170" customFormat="false" ht="13.8" hidden="false" customHeight="false" outlineLevel="0" collapsed="false">
      <c r="A170" s="0" t="s">
        <v>243</v>
      </c>
      <c r="B170" s="0" t="n">
        <v>17.1229</v>
      </c>
      <c r="D170" s="0" t="s">
        <v>243</v>
      </c>
      <c r="E170" s="0" t="n">
        <v>16.9743</v>
      </c>
      <c r="G170" s="0" t="s">
        <v>243</v>
      </c>
      <c r="H170" s="0" t="n">
        <v>17.0433</v>
      </c>
      <c r="J170" s="0" t="s">
        <v>243</v>
      </c>
      <c r="K170" s="0" t="n">
        <v>17.1514</v>
      </c>
      <c r="M170" s="0" t="s">
        <v>243</v>
      </c>
      <c r="N170" s="0" t="n">
        <v>17.2524</v>
      </c>
      <c r="P170" s="0" t="s">
        <v>243</v>
      </c>
      <c r="Q170" s="0" t="n">
        <v>17.1535</v>
      </c>
      <c r="S170" s="0" t="s">
        <v>243</v>
      </c>
      <c r="T170" s="0" t="n">
        <v>17.1685</v>
      </c>
    </row>
    <row r="171" customFormat="false" ht="13.8" hidden="false" customHeight="false" outlineLevel="0" collapsed="false">
      <c r="A171" s="0" t="s">
        <v>244</v>
      </c>
      <c r="B171" s="0" t="n">
        <v>17.1259</v>
      </c>
      <c r="D171" s="0" t="s">
        <v>244</v>
      </c>
      <c r="E171" s="0" t="n">
        <v>17.0147</v>
      </c>
      <c r="G171" s="0" t="s">
        <v>244</v>
      </c>
      <c r="H171" s="0" t="n">
        <v>17.0389</v>
      </c>
      <c r="J171" s="0" t="s">
        <v>244</v>
      </c>
      <c r="K171" s="0" t="n">
        <v>17.1689</v>
      </c>
      <c r="M171" s="0" t="s">
        <v>244</v>
      </c>
      <c r="N171" s="0" t="n">
        <v>17.2337</v>
      </c>
      <c r="P171" s="0" t="s">
        <v>244</v>
      </c>
      <c r="Q171" s="0" t="n">
        <v>17.1572</v>
      </c>
      <c r="S171" s="0" t="s">
        <v>244</v>
      </c>
      <c r="T171" s="0" t="n">
        <v>17.1511</v>
      </c>
    </row>
    <row r="172" customFormat="false" ht="13.8" hidden="false" customHeight="false" outlineLevel="0" collapsed="false">
      <c r="A172" s="0" t="s">
        <v>245</v>
      </c>
      <c r="B172" s="0" t="n">
        <v>17.1058</v>
      </c>
      <c r="D172" s="0" t="s">
        <v>245</v>
      </c>
      <c r="E172" s="0" t="n">
        <v>17.0196</v>
      </c>
      <c r="G172" s="0" t="s">
        <v>245</v>
      </c>
      <c r="H172" s="0" t="n">
        <v>17.0702</v>
      </c>
      <c r="J172" s="0" t="s">
        <v>245</v>
      </c>
      <c r="K172" s="0" t="n">
        <v>17.173</v>
      </c>
      <c r="M172" s="0" t="s">
        <v>245</v>
      </c>
      <c r="N172" s="0" t="n">
        <v>17.2489</v>
      </c>
      <c r="P172" s="0" t="s">
        <v>245</v>
      </c>
      <c r="Q172" s="0" t="n">
        <v>17.1725</v>
      </c>
      <c r="S172" s="0" t="s">
        <v>245</v>
      </c>
      <c r="T172" s="0" t="n">
        <v>17.1455</v>
      </c>
    </row>
    <row r="173" customFormat="false" ht="13.8" hidden="false" customHeight="false" outlineLevel="0" collapsed="false">
      <c r="A173" s="0" t="s">
        <v>246</v>
      </c>
      <c r="B173" s="0" t="n">
        <v>19.5606</v>
      </c>
      <c r="D173" s="0" t="s">
        <v>246</v>
      </c>
      <c r="E173" s="0" t="n">
        <v>19.3846</v>
      </c>
      <c r="G173" s="0" t="s">
        <v>246</v>
      </c>
      <c r="H173" s="0" t="n">
        <v>19.5973</v>
      </c>
      <c r="J173" s="0" t="s">
        <v>246</v>
      </c>
      <c r="K173" s="0" t="n">
        <v>19.3546</v>
      </c>
      <c r="M173" s="0" t="s">
        <v>246</v>
      </c>
      <c r="N173" s="0" t="n">
        <v>19.6922</v>
      </c>
      <c r="P173" s="0" t="s">
        <v>246</v>
      </c>
      <c r="Q173" s="0" t="n">
        <v>19.3675</v>
      </c>
      <c r="S173" s="0" t="s">
        <v>246</v>
      </c>
      <c r="T173" s="0" t="n">
        <v>19.4639</v>
      </c>
    </row>
    <row r="174" customFormat="false" ht="13.8" hidden="false" customHeight="false" outlineLevel="0" collapsed="false">
      <c r="A174" s="0" t="s">
        <v>247</v>
      </c>
      <c r="B174" s="0" t="n">
        <v>19.2069</v>
      </c>
      <c r="D174" s="0" t="s">
        <v>247</v>
      </c>
      <c r="E174" s="0" t="n">
        <v>19.3958</v>
      </c>
      <c r="G174" s="0" t="s">
        <v>247</v>
      </c>
      <c r="H174" s="0" t="n">
        <v>19.5678</v>
      </c>
      <c r="J174" s="0" t="s">
        <v>247</v>
      </c>
      <c r="K174" s="0" t="n">
        <v>19.3696</v>
      </c>
      <c r="M174" s="0" t="s">
        <v>247</v>
      </c>
      <c r="N174" s="0" t="n">
        <v>19.7004</v>
      </c>
      <c r="P174" s="0" t="s">
        <v>247</v>
      </c>
      <c r="Q174" s="0" t="n">
        <v>19.3513</v>
      </c>
      <c r="S174" s="0" t="s">
        <v>247</v>
      </c>
      <c r="T174" s="0" t="n">
        <v>19.475</v>
      </c>
    </row>
    <row r="175" customFormat="false" ht="13.8" hidden="false" customHeight="false" outlineLevel="0" collapsed="false">
      <c r="A175" s="0" t="s">
        <v>248</v>
      </c>
      <c r="B175" s="0" t="n">
        <v>19.2229</v>
      </c>
      <c r="D175" s="0" t="s">
        <v>248</v>
      </c>
      <c r="E175" s="0" t="n">
        <v>19.4668</v>
      </c>
      <c r="G175" s="0" t="s">
        <v>248</v>
      </c>
      <c r="H175" s="0" t="n">
        <v>19.587</v>
      </c>
      <c r="J175" s="0" t="s">
        <v>248</v>
      </c>
      <c r="K175" s="0" t="n">
        <v>19.3681</v>
      </c>
      <c r="M175" s="0" t="s">
        <v>248</v>
      </c>
      <c r="N175" s="0" t="n">
        <v>19.7105</v>
      </c>
      <c r="P175" s="0" t="s">
        <v>248</v>
      </c>
      <c r="Q175" s="0" t="n">
        <v>19.3641</v>
      </c>
      <c r="S175" s="0" t="s">
        <v>248</v>
      </c>
      <c r="T175" s="0" t="n">
        <v>19.4704</v>
      </c>
    </row>
    <row r="176" customFormat="false" ht="13.8" hidden="false" customHeight="false" outlineLevel="0" collapsed="false">
      <c r="A176" s="0" t="s">
        <v>249</v>
      </c>
      <c r="B176" s="0" t="n">
        <v>19.3118</v>
      </c>
      <c r="D176" s="0" t="s">
        <v>249</v>
      </c>
      <c r="E176" s="0" t="n">
        <v>19.5414</v>
      </c>
      <c r="G176" s="0" t="s">
        <v>249</v>
      </c>
      <c r="H176" s="0" t="n">
        <v>19.5735</v>
      </c>
      <c r="J176" s="0" t="s">
        <v>249</v>
      </c>
      <c r="K176" s="0" t="n">
        <v>19.3779</v>
      </c>
      <c r="M176" s="0" t="s">
        <v>249</v>
      </c>
      <c r="N176" s="0" t="n">
        <v>19.7186</v>
      </c>
      <c r="P176" s="0" t="s">
        <v>249</v>
      </c>
      <c r="Q176" s="0" t="n">
        <v>19.3505</v>
      </c>
      <c r="S176" s="0" t="s">
        <v>249</v>
      </c>
      <c r="T176" s="0" t="n">
        <v>19.4976</v>
      </c>
    </row>
    <row r="177" customFormat="false" ht="13.8" hidden="false" customHeight="false" outlineLevel="0" collapsed="false">
      <c r="A177" s="0" t="s">
        <v>250</v>
      </c>
      <c r="B177" s="0" t="n">
        <v>19.4195</v>
      </c>
      <c r="D177" s="0" t="s">
        <v>250</v>
      </c>
      <c r="E177" s="0" t="n">
        <v>19.2042</v>
      </c>
      <c r="G177" s="0" t="s">
        <v>250</v>
      </c>
      <c r="H177" s="0" t="n">
        <v>19.5854</v>
      </c>
      <c r="J177" s="0" t="s">
        <v>250</v>
      </c>
      <c r="K177" s="0" t="n">
        <v>19.3584</v>
      </c>
      <c r="M177" s="0" t="s">
        <v>250</v>
      </c>
      <c r="N177" s="0" t="n">
        <v>19.7202</v>
      </c>
      <c r="P177" s="0" t="s">
        <v>250</v>
      </c>
      <c r="Q177" s="0" t="n">
        <v>19.3503</v>
      </c>
      <c r="S177" s="0" t="s">
        <v>250</v>
      </c>
      <c r="T177" s="0" t="n">
        <v>19.4625</v>
      </c>
    </row>
    <row r="178" customFormat="false" ht="13.8" hidden="false" customHeight="false" outlineLevel="0" collapsed="false">
      <c r="A178" s="0" t="s">
        <v>251</v>
      </c>
      <c r="B178" s="0" t="n">
        <v>19.4797</v>
      </c>
      <c r="D178" s="0" t="s">
        <v>251</v>
      </c>
      <c r="E178" s="0" t="n">
        <v>19.2075</v>
      </c>
      <c r="G178" s="0" t="s">
        <v>251</v>
      </c>
      <c r="H178" s="0" t="n">
        <v>19.5784</v>
      </c>
      <c r="J178" s="0" t="s">
        <v>251</v>
      </c>
      <c r="K178" s="0" t="n">
        <v>19.3702</v>
      </c>
      <c r="M178" s="0" t="s">
        <v>251</v>
      </c>
      <c r="N178" s="0" t="n">
        <v>19.7114</v>
      </c>
      <c r="P178" s="0" t="s">
        <v>251</v>
      </c>
      <c r="Q178" s="0" t="n">
        <v>19.3474</v>
      </c>
      <c r="S178" s="0" t="s">
        <v>251</v>
      </c>
      <c r="T178" s="0" t="n">
        <v>19.4813</v>
      </c>
    </row>
    <row r="179" customFormat="false" ht="13.8" hidden="false" customHeight="false" outlineLevel="0" collapsed="false">
      <c r="A179" s="0" t="s">
        <v>252</v>
      </c>
      <c r="B179" s="0" t="n">
        <v>19.5225</v>
      </c>
      <c r="D179" s="0" t="s">
        <v>252</v>
      </c>
      <c r="E179" s="0" t="n">
        <v>19.2386</v>
      </c>
      <c r="G179" s="0" t="s">
        <v>252</v>
      </c>
      <c r="H179" s="0" t="n">
        <v>19.5565</v>
      </c>
      <c r="J179" s="0" t="s">
        <v>252</v>
      </c>
      <c r="K179" s="0" t="n">
        <v>19.3819</v>
      </c>
      <c r="M179" s="0" t="s">
        <v>252</v>
      </c>
      <c r="N179" s="0" t="n">
        <v>19.7341</v>
      </c>
      <c r="P179" s="0" t="s">
        <v>252</v>
      </c>
      <c r="Q179" s="0" t="n">
        <v>19.3585</v>
      </c>
      <c r="S179" s="0" t="s">
        <v>252</v>
      </c>
      <c r="T179" s="0" t="n">
        <v>19.4682</v>
      </c>
    </row>
    <row r="180" customFormat="false" ht="13.8" hidden="false" customHeight="false" outlineLevel="0" collapsed="false">
      <c r="A180" s="0" t="s">
        <v>253</v>
      </c>
      <c r="B180" s="0" t="n">
        <v>19.5326</v>
      </c>
      <c r="D180" s="0" t="s">
        <v>253</v>
      </c>
      <c r="E180" s="0" t="n">
        <v>19.3485</v>
      </c>
      <c r="G180" s="0" t="s">
        <v>253</v>
      </c>
      <c r="H180" s="0" t="n">
        <v>19.55</v>
      </c>
      <c r="J180" s="0" t="s">
        <v>253</v>
      </c>
      <c r="K180" s="0" t="n">
        <v>19.389</v>
      </c>
      <c r="M180" s="0" t="s">
        <v>253</v>
      </c>
      <c r="N180" s="0" t="n">
        <v>19.7291</v>
      </c>
      <c r="P180" s="0" t="s">
        <v>253</v>
      </c>
      <c r="Q180" s="0" t="n">
        <v>19.3709</v>
      </c>
      <c r="S180" s="0" t="s">
        <v>253</v>
      </c>
      <c r="T180" s="0" t="n">
        <v>19.4719</v>
      </c>
    </row>
    <row r="181" customFormat="false" ht="13.8" hidden="false" customHeight="false" outlineLevel="0" collapsed="false">
      <c r="A181" s="0" t="s">
        <v>254</v>
      </c>
      <c r="B181" s="0" t="n">
        <v>19.5393</v>
      </c>
      <c r="D181" s="0" t="s">
        <v>254</v>
      </c>
      <c r="E181" s="0" t="n">
        <v>19.346</v>
      </c>
      <c r="G181" s="0" t="s">
        <v>254</v>
      </c>
      <c r="H181" s="0" t="n">
        <v>19.5795</v>
      </c>
      <c r="J181" s="0" t="s">
        <v>254</v>
      </c>
      <c r="K181" s="0" t="n">
        <v>19.3546</v>
      </c>
      <c r="M181" s="0" t="s">
        <v>254</v>
      </c>
      <c r="N181" s="0" t="n">
        <v>19.7162</v>
      </c>
      <c r="P181" s="0" t="s">
        <v>254</v>
      </c>
      <c r="Q181" s="0" t="n">
        <v>19.3743</v>
      </c>
      <c r="S181" s="0" t="s">
        <v>254</v>
      </c>
      <c r="T181" s="0" t="n">
        <v>19.4806</v>
      </c>
    </row>
    <row r="182" customFormat="false" ht="13.8" hidden="false" customHeight="false" outlineLevel="0" collapsed="false">
      <c r="A182" s="0" t="s">
        <v>255</v>
      </c>
      <c r="B182" s="0" t="n">
        <v>21.8152</v>
      </c>
      <c r="D182" s="0" t="s">
        <v>255</v>
      </c>
      <c r="E182" s="0" t="n">
        <v>21.7417</v>
      </c>
      <c r="G182" s="0" t="s">
        <v>255</v>
      </c>
      <c r="H182" s="0" t="n">
        <v>21.6548</v>
      </c>
      <c r="J182" s="0" t="s">
        <v>255</v>
      </c>
      <c r="K182" s="0" t="n">
        <v>21.9012</v>
      </c>
      <c r="M182" s="0" t="s">
        <v>255</v>
      </c>
      <c r="N182" s="0" t="n">
        <v>21.8471</v>
      </c>
      <c r="P182" s="0" t="s">
        <v>255</v>
      </c>
      <c r="Q182" s="0" t="n">
        <v>21.9729</v>
      </c>
      <c r="S182" s="0" t="s">
        <v>255</v>
      </c>
      <c r="T182" s="0" t="n">
        <v>21.8384</v>
      </c>
    </row>
    <row r="183" customFormat="false" ht="13.8" hidden="false" customHeight="false" outlineLevel="0" collapsed="false">
      <c r="A183" s="0" t="s">
        <v>256</v>
      </c>
      <c r="B183" s="0" t="n">
        <v>21.5966</v>
      </c>
      <c r="D183" s="0" t="s">
        <v>256</v>
      </c>
      <c r="E183" s="0" t="n">
        <v>21.782</v>
      </c>
      <c r="G183" s="0" t="s">
        <v>256</v>
      </c>
      <c r="H183" s="0" t="n">
        <v>21.6408</v>
      </c>
      <c r="J183" s="0" t="s">
        <v>256</v>
      </c>
      <c r="K183" s="0" t="n">
        <v>21.9234</v>
      </c>
      <c r="M183" s="0" t="s">
        <v>256</v>
      </c>
      <c r="N183" s="0" t="n">
        <v>21.8248</v>
      </c>
      <c r="P183" s="0" t="s">
        <v>256</v>
      </c>
      <c r="Q183" s="0" t="n">
        <v>21.9796</v>
      </c>
      <c r="S183" s="0" t="s">
        <v>256</v>
      </c>
      <c r="T183" s="0" t="n">
        <v>21.8426</v>
      </c>
    </row>
    <row r="184" customFormat="false" ht="13.8" hidden="false" customHeight="false" outlineLevel="0" collapsed="false">
      <c r="A184" s="0" t="s">
        <v>257</v>
      </c>
      <c r="B184" s="0" t="n">
        <v>21.578</v>
      </c>
      <c r="D184" s="0" t="s">
        <v>257</v>
      </c>
      <c r="E184" s="0" t="n">
        <v>21.7688</v>
      </c>
      <c r="G184" s="0" t="s">
        <v>257</v>
      </c>
      <c r="H184" s="0" t="n">
        <v>21.6451</v>
      </c>
      <c r="J184" s="0" t="s">
        <v>257</v>
      </c>
      <c r="K184" s="0" t="n">
        <v>21.8951</v>
      </c>
      <c r="M184" s="0" t="s">
        <v>257</v>
      </c>
      <c r="N184" s="0" t="n">
        <v>21.8175</v>
      </c>
      <c r="P184" s="0" t="s">
        <v>257</v>
      </c>
      <c r="Q184" s="0" t="n">
        <v>21.9502</v>
      </c>
      <c r="S184" s="0" t="s">
        <v>257</v>
      </c>
      <c r="T184" s="0" t="n">
        <v>21.8421</v>
      </c>
    </row>
    <row r="185" customFormat="false" ht="13.8" hidden="false" customHeight="false" outlineLevel="0" collapsed="false">
      <c r="A185" s="0" t="s">
        <v>258</v>
      </c>
      <c r="B185" s="0" t="n">
        <v>21.6849</v>
      </c>
      <c r="D185" s="0" t="s">
        <v>258</v>
      </c>
      <c r="E185" s="0" t="n">
        <v>21.8242</v>
      </c>
      <c r="G185" s="0" t="s">
        <v>258</v>
      </c>
      <c r="H185" s="0" t="n">
        <v>21.6456</v>
      </c>
      <c r="J185" s="0" t="s">
        <v>258</v>
      </c>
      <c r="K185" s="0" t="n">
        <v>21.8615</v>
      </c>
      <c r="M185" s="0" t="s">
        <v>258</v>
      </c>
      <c r="N185" s="0" t="n">
        <v>21.8176</v>
      </c>
      <c r="P185" s="0" t="s">
        <v>258</v>
      </c>
      <c r="Q185" s="0" t="n">
        <v>21.9513</v>
      </c>
      <c r="S185" s="0" t="s">
        <v>258</v>
      </c>
      <c r="T185" s="0" t="n">
        <v>21.8325</v>
      </c>
    </row>
    <row r="186" customFormat="false" ht="13.8" hidden="false" customHeight="false" outlineLevel="0" collapsed="false">
      <c r="A186" s="0" t="s">
        <v>259</v>
      </c>
      <c r="B186" s="0" t="n">
        <v>21.7591</v>
      </c>
      <c r="D186" s="0" t="s">
        <v>259</v>
      </c>
      <c r="E186" s="0" t="n">
        <v>21.6762</v>
      </c>
      <c r="G186" s="0" t="s">
        <v>259</v>
      </c>
      <c r="H186" s="0" t="n">
        <v>21.6402</v>
      </c>
      <c r="J186" s="0" t="s">
        <v>259</v>
      </c>
      <c r="K186" s="0" t="n">
        <v>21.8915</v>
      </c>
      <c r="M186" s="0" t="s">
        <v>259</v>
      </c>
      <c r="N186" s="0" t="n">
        <v>21.8271</v>
      </c>
      <c r="P186" s="0" t="s">
        <v>259</v>
      </c>
      <c r="Q186" s="0" t="n">
        <v>21.9381</v>
      </c>
      <c r="S186" s="0" t="s">
        <v>259</v>
      </c>
      <c r="T186" s="0" t="n">
        <v>21.8231</v>
      </c>
    </row>
    <row r="187" customFormat="false" ht="13.8" hidden="false" customHeight="false" outlineLevel="0" collapsed="false">
      <c r="A187" s="0" t="s">
        <v>260</v>
      </c>
      <c r="B187" s="0" t="n">
        <v>21.779</v>
      </c>
      <c r="D187" s="0" t="s">
        <v>260</v>
      </c>
      <c r="E187" s="0" t="n">
        <v>21.6357</v>
      </c>
      <c r="G187" s="0" t="s">
        <v>260</v>
      </c>
      <c r="H187" s="0" t="n">
        <v>21.6136</v>
      </c>
      <c r="J187" s="0" t="s">
        <v>260</v>
      </c>
      <c r="K187" s="0" t="n">
        <v>21.8778</v>
      </c>
      <c r="M187" s="0" t="s">
        <v>260</v>
      </c>
      <c r="N187" s="0" t="n">
        <v>21.8148</v>
      </c>
      <c r="P187" s="0" t="s">
        <v>260</v>
      </c>
      <c r="Q187" s="0" t="n">
        <v>21.9508</v>
      </c>
      <c r="S187" s="0" t="s">
        <v>260</v>
      </c>
      <c r="T187" s="0" t="n">
        <v>21.8064</v>
      </c>
    </row>
    <row r="188" customFormat="false" ht="13.8" hidden="false" customHeight="false" outlineLevel="0" collapsed="false">
      <c r="A188" s="0" t="s">
        <v>261</v>
      </c>
      <c r="B188" s="0" t="n">
        <v>21.7816</v>
      </c>
      <c r="D188" s="0" t="s">
        <v>261</v>
      </c>
      <c r="E188" s="0" t="n">
        <v>21.6615</v>
      </c>
      <c r="G188" s="0" t="s">
        <v>261</v>
      </c>
      <c r="H188" s="0" t="n">
        <v>21.6099</v>
      </c>
      <c r="J188" s="0" t="s">
        <v>261</v>
      </c>
      <c r="K188" s="0" t="n">
        <v>21.85</v>
      </c>
      <c r="M188" s="0" t="s">
        <v>261</v>
      </c>
      <c r="N188" s="0" t="n">
        <v>21.7958</v>
      </c>
      <c r="P188" s="0" t="s">
        <v>261</v>
      </c>
      <c r="Q188" s="0" t="n">
        <v>21.9338</v>
      </c>
      <c r="S188" s="0" t="s">
        <v>261</v>
      </c>
      <c r="T188" s="0" t="n">
        <v>21.8138</v>
      </c>
    </row>
    <row r="189" customFormat="false" ht="13.8" hidden="false" customHeight="false" outlineLevel="0" collapsed="false">
      <c r="A189" s="0" t="s">
        <v>262</v>
      </c>
      <c r="B189" s="0" t="n">
        <v>21.7773</v>
      </c>
      <c r="D189" s="0" t="s">
        <v>262</v>
      </c>
      <c r="E189" s="0" t="n">
        <v>21.6898</v>
      </c>
      <c r="G189" s="0" t="s">
        <v>262</v>
      </c>
      <c r="H189" s="0" t="n">
        <v>21.6103</v>
      </c>
      <c r="J189" s="0" t="s">
        <v>262</v>
      </c>
      <c r="K189" s="0" t="n">
        <v>21.8632</v>
      </c>
      <c r="M189" s="0" t="s">
        <v>262</v>
      </c>
      <c r="N189" s="0" t="n">
        <v>21.778</v>
      </c>
      <c r="P189" s="0" t="s">
        <v>262</v>
      </c>
      <c r="Q189" s="0" t="n">
        <v>21.9103</v>
      </c>
      <c r="S189" s="0" t="s">
        <v>262</v>
      </c>
      <c r="T189" s="0" t="n">
        <v>21.79</v>
      </c>
    </row>
    <row r="190" customFormat="false" ht="13.8" hidden="false" customHeight="false" outlineLevel="0" collapsed="false">
      <c r="A190" s="0" t="s">
        <v>263</v>
      </c>
      <c r="B190" s="0" t="n">
        <v>21.7353</v>
      </c>
      <c r="D190" s="0" t="s">
        <v>263</v>
      </c>
      <c r="E190" s="0" t="n">
        <v>21.7243</v>
      </c>
      <c r="G190" s="0" t="s">
        <v>263</v>
      </c>
      <c r="H190" s="0" t="n">
        <v>21.6395</v>
      </c>
      <c r="J190" s="0" t="s">
        <v>263</v>
      </c>
      <c r="K190" s="0" t="n">
        <v>21.8796</v>
      </c>
      <c r="M190" s="0" t="s">
        <v>263</v>
      </c>
      <c r="N190" s="0" t="n">
        <v>21.7757</v>
      </c>
      <c r="P190" s="0" t="s">
        <v>263</v>
      </c>
      <c r="Q190" s="0" t="n">
        <v>21.9395</v>
      </c>
      <c r="S190" s="0" t="s">
        <v>263</v>
      </c>
      <c r="T190" s="0" t="n">
        <v>21.78</v>
      </c>
    </row>
    <row r="191" customFormat="false" ht="13.8" hidden="false" customHeight="false" outlineLevel="0" collapsed="false">
      <c r="A191" s="0" t="s">
        <v>264</v>
      </c>
      <c r="B191" s="0" t="n">
        <v>22.0177</v>
      </c>
      <c r="D191" s="0" t="s">
        <v>264</v>
      </c>
      <c r="E191" s="0" t="n">
        <v>21.8982</v>
      </c>
      <c r="G191" s="0" t="s">
        <v>264</v>
      </c>
      <c r="H191" s="0" t="n">
        <v>22.0441</v>
      </c>
      <c r="J191" s="0" t="s">
        <v>264</v>
      </c>
      <c r="K191" s="0" t="n">
        <v>22.0263</v>
      </c>
      <c r="M191" s="0" t="s">
        <v>264</v>
      </c>
      <c r="N191" s="0" t="n">
        <v>22.166</v>
      </c>
      <c r="P191" s="0" t="s">
        <v>264</v>
      </c>
      <c r="Q191" s="0" t="n">
        <v>22.0339</v>
      </c>
      <c r="S191" s="0" t="s">
        <v>264</v>
      </c>
      <c r="T191" s="0" t="n">
        <v>22.0725</v>
      </c>
    </row>
    <row r="192" customFormat="false" ht="13.8" hidden="false" customHeight="false" outlineLevel="0" collapsed="false">
      <c r="A192" s="0" t="s">
        <v>265</v>
      </c>
      <c r="B192" s="0" t="n">
        <v>21.7888</v>
      </c>
      <c r="D192" s="0" t="s">
        <v>265</v>
      </c>
      <c r="E192" s="0" t="n">
        <v>21.922</v>
      </c>
      <c r="G192" s="0" t="s">
        <v>265</v>
      </c>
      <c r="H192" s="0" t="n">
        <v>22.0137</v>
      </c>
      <c r="J192" s="0" t="s">
        <v>265</v>
      </c>
      <c r="K192" s="0" t="n">
        <v>22.0492</v>
      </c>
      <c r="M192" s="0" t="s">
        <v>265</v>
      </c>
      <c r="N192" s="0" t="n">
        <v>22.1584</v>
      </c>
      <c r="P192" s="0" t="s">
        <v>265</v>
      </c>
      <c r="Q192" s="0" t="n">
        <v>22.0188</v>
      </c>
      <c r="S192" s="0" t="s">
        <v>265</v>
      </c>
      <c r="T192" s="0" t="n">
        <v>22.0756</v>
      </c>
    </row>
    <row r="193" customFormat="false" ht="13.8" hidden="false" customHeight="false" outlineLevel="0" collapsed="false">
      <c r="A193" s="0" t="s">
        <v>266</v>
      </c>
      <c r="B193" s="0" t="n">
        <v>21.7788</v>
      </c>
      <c r="D193" s="0" t="s">
        <v>266</v>
      </c>
      <c r="E193" s="0" t="n">
        <v>21.9449</v>
      </c>
      <c r="G193" s="0" t="s">
        <v>266</v>
      </c>
      <c r="H193" s="0" t="n">
        <v>22.025</v>
      </c>
      <c r="J193" s="0" t="s">
        <v>266</v>
      </c>
      <c r="K193" s="0" t="n">
        <v>22.0259</v>
      </c>
      <c r="M193" s="0" t="s">
        <v>266</v>
      </c>
      <c r="N193" s="0" t="n">
        <v>22.1581</v>
      </c>
      <c r="P193" s="0" t="s">
        <v>266</v>
      </c>
      <c r="Q193" s="0" t="n">
        <v>22.0109</v>
      </c>
      <c r="S193" s="0" t="s">
        <v>266</v>
      </c>
      <c r="T193" s="0" t="n">
        <v>22.07</v>
      </c>
    </row>
    <row r="194" customFormat="false" ht="13.8" hidden="false" customHeight="false" outlineLevel="0" collapsed="false">
      <c r="A194" s="0" t="s">
        <v>267</v>
      </c>
      <c r="B194" s="0" t="n">
        <v>21.8708</v>
      </c>
      <c r="D194" s="0" t="s">
        <v>267</v>
      </c>
      <c r="E194" s="0" t="n">
        <v>22.0048</v>
      </c>
      <c r="G194" s="0" t="s">
        <v>267</v>
      </c>
      <c r="H194" s="0" t="n">
        <v>22.0125</v>
      </c>
      <c r="J194" s="0" t="s">
        <v>267</v>
      </c>
      <c r="K194" s="0" t="n">
        <v>22.0051</v>
      </c>
      <c r="M194" s="0" t="s">
        <v>267</v>
      </c>
      <c r="N194" s="0" t="n">
        <v>22.157</v>
      </c>
      <c r="P194" s="0" t="s">
        <v>267</v>
      </c>
      <c r="Q194" s="0" t="n">
        <v>21.9905</v>
      </c>
      <c r="S194" s="0" t="s">
        <v>267</v>
      </c>
      <c r="T194" s="0" t="n">
        <v>22.0722</v>
      </c>
    </row>
    <row r="195" customFormat="false" ht="13.8" hidden="false" customHeight="false" outlineLevel="0" collapsed="false">
      <c r="A195" s="0" t="s">
        <v>268</v>
      </c>
      <c r="B195" s="0" t="n">
        <v>21.9546</v>
      </c>
      <c r="D195" s="0" t="s">
        <v>268</v>
      </c>
      <c r="E195" s="0" t="n">
        <v>21.8172</v>
      </c>
      <c r="G195" s="0" t="s">
        <v>268</v>
      </c>
      <c r="H195" s="0" t="n">
        <v>22.0167</v>
      </c>
      <c r="J195" s="0" t="s">
        <v>268</v>
      </c>
      <c r="K195" s="0" t="n">
        <v>22.0054</v>
      </c>
      <c r="M195" s="0" t="s">
        <v>268</v>
      </c>
      <c r="N195" s="0" t="n">
        <v>22.1578</v>
      </c>
      <c r="P195" s="0" t="s">
        <v>268</v>
      </c>
      <c r="Q195" s="0" t="n">
        <v>22.0022</v>
      </c>
      <c r="S195" s="0" t="s">
        <v>268</v>
      </c>
      <c r="T195" s="0" t="n">
        <v>22.0516</v>
      </c>
    </row>
    <row r="196" customFormat="false" ht="13.8" hidden="false" customHeight="false" outlineLevel="0" collapsed="false">
      <c r="A196" s="0" t="s">
        <v>269</v>
      </c>
      <c r="B196" s="0" t="n">
        <v>22.0009</v>
      </c>
      <c r="D196" s="0" t="s">
        <v>269</v>
      </c>
      <c r="E196" s="0" t="n">
        <v>21.7812</v>
      </c>
      <c r="G196" s="0" t="s">
        <v>269</v>
      </c>
      <c r="H196" s="0" t="n">
        <v>21.9984</v>
      </c>
      <c r="J196" s="0" t="s">
        <v>269</v>
      </c>
      <c r="K196" s="0" t="n">
        <v>22.0075</v>
      </c>
      <c r="M196" s="0" t="s">
        <v>269</v>
      </c>
      <c r="N196" s="0" t="n">
        <v>22.1507</v>
      </c>
      <c r="P196" s="0" t="s">
        <v>269</v>
      </c>
      <c r="Q196" s="0" t="n">
        <v>21.9959</v>
      </c>
      <c r="S196" s="0" t="s">
        <v>269</v>
      </c>
      <c r="T196" s="0" t="n">
        <v>22.0421</v>
      </c>
    </row>
    <row r="197" customFormat="false" ht="13.8" hidden="false" customHeight="false" outlineLevel="0" collapsed="false">
      <c r="A197" s="0" t="s">
        <v>270</v>
      </c>
      <c r="B197" s="0" t="n">
        <v>22.013</v>
      </c>
      <c r="D197" s="0" t="s">
        <v>270</v>
      </c>
      <c r="E197" s="0" t="n">
        <v>21.8048</v>
      </c>
      <c r="G197" s="0" t="s">
        <v>270</v>
      </c>
      <c r="H197" s="0" t="n">
        <v>21.9815</v>
      </c>
      <c r="J197" s="0" t="s">
        <v>270</v>
      </c>
      <c r="K197" s="0" t="n">
        <v>22.0164</v>
      </c>
      <c r="M197" s="0" t="s">
        <v>270</v>
      </c>
      <c r="N197" s="0" t="n">
        <v>22.15</v>
      </c>
      <c r="P197" s="0" t="s">
        <v>270</v>
      </c>
      <c r="Q197" s="0" t="n">
        <v>21.9876</v>
      </c>
      <c r="S197" s="0" t="s">
        <v>270</v>
      </c>
      <c r="T197" s="0" t="n">
        <v>22.0519</v>
      </c>
    </row>
    <row r="198" customFormat="false" ht="13.8" hidden="false" customHeight="false" outlineLevel="0" collapsed="false">
      <c r="A198" s="0" t="s">
        <v>271</v>
      </c>
      <c r="B198" s="0" t="n">
        <v>21.9987</v>
      </c>
      <c r="D198" s="0" t="s">
        <v>271</v>
      </c>
      <c r="E198" s="0" t="n">
        <v>21.8819</v>
      </c>
      <c r="G198" s="0" t="s">
        <v>271</v>
      </c>
      <c r="H198" s="0" t="n">
        <v>21.9721</v>
      </c>
      <c r="J198" s="0" t="s">
        <v>271</v>
      </c>
      <c r="K198" s="0" t="n">
        <v>22.0162</v>
      </c>
      <c r="M198" s="0" t="s">
        <v>271</v>
      </c>
      <c r="N198" s="0" t="n">
        <v>22.1369</v>
      </c>
      <c r="P198" s="0" t="s">
        <v>271</v>
      </c>
      <c r="Q198" s="0" t="n">
        <v>21.9837</v>
      </c>
      <c r="S198" s="0" t="s">
        <v>271</v>
      </c>
      <c r="T198" s="0" t="n">
        <v>22.0459</v>
      </c>
    </row>
    <row r="199" customFormat="false" ht="13.8" hidden="false" customHeight="false" outlineLevel="0" collapsed="false">
      <c r="A199" s="0" t="s">
        <v>272</v>
      </c>
      <c r="B199" s="0" t="n">
        <v>21.9792</v>
      </c>
      <c r="D199" s="0" t="s">
        <v>272</v>
      </c>
      <c r="E199" s="0" t="n">
        <v>21.879</v>
      </c>
      <c r="G199" s="0" t="s">
        <v>272</v>
      </c>
      <c r="H199" s="0" t="n">
        <v>22.0067</v>
      </c>
      <c r="J199" s="0" t="s">
        <v>272</v>
      </c>
      <c r="K199" s="0" t="n">
        <v>22.0121</v>
      </c>
      <c r="M199" s="0" t="s">
        <v>272</v>
      </c>
      <c r="N199" s="0" t="n">
        <v>22.1353</v>
      </c>
      <c r="P199" s="0" t="s">
        <v>272</v>
      </c>
      <c r="Q199" s="0" t="n">
        <v>22.0113</v>
      </c>
      <c r="S199" s="0" t="s">
        <v>272</v>
      </c>
      <c r="T199" s="0" t="n">
        <v>22.0292</v>
      </c>
    </row>
    <row r="200" customFormat="false" ht="13.8" hidden="false" customHeight="false" outlineLevel="0" collapsed="false">
      <c r="A200" s="0" t="s">
        <v>273</v>
      </c>
      <c r="B200" s="0" t="n">
        <v>16.1042</v>
      </c>
      <c r="D200" s="0" t="s">
        <v>273</v>
      </c>
      <c r="E200" s="0" t="n">
        <v>16.0203</v>
      </c>
      <c r="G200" s="0" t="s">
        <v>273</v>
      </c>
      <c r="H200" s="0" t="n">
        <v>15.7972</v>
      </c>
      <c r="J200" s="0" t="s">
        <v>273</v>
      </c>
      <c r="K200" s="0" t="n">
        <v>15.7944</v>
      </c>
      <c r="M200" s="0" t="s">
        <v>273</v>
      </c>
      <c r="N200" s="0" t="n">
        <v>15.8068</v>
      </c>
      <c r="P200" s="0" t="s">
        <v>273</v>
      </c>
      <c r="Q200" s="0" t="n">
        <v>16.0291</v>
      </c>
      <c r="S200" s="0" t="s">
        <v>273</v>
      </c>
      <c r="T200" s="0" t="n">
        <v>15.7867</v>
      </c>
    </row>
    <row r="201" customFormat="false" ht="13.8" hidden="false" customHeight="false" outlineLevel="0" collapsed="false">
      <c r="A201" s="0" t="s">
        <v>274</v>
      </c>
      <c r="B201" s="0" t="n">
        <v>15.6431</v>
      </c>
      <c r="D201" s="0" t="s">
        <v>274</v>
      </c>
      <c r="E201" s="0" t="n">
        <v>16.0312</v>
      </c>
      <c r="G201" s="0" t="s">
        <v>274</v>
      </c>
      <c r="H201" s="0" t="n">
        <v>15.7954</v>
      </c>
      <c r="J201" s="0" t="s">
        <v>274</v>
      </c>
      <c r="K201" s="0" t="n">
        <v>15.7949</v>
      </c>
      <c r="M201" s="0" t="s">
        <v>274</v>
      </c>
      <c r="N201" s="0" t="n">
        <v>15.8052</v>
      </c>
      <c r="P201" s="0" t="s">
        <v>274</v>
      </c>
      <c r="Q201" s="0" t="n">
        <v>16.0561</v>
      </c>
      <c r="S201" s="0" t="s">
        <v>274</v>
      </c>
      <c r="T201" s="0" t="n">
        <v>15.8046</v>
      </c>
    </row>
    <row r="202" customFormat="false" ht="13.8" hidden="false" customHeight="false" outlineLevel="0" collapsed="false">
      <c r="A202" s="0" t="s">
        <v>275</v>
      </c>
      <c r="B202" s="0" t="n">
        <v>15.6963</v>
      </c>
      <c r="D202" s="0" t="s">
        <v>275</v>
      </c>
      <c r="E202" s="0" t="n">
        <v>16.0874</v>
      </c>
      <c r="G202" s="0" t="s">
        <v>275</v>
      </c>
      <c r="H202" s="0" t="n">
        <v>15.8098</v>
      </c>
      <c r="J202" s="0" t="s">
        <v>275</v>
      </c>
      <c r="K202" s="0" t="n">
        <v>15.815</v>
      </c>
      <c r="M202" s="0" t="s">
        <v>275</v>
      </c>
      <c r="N202" s="0" t="n">
        <v>15.8129</v>
      </c>
      <c r="P202" s="0" t="s">
        <v>275</v>
      </c>
      <c r="Q202" s="0" t="n">
        <v>16.0517</v>
      </c>
      <c r="S202" s="0" t="s">
        <v>275</v>
      </c>
      <c r="T202" s="0" t="n">
        <v>15.8059</v>
      </c>
    </row>
    <row r="203" customFormat="false" ht="13.8" hidden="false" customHeight="false" outlineLevel="0" collapsed="false">
      <c r="A203" s="0" t="s">
        <v>276</v>
      </c>
      <c r="B203" s="0" t="n">
        <v>15.8183</v>
      </c>
      <c r="D203" s="0" t="s">
        <v>276</v>
      </c>
      <c r="E203" s="0" t="n">
        <v>16.1854</v>
      </c>
      <c r="G203" s="0" t="s">
        <v>276</v>
      </c>
      <c r="H203" s="0" t="n">
        <v>15.822</v>
      </c>
      <c r="J203" s="0" t="s">
        <v>276</v>
      </c>
      <c r="K203" s="0" t="n">
        <v>15.8291</v>
      </c>
      <c r="M203" s="0" t="s">
        <v>276</v>
      </c>
      <c r="N203" s="0" t="n">
        <v>15.827</v>
      </c>
      <c r="P203" s="0" t="s">
        <v>276</v>
      </c>
      <c r="Q203" s="0" t="n">
        <v>16.0863</v>
      </c>
      <c r="S203" s="0" t="s">
        <v>276</v>
      </c>
      <c r="T203" s="0" t="n">
        <v>15.839</v>
      </c>
    </row>
    <row r="204" customFormat="false" ht="13.8" hidden="false" customHeight="false" outlineLevel="0" collapsed="false">
      <c r="A204" s="0" t="s">
        <v>277</v>
      </c>
      <c r="B204" s="0" t="n">
        <v>15.9412</v>
      </c>
      <c r="D204" s="0" t="s">
        <v>277</v>
      </c>
      <c r="E204" s="0" t="n">
        <v>15.7642</v>
      </c>
      <c r="G204" s="0" t="s">
        <v>277</v>
      </c>
      <c r="H204" s="0" t="n">
        <v>15.8272</v>
      </c>
      <c r="J204" s="0" t="s">
        <v>277</v>
      </c>
      <c r="K204" s="0" t="n">
        <v>15.8402</v>
      </c>
      <c r="M204" s="0" t="s">
        <v>277</v>
      </c>
      <c r="N204" s="0" t="n">
        <v>15.8532</v>
      </c>
      <c r="P204" s="0" t="s">
        <v>277</v>
      </c>
      <c r="Q204" s="0" t="n">
        <v>16.0229</v>
      </c>
      <c r="S204" s="0" t="s">
        <v>277</v>
      </c>
      <c r="T204" s="0" t="n">
        <v>15.815</v>
      </c>
    </row>
    <row r="205" customFormat="false" ht="13.8" hidden="false" customHeight="false" outlineLevel="0" collapsed="false">
      <c r="A205" s="0" t="s">
        <v>278</v>
      </c>
      <c r="B205" s="0" t="n">
        <v>15.9539</v>
      </c>
      <c r="D205" s="0" t="s">
        <v>278</v>
      </c>
      <c r="E205" s="0" t="n">
        <v>15.7892</v>
      </c>
      <c r="G205" s="0" t="s">
        <v>278</v>
      </c>
      <c r="H205" s="0" t="n">
        <v>15.8155</v>
      </c>
      <c r="J205" s="0" t="s">
        <v>278</v>
      </c>
      <c r="K205" s="0" t="n">
        <v>15.8358</v>
      </c>
      <c r="M205" s="0" t="s">
        <v>278</v>
      </c>
      <c r="N205" s="0" t="n">
        <v>15.8299</v>
      </c>
      <c r="P205" s="0" t="s">
        <v>278</v>
      </c>
      <c r="Q205" s="0" t="n">
        <v>16.0563</v>
      </c>
      <c r="S205" s="0" t="s">
        <v>278</v>
      </c>
      <c r="T205" s="0" t="n">
        <v>15.8532</v>
      </c>
    </row>
    <row r="206" customFormat="false" ht="13.8" hidden="false" customHeight="false" outlineLevel="0" collapsed="false">
      <c r="A206" s="0" t="s">
        <v>279</v>
      </c>
      <c r="B206" s="0" t="n">
        <v>16.0008</v>
      </c>
      <c r="D206" s="0" t="s">
        <v>279</v>
      </c>
      <c r="E206" s="0" t="n">
        <v>15.8247</v>
      </c>
      <c r="G206" s="0" t="s">
        <v>279</v>
      </c>
      <c r="H206" s="0" t="n">
        <v>15.8137</v>
      </c>
      <c r="J206" s="0" t="s">
        <v>279</v>
      </c>
      <c r="K206" s="0" t="n">
        <v>15.7829</v>
      </c>
      <c r="M206" s="0" t="s">
        <v>279</v>
      </c>
      <c r="N206" s="0" t="n">
        <v>15.8494</v>
      </c>
      <c r="P206" s="0" t="s">
        <v>279</v>
      </c>
      <c r="Q206" s="0" t="n">
        <v>16.0749</v>
      </c>
      <c r="S206" s="0" t="s">
        <v>279</v>
      </c>
      <c r="T206" s="0" t="n">
        <v>15.7992</v>
      </c>
    </row>
    <row r="207" customFormat="false" ht="13.8" hidden="false" customHeight="false" outlineLevel="0" collapsed="false">
      <c r="A207" s="0" t="s">
        <v>280</v>
      </c>
      <c r="B207" s="0" t="n">
        <v>16.0487</v>
      </c>
      <c r="D207" s="0" t="s">
        <v>280</v>
      </c>
      <c r="E207" s="0" t="n">
        <v>15.8809</v>
      </c>
      <c r="G207" s="0" t="s">
        <v>280</v>
      </c>
      <c r="H207" s="0" t="n">
        <v>15.8237</v>
      </c>
      <c r="J207" s="0" t="s">
        <v>280</v>
      </c>
      <c r="K207" s="0" t="n">
        <v>15.8206</v>
      </c>
      <c r="M207" s="0" t="s">
        <v>280</v>
      </c>
      <c r="N207" s="0" t="n">
        <v>15.84</v>
      </c>
      <c r="P207" s="0" t="s">
        <v>280</v>
      </c>
      <c r="Q207" s="0" t="n">
        <v>16.0644</v>
      </c>
      <c r="S207" s="0" t="s">
        <v>280</v>
      </c>
      <c r="T207" s="0" t="n">
        <v>15.7785</v>
      </c>
    </row>
    <row r="208" customFormat="false" ht="13.8" hidden="false" customHeight="false" outlineLevel="0" collapsed="false">
      <c r="A208" s="0" t="s">
        <v>281</v>
      </c>
      <c r="B208" s="0" t="n">
        <v>16.0254</v>
      </c>
      <c r="D208" s="0" t="s">
        <v>281</v>
      </c>
      <c r="E208" s="0" t="n">
        <v>15.9698</v>
      </c>
      <c r="G208" s="0" t="s">
        <v>281</v>
      </c>
      <c r="H208" s="0" t="n">
        <v>15.8312</v>
      </c>
      <c r="J208" s="0" t="s">
        <v>281</v>
      </c>
      <c r="K208" s="0" t="n">
        <v>15.7898</v>
      </c>
      <c r="M208" s="0" t="s">
        <v>281</v>
      </c>
      <c r="N208" s="0" t="n">
        <v>15.809</v>
      </c>
      <c r="P208" s="0" t="s">
        <v>281</v>
      </c>
      <c r="Q208" s="0" t="n">
        <v>16.046</v>
      </c>
      <c r="S208" s="0" t="s">
        <v>281</v>
      </c>
      <c r="T208" s="0" t="n">
        <v>15.8313</v>
      </c>
    </row>
    <row r="209" customFormat="false" ht="13.8" hidden="false" customHeight="false" outlineLevel="0" collapsed="false">
      <c r="A209" s="0" t="s">
        <v>282</v>
      </c>
      <c r="B209" s="0" t="n">
        <v>19.5606</v>
      </c>
      <c r="D209" s="0" t="s">
        <v>282</v>
      </c>
      <c r="E209" s="0" t="n">
        <v>19.3846</v>
      </c>
      <c r="G209" s="0" t="s">
        <v>282</v>
      </c>
      <c r="H209" s="0" t="n">
        <v>18.7578</v>
      </c>
      <c r="J209" s="0" t="s">
        <v>282</v>
      </c>
      <c r="K209" s="0" t="n">
        <v>18.6879</v>
      </c>
      <c r="M209" s="0" t="s">
        <v>282</v>
      </c>
      <c r="N209" s="0" t="n">
        <v>18.9407</v>
      </c>
      <c r="P209" s="0" t="s">
        <v>282</v>
      </c>
      <c r="Q209" s="0" t="n">
        <v>18.7369</v>
      </c>
      <c r="S209" s="0" t="s">
        <v>282</v>
      </c>
      <c r="T209" s="0" t="n">
        <v>18.7391</v>
      </c>
    </row>
    <row r="210" customFormat="false" ht="13.8" hidden="false" customHeight="false" outlineLevel="0" collapsed="false">
      <c r="A210" s="0" t="s">
        <v>283</v>
      </c>
      <c r="B210" s="0" t="n">
        <v>19.2069</v>
      </c>
      <c r="D210" s="0" t="s">
        <v>283</v>
      </c>
      <c r="E210" s="0" t="n">
        <v>19.3958</v>
      </c>
      <c r="G210" s="0" t="s">
        <v>283</v>
      </c>
      <c r="H210" s="0" t="n">
        <v>18.734</v>
      </c>
      <c r="J210" s="0" t="s">
        <v>283</v>
      </c>
      <c r="K210" s="0" t="n">
        <v>18.7109</v>
      </c>
      <c r="M210" s="0" t="s">
        <v>283</v>
      </c>
      <c r="N210" s="0" t="n">
        <v>18.9398</v>
      </c>
      <c r="P210" s="0" t="s">
        <v>283</v>
      </c>
      <c r="Q210" s="0" t="n">
        <v>18.7192</v>
      </c>
      <c r="S210" s="0" t="s">
        <v>283</v>
      </c>
      <c r="T210" s="0" t="n">
        <v>18.7358</v>
      </c>
    </row>
    <row r="211" customFormat="false" ht="13.8" hidden="false" customHeight="false" outlineLevel="0" collapsed="false">
      <c r="A211" s="0" t="s">
        <v>284</v>
      </c>
      <c r="B211" s="0" t="n">
        <v>19.2229</v>
      </c>
      <c r="D211" s="0" t="s">
        <v>284</v>
      </c>
      <c r="E211" s="0" t="n">
        <v>19.4668</v>
      </c>
      <c r="G211" s="0" t="s">
        <v>284</v>
      </c>
      <c r="H211" s="0" t="n">
        <v>18.7429</v>
      </c>
      <c r="J211" s="0" t="s">
        <v>284</v>
      </c>
      <c r="K211" s="0" t="n">
        <v>18.6818</v>
      </c>
      <c r="M211" s="0" t="s">
        <v>284</v>
      </c>
      <c r="N211" s="0" t="n">
        <v>18.9377</v>
      </c>
      <c r="P211" s="0" t="s">
        <v>284</v>
      </c>
      <c r="Q211" s="0" t="n">
        <v>18.7275</v>
      </c>
      <c r="S211" s="0" t="s">
        <v>284</v>
      </c>
      <c r="T211" s="0" t="n">
        <v>18.734</v>
      </c>
    </row>
    <row r="212" customFormat="false" ht="13.8" hidden="false" customHeight="false" outlineLevel="0" collapsed="false">
      <c r="A212" s="0" t="s">
        <v>285</v>
      </c>
      <c r="B212" s="0" t="n">
        <v>19.3118</v>
      </c>
      <c r="D212" s="0" t="s">
        <v>285</v>
      </c>
      <c r="E212" s="0" t="n">
        <v>19.5414</v>
      </c>
      <c r="G212" s="0" t="s">
        <v>285</v>
      </c>
      <c r="H212" s="0" t="n">
        <v>18.7415</v>
      </c>
      <c r="J212" s="0" t="s">
        <v>285</v>
      </c>
      <c r="K212" s="0" t="n">
        <v>18.6804</v>
      </c>
      <c r="M212" s="0" t="s">
        <v>285</v>
      </c>
      <c r="N212" s="0" t="n">
        <v>18.9413</v>
      </c>
      <c r="P212" s="0" t="s">
        <v>285</v>
      </c>
      <c r="Q212" s="0" t="n">
        <v>18.7039</v>
      </c>
      <c r="S212" s="0" t="s">
        <v>285</v>
      </c>
      <c r="T212" s="0" t="n">
        <v>18.7452</v>
      </c>
    </row>
    <row r="213" customFormat="false" ht="13.8" hidden="false" customHeight="false" outlineLevel="0" collapsed="false">
      <c r="A213" s="0" t="s">
        <v>286</v>
      </c>
      <c r="B213" s="0" t="n">
        <v>19.4195</v>
      </c>
      <c r="D213" s="0" t="s">
        <v>286</v>
      </c>
      <c r="E213" s="0" t="n">
        <v>19.2042</v>
      </c>
      <c r="G213" s="0" t="s">
        <v>286</v>
      </c>
      <c r="H213" s="0" t="n">
        <v>18.7274</v>
      </c>
      <c r="J213" s="0" t="s">
        <v>286</v>
      </c>
      <c r="K213" s="0" t="n">
        <v>18.6764</v>
      </c>
      <c r="M213" s="0" t="s">
        <v>286</v>
      </c>
      <c r="N213" s="0" t="n">
        <v>18.9379</v>
      </c>
      <c r="P213" s="0" t="s">
        <v>286</v>
      </c>
      <c r="Q213" s="0" t="n">
        <v>18.6995</v>
      </c>
      <c r="S213" s="0" t="s">
        <v>286</v>
      </c>
      <c r="T213" s="0" t="n">
        <v>18.7207</v>
      </c>
    </row>
    <row r="214" customFormat="false" ht="13.8" hidden="false" customHeight="false" outlineLevel="0" collapsed="false">
      <c r="A214" s="0" t="s">
        <v>287</v>
      </c>
      <c r="B214" s="0" t="n">
        <v>19.4797</v>
      </c>
      <c r="D214" s="0" t="s">
        <v>287</v>
      </c>
      <c r="E214" s="0" t="n">
        <v>19.2075</v>
      </c>
      <c r="G214" s="0" t="s">
        <v>287</v>
      </c>
      <c r="H214" s="0" t="n">
        <v>18.7165</v>
      </c>
      <c r="J214" s="0" t="s">
        <v>287</v>
      </c>
      <c r="K214" s="0" t="n">
        <v>18.6718</v>
      </c>
      <c r="M214" s="0" t="s">
        <v>287</v>
      </c>
      <c r="N214" s="0" t="n">
        <v>18.9279</v>
      </c>
      <c r="P214" s="0" t="s">
        <v>287</v>
      </c>
      <c r="Q214" s="0" t="n">
        <v>18.7104</v>
      </c>
      <c r="S214" s="0" t="s">
        <v>287</v>
      </c>
      <c r="T214" s="0" t="n">
        <v>18.7138</v>
      </c>
    </row>
    <row r="215" customFormat="false" ht="13.8" hidden="false" customHeight="false" outlineLevel="0" collapsed="false">
      <c r="A215" s="0" t="s">
        <v>288</v>
      </c>
      <c r="B215" s="0" t="n">
        <v>19.5225</v>
      </c>
      <c r="D215" s="0" t="s">
        <v>288</v>
      </c>
      <c r="E215" s="0" t="n">
        <v>19.2386</v>
      </c>
      <c r="G215" s="0" t="s">
        <v>288</v>
      </c>
      <c r="H215" s="0" t="n">
        <v>18.7056</v>
      </c>
      <c r="J215" s="0" t="s">
        <v>288</v>
      </c>
      <c r="K215" s="0" t="n">
        <v>18.6761</v>
      </c>
      <c r="M215" s="0" t="s">
        <v>288</v>
      </c>
      <c r="N215" s="0" t="n">
        <v>18.9251</v>
      </c>
      <c r="P215" s="0" t="s">
        <v>288</v>
      </c>
      <c r="Q215" s="0" t="n">
        <v>18.7048</v>
      </c>
      <c r="S215" s="0" t="s">
        <v>288</v>
      </c>
      <c r="T215" s="0" t="n">
        <v>18.7095</v>
      </c>
    </row>
    <row r="216" customFormat="false" ht="13.8" hidden="false" customHeight="false" outlineLevel="0" collapsed="false">
      <c r="A216" s="0" t="s">
        <v>289</v>
      </c>
      <c r="B216" s="0" t="n">
        <v>19.5326</v>
      </c>
      <c r="D216" s="0" t="s">
        <v>289</v>
      </c>
      <c r="E216" s="0" t="n">
        <v>19.3485</v>
      </c>
      <c r="G216" s="0" t="s">
        <v>289</v>
      </c>
      <c r="H216" s="0" t="n">
        <v>18.6893</v>
      </c>
      <c r="J216" s="0" t="s">
        <v>289</v>
      </c>
      <c r="K216" s="0" t="n">
        <v>18.6683</v>
      </c>
      <c r="M216" s="0" t="s">
        <v>289</v>
      </c>
      <c r="N216" s="0" t="n">
        <v>18.9162</v>
      </c>
      <c r="P216" s="0" t="s">
        <v>289</v>
      </c>
      <c r="Q216" s="0" t="n">
        <v>18.6883</v>
      </c>
      <c r="S216" s="0" t="s">
        <v>289</v>
      </c>
      <c r="T216" s="0" t="n">
        <v>18.6963</v>
      </c>
    </row>
    <row r="217" customFormat="false" ht="13.8" hidden="false" customHeight="false" outlineLevel="0" collapsed="false">
      <c r="A217" s="0" t="s">
        <v>290</v>
      </c>
      <c r="B217" s="0" t="n">
        <v>19.5393</v>
      </c>
      <c r="D217" s="0" t="s">
        <v>290</v>
      </c>
      <c r="E217" s="0" t="n">
        <v>19.346</v>
      </c>
      <c r="G217" s="0" t="s">
        <v>290</v>
      </c>
      <c r="H217" s="0" t="n">
        <v>18.7229</v>
      </c>
      <c r="J217" s="0" t="s">
        <v>290</v>
      </c>
      <c r="K217" s="0" t="n">
        <v>18.6615</v>
      </c>
      <c r="M217" s="0" t="s">
        <v>290</v>
      </c>
      <c r="N217" s="0" t="n">
        <v>18.9059</v>
      </c>
      <c r="P217" s="0" t="s">
        <v>290</v>
      </c>
      <c r="Q217" s="0" t="n">
        <v>18.696</v>
      </c>
      <c r="S217" s="0" t="s">
        <v>290</v>
      </c>
      <c r="T217" s="0" t="n">
        <v>18.6922</v>
      </c>
    </row>
    <row r="218" customFormat="false" ht="13.8" hidden="false" customHeight="false" outlineLevel="0" collapsed="false">
      <c r="A218" s="0" t="s">
        <v>291</v>
      </c>
      <c r="B218" s="0" t="n">
        <v>21.8152</v>
      </c>
      <c r="D218" s="0" t="s">
        <v>291</v>
      </c>
      <c r="E218" s="0" t="n">
        <v>21.7417</v>
      </c>
      <c r="G218" s="0" t="s">
        <v>291</v>
      </c>
      <c r="H218" s="0" t="n">
        <v>38.0853</v>
      </c>
      <c r="J218" s="0" t="s">
        <v>291</v>
      </c>
      <c r="K218" s="0" t="n">
        <v>38.1378</v>
      </c>
      <c r="M218" s="0" t="s">
        <v>291</v>
      </c>
      <c r="N218" s="0" t="n">
        <v>38.2383</v>
      </c>
      <c r="P218" s="0" t="s">
        <v>291</v>
      </c>
      <c r="Q218" s="0" t="n">
        <v>37.9381</v>
      </c>
      <c r="S218" s="0" t="s">
        <v>291</v>
      </c>
      <c r="T218" s="0" t="n">
        <v>38.1057</v>
      </c>
    </row>
    <row r="219" customFormat="false" ht="13.8" hidden="false" customHeight="false" outlineLevel="0" collapsed="false">
      <c r="A219" s="0" t="s">
        <v>292</v>
      </c>
      <c r="B219" s="0" t="n">
        <v>21.5966</v>
      </c>
      <c r="D219" s="0" t="s">
        <v>292</v>
      </c>
      <c r="E219" s="0" t="n">
        <v>21.782</v>
      </c>
      <c r="G219" s="0" t="s">
        <v>292</v>
      </c>
      <c r="H219" s="0" t="n">
        <v>38.046</v>
      </c>
      <c r="J219" s="0" t="s">
        <v>292</v>
      </c>
      <c r="K219" s="0" t="n">
        <v>38.1481</v>
      </c>
      <c r="M219" s="0" t="s">
        <v>292</v>
      </c>
      <c r="N219" s="0" t="n">
        <v>38.2041</v>
      </c>
      <c r="P219" s="0" t="s">
        <v>292</v>
      </c>
      <c r="Q219" s="0" t="n">
        <v>38.009</v>
      </c>
      <c r="S219" s="0" t="s">
        <v>292</v>
      </c>
      <c r="T219" s="0" t="n">
        <v>38.2473</v>
      </c>
    </row>
    <row r="220" customFormat="false" ht="13.8" hidden="false" customHeight="false" outlineLevel="0" collapsed="false">
      <c r="A220" s="0" t="s">
        <v>293</v>
      </c>
      <c r="B220" s="0" t="n">
        <v>21.578</v>
      </c>
      <c r="D220" s="0" t="s">
        <v>293</v>
      </c>
      <c r="E220" s="0" t="n">
        <v>21.7688</v>
      </c>
      <c r="G220" s="0" t="s">
        <v>293</v>
      </c>
      <c r="H220" s="0" t="n">
        <v>38.1237</v>
      </c>
      <c r="J220" s="0" t="s">
        <v>293</v>
      </c>
      <c r="K220" s="0" t="n">
        <v>38.2635</v>
      </c>
      <c r="M220" s="0" t="s">
        <v>293</v>
      </c>
      <c r="N220" s="0" t="n">
        <v>38.2774</v>
      </c>
      <c r="P220" s="0" t="s">
        <v>293</v>
      </c>
      <c r="Q220" s="0" t="n">
        <v>37.9332</v>
      </c>
      <c r="S220" s="0" t="s">
        <v>293</v>
      </c>
      <c r="T220" s="0" t="n">
        <v>38.2501</v>
      </c>
    </row>
    <row r="221" customFormat="false" ht="13.8" hidden="false" customHeight="false" outlineLevel="0" collapsed="false">
      <c r="A221" s="0" t="s">
        <v>294</v>
      </c>
      <c r="B221" s="0" t="n">
        <v>21.6849</v>
      </c>
      <c r="D221" s="0" t="s">
        <v>294</v>
      </c>
      <c r="E221" s="0" t="n">
        <v>21.8242</v>
      </c>
      <c r="G221" s="0" t="s">
        <v>294</v>
      </c>
      <c r="H221" s="0" t="n">
        <v>38.067</v>
      </c>
      <c r="J221" s="0" t="s">
        <v>294</v>
      </c>
      <c r="K221" s="0" t="n">
        <v>38.178</v>
      </c>
      <c r="M221" s="0" t="s">
        <v>294</v>
      </c>
      <c r="N221" s="0" t="n">
        <v>38.2664</v>
      </c>
      <c r="P221" s="0" t="s">
        <v>294</v>
      </c>
      <c r="Q221" s="0" t="n">
        <v>38.0492</v>
      </c>
      <c r="S221" s="0" t="s">
        <v>294</v>
      </c>
      <c r="T221" s="0" t="n">
        <v>38.2164</v>
      </c>
    </row>
    <row r="222" customFormat="false" ht="13.8" hidden="false" customHeight="false" outlineLevel="0" collapsed="false">
      <c r="A222" s="0" t="s">
        <v>295</v>
      </c>
      <c r="B222" s="0" t="n">
        <v>21.7591</v>
      </c>
      <c r="D222" s="0" t="s">
        <v>295</v>
      </c>
      <c r="E222" s="0" t="n">
        <v>21.6762</v>
      </c>
      <c r="G222" s="0" t="s">
        <v>295</v>
      </c>
      <c r="H222" s="0" t="n">
        <v>38.2063</v>
      </c>
      <c r="J222" s="0" t="s">
        <v>295</v>
      </c>
      <c r="K222" s="0" t="n">
        <v>38.2649</v>
      </c>
      <c r="M222" s="0" t="s">
        <v>295</v>
      </c>
      <c r="N222" s="0" t="n">
        <v>38.3528</v>
      </c>
      <c r="P222" s="0" t="s">
        <v>295</v>
      </c>
      <c r="Q222" s="0" t="n">
        <v>38.0368</v>
      </c>
      <c r="S222" s="0" t="s">
        <v>295</v>
      </c>
      <c r="T222" s="0" t="n">
        <v>38.217</v>
      </c>
    </row>
    <row r="223" customFormat="false" ht="13.8" hidden="false" customHeight="false" outlineLevel="0" collapsed="false">
      <c r="A223" s="0" t="s">
        <v>296</v>
      </c>
      <c r="B223" s="0" t="n">
        <v>21.779</v>
      </c>
      <c r="D223" s="0" t="s">
        <v>296</v>
      </c>
      <c r="E223" s="0" t="n">
        <v>21.6357</v>
      </c>
      <c r="G223" s="0" t="s">
        <v>296</v>
      </c>
      <c r="H223" s="0" t="n">
        <v>38.1591</v>
      </c>
      <c r="J223" s="0" t="s">
        <v>296</v>
      </c>
      <c r="K223" s="0" t="n">
        <v>38.2768</v>
      </c>
      <c r="M223" s="0" t="s">
        <v>296</v>
      </c>
      <c r="N223" s="0" t="n">
        <v>38.3185</v>
      </c>
      <c r="P223" s="0" t="s">
        <v>296</v>
      </c>
      <c r="Q223" s="0" t="n">
        <v>37.986</v>
      </c>
      <c r="S223" s="0" t="s">
        <v>296</v>
      </c>
      <c r="T223" s="0" t="n">
        <v>38.3128</v>
      </c>
    </row>
    <row r="224" customFormat="false" ht="13.8" hidden="false" customHeight="false" outlineLevel="0" collapsed="false">
      <c r="A224" s="0" t="s">
        <v>297</v>
      </c>
      <c r="B224" s="0" t="n">
        <v>21.7816</v>
      </c>
      <c r="D224" s="0" t="s">
        <v>297</v>
      </c>
      <c r="E224" s="0" t="n">
        <v>21.6615</v>
      </c>
      <c r="G224" s="0" t="s">
        <v>297</v>
      </c>
      <c r="H224" s="0" t="n">
        <v>38.1207</v>
      </c>
      <c r="J224" s="0" t="s">
        <v>297</v>
      </c>
      <c r="K224" s="0" t="n">
        <v>38.1824</v>
      </c>
      <c r="M224" s="0" t="s">
        <v>297</v>
      </c>
      <c r="N224" s="0" t="n">
        <v>38.4</v>
      </c>
      <c r="P224" s="0" t="s">
        <v>297</v>
      </c>
      <c r="Q224" s="0" t="n">
        <v>38.0235</v>
      </c>
      <c r="S224" s="0" t="s">
        <v>297</v>
      </c>
      <c r="T224" s="0" t="n">
        <v>38.3249</v>
      </c>
    </row>
    <row r="225" customFormat="false" ht="13.8" hidden="false" customHeight="false" outlineLevel="0" collapsed="false">
      <c r="A225" s="0" t="s">
        <v>298</v>
      </c>
      <c r="B225" s="0" t="n">
        <v>21.7773</v>
      </c>
      <c r="D225" s="0" t="s">
        <v>298</v>
      </c>
      <c r="E225" s="0" t="n">
        <v>21.6898</v>
      </c>
      <c r="G225" s="0" t="s">
        <v>298</v>
      </c>
      <c r="H225" s="0" t="n">
        <v>38.2401</v>
      </c>
      <c r="J225" s="0" t="s">
        <v>298</v>
      </c>
      <c r="K225" s="0" t="n">
        <v>38.3393</v>
      </c>
      <c r="M225" s="0" t="s">
        <v>298</v>
      </c>
      <c r="N225" s="0" t="n">
        <v>38.347</v>
      </c>
      <c r="P225" s="0" t="s">
        <v>298</v>
      </c>
      <c r="Q225" s="0" t="n">
        <v>38.109</v>
      </c>
      <c r="S225" s="0" t="s">
        <v>298</v>
      </c>
      <c r="T225" s="0" t="n">
        <v>38.3444</v>
      </c>
    </row>
    <row r="226" customFormat="false" ht="13.8" hidden="false" customHeight="false" outlineLevel="0" collapsed="false">
      <c r="A226" s="0" t="s">
        <v>299</v>
      </c>
      <c r="B226" s="0" t="n">
        <v>21.7353</v>
      </c>
      <c r="D226" s="0" t="s">
        <v>299</v>
      </c>
      <c r="E226" s="0" t="n">
        <v>21.7243</v>
      </c>
      <c r="G226" s="0" t="s">
        <v>299</v>
      </c>
      <c r="H226" s="0" t="n">
        <v>38.2364</v>
      </c>
      <c r="J226" s="0" t="s">
        <v>299</v>
      </c>
      <c r="K226" s="0" t="n">
        <v>38.2913</v>
      </c>
      <c r="M226" s="0" t="s">
        <v>299</v>
      </c>
      <c r="N226" s="0" t="n">
        <v>38.4</v>
      </c>
      <c r="P226" s="0" t="s">
        <v>299</v>
      </c>
      <c r="Q226" s="0" t="n">
        <v>38.1998</v>
      </c>
      <c r="S226" s="0" t="s">
        <v>299</v>
      </c>
      <c r="T226" s="0" t="n">
        <v>38.4083</v>
      </c>
    </row>
    <row r="227" customFormat="false" ht="13.8" hidden="false" customHeight="false" outlineLevel="0" collapsed="false">
      <c r="A227" s="0" t="s">
        <v>300</v>
      </c>
      <c r="B227" s="0" t="n">
        <v>19.0548</v>
      </c>
      <c r="D227" s="0" t="s">
        <v>300</v>
      </c>
      <c r="E227" s="0" t="n">
        <v>18.8985</v>
      </c>
      <c r="G227" s="0" t="s">
        <v>300</v>
      </c>
      <c r="H227" s="0" t="n">
        <v>19.0251</v>
      </c>
      <c r="J227" s="0" t="s">
        <v>300</v>
      </c>
      <c r="K227" s="0" t="n">
        <v>18.9952</v>
      </c>
      <c r="M227" s="0" t="s">
        <v>300</v>
      </c>
      <c r="N227" s="0" t="n">
        <v>19.0227</v>
      </c>
      <c r="P227" s="0" t="s">
        <v>300</v>
      </c>
      <c r="Q227" s="0" t="n">
        <v>19.0143</v>
      </c>
      <c r="S227" s="0" t="s">
        <v>300</v>
      </c>
      <c r="T227" s="0" t="n">
        <v>19.0026</v>
      </c>
    </row>
    <row r="228" customFormat="false" ht="13.8" hidden="false" customHeight="false" outlineLevel="0" collapsed="false">
      <c r="A228" s="0" t="s">
        <v>301</v>
      </c>
      <c r="B228" s="0" t="n">
        <v>18.7399</v>
      </c>
      <c r="D228" s="0" t="s">
        <v>301</v>
      </c>
      <c r="E228" s="0" t="n">
        <v>18.9295</v>
      </c>
      <c r="G228" s="0" t="s">
        <v>301</v>
      </c>
      <c r="H228" s="0" t="n">
        <v>19.0125</v>
      </c>
      <c r="J228" s="0" t="s">
        <v>301</v>
      </c>
      <c r="K228" s="0" t="n">
        <v>19.0137</v>
      </c>
      <c r="M228" s="0" t="s">
        <v>301</v>
      </c>
      <c r="N228" s="0" t="n">
        <v>19.0267</v>
      </c>
      <c r="P228" s="0" t="s">
        <v>301</v>
      </c>
      <c r="Q228" s="0" t="n">
        <v>19.0133</v>
      </c>
      <c r="S228" s="0" t="s">
        <v>301</v>
      </c>
      <c r="T228" s="0" t="n">
        <v>19.0212</v>
      </c>
    </row>
    <row r="229" customFormat="false" ht="13.8" hidden="false" customHeight="false" outlineLevel="0" collapsed="false">
      <c r="A229" s="0" t="s">
        <v>302</v>
      </c>
      <c r="B229" s="0" t="n">
        <v>18.7462</v>
      </c>
      <c r="D229" s="0" t="s">
        <v>302</v>
      </c>
      <c r="E229" s="0" t="n">
        <v>18.9892</v>
      </c>
      <c r="G229" s="0" t="s">
        <v>302</v>
      </c>
      <c r="H229" s="0" t="n">
        <v>19.0282</v>
      </c>
      <c r="J229" s="0" t="s">
        <v>302</v>
      </c>
      <c r="K229" s="0" t="n">
        <v>19.0102</v>
      </c>
      <c r="M229" s="0" t="s">
        <v>302</v>
      </c>
      <c r="N229" s="0" t="n">
        <v>19.0406</v>
      </c>
      <c r="P229" s="0" t="s">
        <v>302</v>
      </c>
      <c r="Q229" s="0" t="n">
        <v>19.0206</v>
      </c>
      <c r="S229" s="0" t="s">
        <v>302</v>
      </c>
      <c r="T229" s="0" t="n">
        <v>19.0174</v>
      </c>
    </row>
    <row r="230" customFormat="false" ht="13.8" hidden="false" customHeight="false" outlineLevel="0" collapsed="false">
      <c r="A230" s="0" t="s">
        <v>303</v>
      </c>
      <c r="B230" s="0" t="n">
        <v>18.857</v>
      </c>
      <c r="D230" s="0" t="s">
        <v>303</v>
      </c>
      <c r="E230" s="0" t="n">
        <v>19.0624</v>
      </c>
      <c r="G230" s="0" t="s">
        <v>303</v>
      </c>
      <c r="H230" s="0" t="n">
        <v>19.0241</v>
      </c>
      <c r="J230" s="0" t="s">
        <v>303</v>
      </c>
      <c r="K230" s="0" t="n">
        <v>19.0057</v>
      </c>
      <c r="M230" s="0" t="s">
        <v>303</v>
      </c>
      <c r="N230" s="0" t="n">
        <v>19.0503</v>
      </c>
      <c r="P230" s="0" t="s">
        <v>303</v>
      </c>
      <c r="Q230" s="0" t="n">
        <v>19.0221</v>
      </c>
      <c r="S230" s="0" t="s">
        <v>303</v>
      </c>
      <c r="T230" s="0" t="n">
        <v>19.0384</v>
      </c>
    </row>
    <row r="231" customFormat="false" ht="13.8" hidden="false" customHeight="false" outlineLevel="0" collapsed="false">
      <c r="A231" s="0" t="s">
        <v>304</v>
      </c>
      <c r="B231" s="0" t="n">
        <v>18.9649</v>
      </c>
      <c r="D231" s="0" t="s">
        <v>304</v>
      </c>
      <c r="E231" s="0" t="n">
        <v>18.7775</v>
      </c>
      <c r="G231" s="0" t="s">
        <v>304</v>
      </c>
      <c r="H231" s="0" t="n">
        <v>19.0318</v>
      </c>
      <c r="J231" s="0" t="s">
        <v>304</v>
      </c>
      <c r="K231" s="0" t="n">
        <v>19.0091</v>
      </c>
      <c r="M231" s="0" t="s">
        <v>304</v>
      </c>
      <c r="N231" s="0" t="n">
        <v>19.0558</v>
      </c>
      <c r="P231" s="0" t="s">
        <v>304</v>
      </c>
      <c r="Q231" s="0" t="n">
        <v>19.0023</v>
      </c>
      <c r="S231" s="0" t="s">
        <v>304</v>
      </c>
      <c r="T231" s="0" t="n">
        <v>19.0212</v>
      </c>
    </row>
    <row r="232" customFormat="false" ht="13.8" hidden="false" customHeight="false" outlineLevel="0" collapsed="false">
      <c r="A232" s="0" t="s">
        <v>305</v>
      </c>
      <c r="B232" s="0" t="n">
        <v>19.0224</v>
      </c>
      <c r="D232" s="0" t="s">
        <v>305</v>
      </c>
      <c r="E232" s="0" t="n">
        <v>18.753</v>
      </c>
      <c r="G232" s="0" t="s">
        <v>305</v>
      </c>
      <c r="H232" s="0" t="n">
        <v>19.0267</v>
      </c>
      <c r="J232" s="0" t="s">
        <v>305</v>
      </c>
      <c r="K232" s="0" t="n">
        <v>19.0111</v>
      </c>
      <c r="M232" s="0" t="s">
        <v>305</v>
      </c>
      <c r="N232" s="0" t="n">
        <v>19.0484</v>
      </c>
      <c r="P232" s="0" t="s">
        <v>305</v>
      </c>
      <c r="Q232" s="0" t="n">
        <v>19.0156</v>
      </c>
      <c r="S232" s="0" t="s">
        <v>305</v>
      </c>
      <c r="T232" s="0" t="n">
        <v>19.0306</v>
      </c>
    </row>
    <row r="233" customFormat="false" ht="13.8" hidden="false" customHeight="false" outlineLevel="0" collapsed="false">
      <c r="A233" s="0" t="s">
        <v>306</v>
      </c>
      <c r="B233" s="0" t="n">
        <v>19.0515</v>
      </c>
      <c r="D233" s="0" t="s">
        <v>306</v>
      </c>
      <c r="E233" s="0" t="n">
        <v>18.7906</v>
      </c>
      <c r="G233" s="0" t="s">
        <v>306</v>
      </c>
      <c r="H233" s="0" t="n">
        <v>18.9894</v>
      </c>
      <c r="J233" s="0" t="s">
        <v>306</v>
      </c>
      <c r="K233" s="0" t="n">
        <v>19.0166</v>
      </c>
      <c r="M233" s="0" t="s">
        <v>306</v>
      </c>
      <c r="N233" s="0" t="n">
        <v>19.0611</v>
      </c>
      <c r="P233" s="0" t="s">
        <v>306</v>
      </c>
      <c r="Q233" s="0" t="n">
        <v>19.016</v>
      </c>
      <c r="S233" s="0" t="s">
        <v>306</v>
      </c>
      <c r="T233" s="0" t="n">
        <v>19.0173</v>
      </c>
    </row>
    <row r="234" customFormat="false" ht="13.8" hidden="false" customHeight="false" outlineLevel="0" collapsed="false">
      <c r="A234" s="0" t="s">
        <v>307</v>
      </c>
      <c r="B234" s="0" t="n">
        <v>19.0548</v>
      </c>
      <c r="D234" s="0" t="s">
        <v>307</v>
      </c>
      <c r="E234" s="0" t="n">
        <v>18.8779</v>
      </c>
      <c r="G234" s="0" t="s">
        <v>307</v>
      </c>
      <c r="H234" s="0" t="n">
        <v>19.016</v>
      </c>
      <c r="J234" s="0" t="s">
        <v>307</v>
      </c>
      <c r="K234" s="0" t="n">
        <v>19.022</v>
      </c>
      <c r="M234" s="0" t="s">
        <v>307</v>
      </c>
      <c r="N234" s="0" t="n">
        <v>19.0575</v>
      </c>
      <c r="P234" s="0" t="s">
        <v>307</v>
      </c>
      <c r="Q234" s="0" t="n">
        <v>19.0213</v>
      </c>
      <c r="S234" s="0" t="s">
        <v>307</v>
      </c>
      <c r="T234" s="0" t="n">
        <v>19.0187</v>
      </c>
    </row>
    <row r="235" customFormat="false" ht="13.8" hidden="false" customHeight="false" outlineLevel="0" collapsed="false">
      <c r="A235" s="0" t="s">
        <v>308</v>
      </c>
      <c r="B235" s="0" t="n">
        <v>19.0564</v>
      </c>
      <c r="D235" s="0" t="s">
        <v>308</v>
      </c>
      <c r="E235" s="0" t="n">
        <v>18.9079</v>
      </c>
      <c r="G235" s="0" t="s">
        <v>308</v>
      </c>
      <c r="H235" s="0" t="n">
        <v>19.038</v>
      </c>
      <c r="J235" s="0" t="s">
        <v>308</v>
      </c>
      <c r="K235" s="0" t="n">
        <v>19.014</v>
      </c>
      <c r="M235" s="0" t="s">
        <v>308</v>
      </c>
      <c r="N235" s="0" t="n">
        <v>19.0534</v>
      </c>
      <c r="P235" s="0" t="s">
        <v>308</v>
      </c>
      <c r="Q235" s="0" t="n">
        <v>19.0398</v>
      </c>
      <c r="S235" s="0" t="s">
        <v>308</v>
      </c>
      <c r="T235" s="0" t="n">
        <v>19.0291</v>
      </c>
    </row>
    <row r="236" customFormat="false" ht="13.8" hidden="false" customHeight="false" outlineLevel="0" collapsed="false">
      <c r="A236" s="0" t="s">
        <v>309</v>
      </c>
      <c r="B236" s="0" t="n">
        <v>23.0298</v>
      </c>
      <c r="D236" s="0" t="s">
        <v>309</v>
      </c>
      <c r="E236" s="0" t="n">
        <v>22.9621</v>
      </c>
      <c r="G236" s="0" t="s">
        <v>309</v>
      </c>
      <c r="H236" s="0" t="n">
        <v>22.8848</v>
      </c>
      <c r="J236" s="0" t="s">
        <v>309</v>
      </c>
      <c r="K236" s="0" t="n">
        <v>22.9315</v>
      </c>
      <c r="M236" s="0" t="s">
        <v>309</v>
      </c>
      <c r="N236" s="0" t="n">
        <v>23.1777</v>
      </c>
      <c r="P236" s="0" t="s">
        <v>309</v>
      </c>
      <c r="Q236" s="0" t="n">
        <v>23.0458</v>
      </c>
      <c r="S236" s="0" t="s">
        <v>309</v>
      </c>
      <c r="T236" s="0" t="n">
        <v>23.0128</v>
      </c>
    </row>
    <row r="237" customFormat="false" ht="13.8" hidden="false" customHeight="false" outlineLevel="0" collapsed="false">
      <c r="A237" s="0" t="s">
        <v>310</v>
      </c>
      <c r="B237" s="0" t="n">
        <v>22.7785</v>
      </c>
      <c r="D237" s="0" t="s">
        <v>310</v>
      </c>
      <c r="E237" s="0" t="n">
        <v>22.9791</v>
      </c>
      <c r="G237" s="0" t="s">
        <v>310</v>
      </c>
      <c r="H237" s="0" t="n">
        <v>22.8488</v>
      </c>
      <c r="J237" s="0" t="s">
        <v>310</v>
      </c>
      <c r="K237" s="0" t="n">
        <v>22.9491</v>
      </c>
      <c r="M237" s="0" t="s">
        <v>310</v>
      </c>
      <c r="N237" s="0" t="n">
        <v>23.1596</v>
      </c>
      <c r="P237" s="0" t="s">
        <v>310</v>
      </c>
      <c r="Q237" s="0" t="n">
        <v>23.0368</v>
      </c>
      <c r="S237" s="0" t="s">
        <v>310</v>
      </c>
      <c r="T237" s="0" t="n">
        <v>23.0013</v>
      </c>
    </row>
    <row r="238" customFormat="false" ht="13.8" hidden="false" customHeight="false" outlineLevel="0" collapsed="false">
      <c r="A238" s="0" t="s">
        <v>311</v>
      </c>
      <c r="B238" s="0" t="n">
        <v>22.762</v>
      </c>
      <c r="D238" s="0" t="s">
        <v>311</v>
      </c>
      <c r="E238" s="0" t="n">
        <v>22.9705</v>
      </c>
      <c r="G238" s="0" t="s">
        <v>311</v>
      </c>
      <c r="H238" s="0" t="n">
        <v>22.8601</v>
      </c>
      <c r="J238" s="0" t="s">
        <v>311</v>
      </c>
      <c r="K238" s="0" t="n">
        <v>22.9235</v>
      </c>
      <c r="M238" s="0" t="s">
        <v>311</v>
      </c>
      <c r="N238" s="0" t="n">
        <v>23.146</v>
      </c>
      <c r="P238" s="0" t="s">
        <v>311</v>
      </c>
      <c r="Q238" s="0" t="n">
        <v>23.0097</v>
      </c>
      <c r="S238" s="0" t="s">
        <v>311</v>
      </c>
      <c r="T238" s="0" t="n">
        <v>23.0038</v>
      </c>
    </row>
    <row r="239" customFormat="false" ht="13.8" hidden="false" customHeight="false" outlineLevel="0" collapsed="false">
      <c r="A239" s="0" t="s">
        <v>312</v>
      </c>
      <c r="B239" s="0" t="n">
        <v>22.8372</v>
      </c>
      <c r="D239" s="0" t="s">
        <v>312</v>
      </c>
      <c r="E239" s="0" t="n">
        <v>23.0248</v>
      </c>
      <c r="G239" s="0" t="s">
        <v>312</v>
      </c>
      <c r="H239" s="0" t="n">
        <v>22.8492</v>
      </c>
      <c r="J239" s="0" t="s">
        <v>312</v>
      </c>
      <c r="K239" s="0" t="n">
        <v>22.8998</v>
      </c>
      <c r="M239" s="0" t="s">
        <v>312</v>
      </c>
      <c r="N239" s="0" t="n">
        <v>23.1423</v>
      </c>
      <c r="P239" s="0" t="s">
        <v>312</v>
      </c>
      <c r="Q239" s="0" t="n">
        <v>22.9893</v>
      </c>
      <c r="S239" s="0" t="s">
        <v>312</v>
      </c>
      <c r="T239" s="0" t="n">
        <v>22.9989</v>
      </c>
    </row>
    <row r="240" customFormat="false" ht="13.8" hidden="false" customHeight="false" outlineLevel="0" collapsed="false">
      <c r="A240" s="0" t="s">
        <v>313</v>
      </c>
      <c r="B240" s="0" t="n">
        <v>22.906</v>
      </c>
      <c r="D240" s="0" t="s">
        <v>313</v>
      </c>
      <c r="E240" s="0" t="n">
        <v>22.8299</v>
      </c>
      <c r="G240" s="0" t="s">
        <v>313</v>
      </c>
      <c r="H240" s="0" t="n">
        <v>22.8488</v>
      </c>
      <c r="J240" s="0" t="s">
        <v>313</v>
      </c>
      <c r="K240" s="0" t="n">
        <v>22.9041</v>
      </c>
      <c r="M240" s="0" t="s">
        <v>313</v>
      </c>
      <c r="N240" s="0" t="n">
        <v>23.1507</v>
      </c>
      <c r="P240" s="0" t="s">
        <v>313</v>
      </c>
      <c r="Q240" s="0" t="n">
        <v>23.0057</v>
      </c>
      <c r="S240" s="0" t="s">
        <v>313</v>
      </c>
      <c r="T240" s="0" t="n">
        <v>22.9687</v>
      </c>
    </row>
    <row r="241" customFormat="false" ht="13.8" hidden="false" customHeight="false" outlineLevel="0" collapsed="false">
      <c r="A241" s="0" t="s">
        <v>314</v>
      </c>
      <c r="B241" s="0" t="n">
        <v>22.925</v>
      </c>
      <c r="D241" s="0" t="s">
        <v>314</v>
      </c>
      <c r="E241" s="0" t="n">
        <v>22.8268</v>
      </c>
      <c r="G241" s="0" t="s">
        <v>314</v>
      </c>
      <c r="H241" s="0" t="n">
        <v>22.8153</v>
      </c>
      <c r="J241" s="0" t="s">
        <v>314</v>
      </c>
      <c r="K241" s="0" t="n">
        <v>22.9066</v>
      </c>
      <c r="M241" s="0" t="s">
        <v>314</v>
      </c>
      <c r="N241" s="0" t="n">
        <v>23.1363</v>
      </c>
      <c r="P241" s="0" t="s">
        <v>314</v>
      </c>
      <c r="Q241" s="0" t="n">
        <v>22.9992</v>
      </c>
      <c r="S241" s="0" t="s">
        <v>314</v>
      </c>
      <c r="T241" s="0" t="n">
        <v>22.9603</v>
      </c>
    </row>
    <row r="242" customFormat="false" ht="13.8" hidden="false" customHeight="false" outlineLevel="0" collapsed="false">
      <c r="A242" s="0" t="s">
        <v>315</v>
      </c>
      <c r="B242" s="0" t="n">
        <v>22.9448</v>
      </c>
      <c r="D242" s="0" t="s">
        <v>315</v>
      </c>
      <c r="E242" s="0" t="n">
        <v>22.8437</v>
      </c>
      <c r="G242" s="0" t="s">
        <v>315</v>
      </c>
      <c r="H242" s="0" t="n">
        <v>22.8399</v>
      </c>
      <c r="J242" s="0" t="s">
        <v>315</v>
      </c>
      <c r="K242" s="0" t="n">
        <v>22.8786</v>
      </c>
      <c r="M242" s="0" t="s">
        <v>315</v>
      </c>
      <c r="N242" s="0" t="n">
        <v>23.1246</v>
      </c>
      <c r="P242" s="0" t="s">
        <v>315</v>
      </c>
      <c r="Q242" s="0" t="n">
        <v>22.9894</v>
      </c>
      <c r="S242" s="0" t="s">
        <v>315</v>
      </c>
      <c r="T242" s="0" t="n">
        <v>22.9719</v>
      </c>
    </row>
    <row r="243" customFormat="false" ht="13.8" hidden="false" customHeight="false" outlineLevel="0" collapsed="false">
      <c r="A243" s="0" t="s">
        <v>316</v>
      </c>
      <c r="B243" s="0" t="n">
        <v>22.9498</v>
      </c>
      <c r="D243" s="0" t="s">
        <v>316</v>
      </c>
      <c r="E243" s="0" t="n">
        <v>22.8923</v>
      </c>
      <c r="G243" s="0" t="s">
        <v>316</v>
      </c>
      <c r="H243" s="0" t="n">
        <v>22.79</v>
      </c>
      <c r="J243" s="0" t="s">
        <v>316</v>
      </c>
      <c r="K243" s="0" t="n">
        <v>22.8987</v>
      </c>
      <c r="M243" s="0" t="s">
        <v>316</v>
      </c>
      <c r="N243" s="0" t="n">
        <v>23.1063</v>
      </c>
      <c r="P243" s="0" t="s">
        <v>316</v>
      </c>
      <c r="Q243" s="0" t="n">
        <v>22.9713</v>
      </c>
      <c r="S243" s="0" t="s">
        <v>316</v>
      </c>
      <c r="T243" s="0" t="n">
        <v>22.9469</v>
      </c>
    </row>
    <row r="244" customFormat="false" ht="13.8" hidden="false" customHeight="false" outlineLevel="0" collapsed="false">
      <c r="A244" s="0" t="s">
        <v>317</v>
      </c>
      <c r="B244" s="0" t="n">
        <v>22.9093</v>
      </c>
      <c r="D244" s="0" t="s">
        <v>317</v>
      </c>
      <c r="E244" s="0" t="n">
        <v>22.8796</v>
      </c>
      <c r="G244" s="0" t="s">
        <v>317</v>
      </c>
      <c r="H244" s="0" t="n">
        <v>22.8327</v>
      </c>
      <c r="J244" s="0" t="s">
        <v>317</v>
      </c>
      <c r="K244" s="0" t="n">
        <v>22.8841</v>
      </c>
      <c r="M244" s="0" t="s">
        <v>317</v>
      </c>
      <c r="N244" s="0" t="n">
        <v>23.0911</v>
      </c>
      <c r="P244" s="0" t="s">
        <v>317</v>
      </c>
      <c r="Q244" s="0" t="n">
        <v>22.9855</v>
      </c>
      <c r="S244" s="0" t="s">
        <v>317</v>
      </c>
      <c r="T244" s="0" t="n">
        <v>22.9309</v>
      </c>
    </row>
    <row r="245" customFormat="false" ht="13.8" hidden="false" customHeight="false" outlineLevel="0" collapsed="false">
      <c r="G245" s="0" t="s">
        <v>318</v>
      </c>
      <c r="H245" s="0" t="n">
        <v>15.5956</v>
      </c>
      <c r="J245" s="0" t="s">
        <v>318</v>
      </c>
      <c r="K245" s="0" t="n">
        <v>15.3894</v>
      </c>
      <c r="M245" s="0" t="s">
        <v>318</v>
      </c>
      <c r="N245" s="0" t="n">
        <v>15.6777</v>
      </c>
      <c r="P245" s="0" t="s">
        <v>318</v>
      </c>
      <c r="Q245" s="0" t="n">
        <v>15.487</v>
      </c>
      <c r="S245" s="0" t="s">
        <v>318</v>
      </c>
      <c r="T245" s="0" t="n">
        <v>15.5076</v>
      </c>
    </row>
    <row r="246" customFormat="false" ht="13.8" hidden="false" customHeight="false" outlineLevel="0" collapsed="false">
      <c r="G246" s="0" t="s">
        <v>319</v>
      </c>
      <c r="H246" s="0" t="n">
        <v>15.5756</v>
      </c>
      <c r="J246" s="0" t="s">
        <v>319</v>
      </c>
      <c r="K246" s="0" t="n">
        <v>15.4042</v>
      </c>
      <c r="M246" s="0" t="s">
        <v>319</v>
      </c>
      <c r="N246" s="0" t="n">
        <v>15.6814</v>
      </c>
      <c r="P246" s="0" t="s">
        <v>319</v>
      </c>
      <c r="Q246" s="0" t="n">
        <v>15.4786</v>
      </c>
      <c r="S246" s="0" t="s">
        <v>319</v>
      </c>
      <c r="T246" s="0" t="n">
        <v>15.5162</v>
      </c>
    </row>
    <row r="247" customFormat="false" ht="13.8" hidden="false" customHeight="false" outlineLevel="0" collapsed="false">
      <c r="G247" s="0" t="s">
        <v>320</v>
      </c>
      <c r="H247" s="0" t="n">
        <v>15.5875</v>
      </c>
      <c r="J247" s="0" t="s">
        <v>320</v>
      </c>
      <c r="K247" s="0" t="n">
        <v>15.3881</v>
      </c>
      <c r="M247" s="0" t="s">
        <v>320</v>
      </c>
      <c r="N247" s="0" t="n">
        <v>15.6713</v>
      </c>
      <c r="P247" s="0" t="s">
        <v>320</v>
      </c>
      <c r="Q247" s="0" t="n">
        <v>15.4908</v>
      </c>
      <c r="S247" s="0" t="s">
        <v>320</v>
      </c>
      <c r="T247" s="0" t="n">
        <v>15.5023</v>
      </c>
    </row>
    <row r="248" customFormat="false" ht="13.8" hidden="false" customHeight="false" outlineLevel="0" collapsed="false">
      <c r="G248" s="0" t="s">
        <v>321</v>
      </c>
      <c r="H248" s="0" t="n">
        <v>15.5699</v>
      </c>
      <c r="J248" s="0" t="s">
        <v>321</v>
      </c>
      <c r="K248" s="0" t="n">
        <v>15.3884</v>
      </c>
      <c r="M248" s="0" t="s">
        <v>321</v>
      </c>
      <c r="N248" s="0" t="n">
        <v>15.6756</v>
      </c>
      <c r="P248" s="0" t="s">
        <v>321</v>
      </c>
      <c r="Q248" s="0" t="n">
        <v>15.4581</v>
      </c>
      <c r="S248" s="0" t="s">
        <v>321</v>
      </c>
      <c r="T248" s="0" t="n">
        <v>15.5295</v>
      </c>
    </row>
    <row r="249" customFormat="false" ht="13.8" hidden="false" customHeight="false" outlineLevel="0" collapsed="false">
      <c r="G249" s="0" t="s">
        <v>322</v>
      </c>
      <c r="H249" s="0" t="n">
        <v>15.547</v>
      </c>
      <c r="J249" s="0" t="s">
        <v>322</v>
      </c>
      <c r="K249" s="0" t="n">
        <v>15.3865</v>
      </c>
      <c r="M249" s="0" t="s">
        <v>322</v>
      </c>
      <c r="N249" s="0" t="n">
        <v>15.6711</v>
      </c>
      <c r="P249" s="0" t="s">
        <v>322</v>
      </c>
      <c r="Q249" s="0" t="n">
        <v>15.4651</v>
      </c>
      <c r="S249" s="0" t="s">
        <v>322</v>
      </c>
      <c r="T249" s="0" t="n">
        <v>15.4974</v>
      </c>
    </row>
    <row r="250" customFormat="false" ht="13.8" hidden="false" customHeight="false" outlineLevel="0" collapsed="false">
      <c r="G250" s="0" t="s">
        <v>323</v>
      </c>
      <c r="H250" s="0" t="n">
        <v>15.5547</v>
      </c>
      <c r="J250" s="0" t="s">
        <v>323</v>
      </c>
      <c r="K250" s="0" t="n">
        <v>15.3689</v>
      </c>
      <c r="M250" s="0" t="s">
        <v>323</v>
      </c>
      <c r="N250" s="0" t="n">
        <v>15.6604</v>
      </c>
      <c r="P250" s="0" t="s">
        <v>323</v>
      </c>
      <c r="Q250" s="0" t="n">
        <v>15.4577</v>
      </c>
      <c r="S250" s="0" t="s">
        <v>323</v>
      </c>
      <c r="T250" s="0" t="n">
        <v>15.5087</v>
      </c>
    </row>
    <row r="251" customFormat="false" ht="13.8" hidden="false" customHeight="false" outlineLevel="0" collapsed="false">
      <c r="G251" s="0" t="s">
        <v>324</v>
      </c>
      <c r="H251" s="0" t="n">
        <v>15.5331</v>
      </c>
      <c r="J251" s="0" t="s">
        <v>324</v>
      </c>
      <c r="K251" s="0" t="n">
        <v>15.3812</v>
      </c>
      <c r="M251" s="0" t="s">
        <v>324</v>
      </c>
      <c r="N251" s="0" t="n">
        <v>15.6473</v>
      </c>
      <c r="P251" s="0" t="s">
        <v>324</v>
      </c>
      <c r="Q251" s="0" t="n">
        <v>15.4505</v>
      </c>
      <c r="S251" s="0" t="s">
        <v>324</v>
      </c>
      <c r="T251" s="0" t="n">
        <v>15.4739</v>
      </c>
    </row>
    <row r="252" customFormat="false" ht="13.8" hidden="false" customHeight="false" outlineLevel="0" collapsed="false">
      <c r="G252" s="0" t="s">
        <v>325</v>
      </c>
      <c r="H252" s="0" t="n">
        <v>15.517</v>
      </c>
      <c r="J252" s="0" t="s">
        <v>325</v>
      </c>
      <c r="K252" s="0" t="n">
        <v>15.3647</v>
      </c>
      <c r="M252" s="0" t="s">
        <v>325</v>
      </c>
      <c r="N252" s="0" t="n">
        <v>15.6519</v>
      </c>
      <c r="P252" s="0" t="s">
        <v>325</v>
      </c>
      <c r="Q252" s="0" t="n">
        <v>15.4298</v>
      </c>
      <c r="S252" s="0" t="s">
        <v>325</v>
      </c>
      <c r="T252" s="0" t="n">
        <v>15.4629</v>
      </c>
    </row>
    <row r="253" customFormat="false" ht="13.8" hidden="false" customHeight="false" outlineLevel="0" collapsed="false">
      <c r="G253" s="0" t="s">
        <v>326</v>
      </c>
      <c r="H253" s="0" t="n">
        <v>15.5318</v>
      </c>
      <c r="J253" s="0" t="s">
        <v>326</v>
      </c>
      <c r="K253" s="0" t="n">
        <v>15.3411</v>
      </c>
      <c r="M253" s="0" t="s">
        <v>326</v>
      </c>
      <c r="N253" s="0" t="n">
        <v>15.632</v>
      </c>
      <c r="P253" s="0" t="s">
        <v>326</v>
      </c>
      <c r="Q253" s="0" t="n">
        <v>15.4203</v>
      </c>
      <c r="S253" s="0" t="s">
        <v>326</v>
      </c>
      <c r="T253" s="0" t="n">
        <v>15.4695</v>
      </c>
    </row>
    <row r="254" customFormat="false" ht="13.8" hidden="false" customHeight="false" outlineLevel="0" collapsed="false">
      <c r="G254" s="0" t="s">
        <v>327</v>
      </c>
      <c r="H254" s="0" t="n">
        <v>29.8327</v>
      </c>
      <c r="J254" s="0" t="s">
        <v>327</v>
      </c>
      <c r="K254" s="0" t="n">
        <v>29.9758</v>
      </c>
      <c r="M254" s="0" t="s">
        <v>327</v>
      </c>
      <c r="N254" s="0" t="n">
        <v>29.9452</v>
      </c>
      <c r="P254" s="0" t="s">
        <v>327</v>
      </c>
      <c r="Q254" s="0" t="n">
        <v>29.9277</v>
      </c>
      <c r="S254" s="0" t="s">
        <v>327</v>
      </c>
      <c r="T254" s="0" t="n">
        <v>29.8545</v>
      </c>
    </row>
    <row r="255" customFormat="false" ht="13.8" hidden="false" customHeight="false" outlineLevel="0" collapsed="false">
      <c r="G255" s="0" t="s">
        <v>328</v>
      </c>
      <c r="H255" s="0" t="n">
        <v>29.7962</v>
      </c>
      <c r="J255" s="0" t="s">
        <v>328</v>
      </c>
      <c r="K255" s="0" t="n">
        <v>29.9987</v>
      </c>
      <c r="M255" s="0" t="s">
        <v>328</v>
      </c>
      <c r="N255" s="0" t="n">
        <v>29.9101</v>
      </c>
      <c r="P255" s="0" t="s">
        <v>328</v>
      </c>
      <c r="Q255" s="0" t="n">
        <v>29.9289</v>
      </c>
      <c r="S255" s="0" t="s">
        <v>328</v>
      </c>
      <c r="T255" s="0" t="n">
        <v>29.8548</v>
      </c>
    </row>
    <row r="256" customFormat="false" ht="13.8" hidden="false" customHeight="false" outlineLevel="0" collapsed="false">
      <c r="G256" s="0" t="s">
        <v>329</v>
      </c>
      <c r="H256" s="0" t="n">
        <v>29.8057</v>
      </c>
      <c r="J256" s="0" t="s">
        <v>329</v>
      </c>
      <c r="K256" s="0" t="n">
        <v>29.9731</v>
      </c>
      <c r="M256" s="0" t="s">
        <v>329</v>
      </c>
      <c r="N256" s="0" t="n">
        <v>29.9246</v>
      </c>
      <c r="P256" s="0" t="s">
        <v>329</v>
      </c>
      <c r="Q256" s="0" t="n">
        <v>29.89</v>
      </c>
      <c r="S256" s="0" t="s">
        <v>329</v>
      </c>
      <c r="T256" s="0" t="n">
        <v>29.8669</v>
      </c>
    </row>
    <row r="257" customFormat="false" ht="13.8" hidden="false" customHeight="false" outlineLevel="0" collapsed="false">
      <c r="G257" s="0" t="s">
        <v>330</v>
      </c>
      <c r="H257" s="0" t="n">
        <v>29.7962</v>
      </c>
      <c r="J257" s="0" t="s">
        <v>330</v>
      </c>
      <c r="K257" s="0" t="n">
        <v>29.9309</v>
      </c>
      <c r="M257" s="0" t="s">
        <v>330</v>
      </c>
      <c r="N257" s="0" t="n">
        <v>29.9178</v>
      </c>
      <c r="P257" s="0" t="s">
        <v>330</v>
      </c>
      <c r="Q257" s="0" t="n">
        <v>29.923</v>
      </c>
      <c r="S257" s="0" t="s">
        <v>330</v>
      </c>
      <c r="T257" s="0" t="n">
        <v>29.833</v>
      </c>
    </row>
    <row r="258" customFormat="false" ht="13.8" hidden="false" customHeight="false" outlineLevel="0" collapsed="false">
      <c r="G258" s="0" t="s">
        <v>331</v>
      </c>
      <c r="H258" s="0" t="n">
        <v>29.8455</v>
      </c>
      <c r="J258" s="0" t="s">
        <v>331</v>
      </c>
      <c r="K258" s="0" t="n">
        <v>29.9419</v>
      </c>
      <c r="M258" s="0" t="s">
        <v>331</v>
      </c>
      <c r="N258" s="0" t="n">
        <v>29.9335</v>
      </c>
      <c r="P258" s="0" t="s">
        <v>331</v>
      </c>
      <c r="Q258" s="0" t="n">
        <v>29.8914</v>
      </c>
      <c r="S258" s="0" t="s">
        <v>331</v>
      </c>
      <c r="T258" s="0" t="n">
        <v>29.819</v>
      </c>
    </row>
    <row r="259" customFormat="false" ht="13.8" hidden="false" customHeight="false" outlineLevel="0" collapsed="false">
      <c r="G259" s="0" t="s">
        <v>332</v>
      </c>
      <c r="H259" s="0" t="n">
        <v>29.7861</v>
      </c>
      <c r="J259" s="0" t="s">
        <v>332</v>
      </c>
      <c r="K259" s="0" t="n">
        <v>29.9626</v>
      </c>
      <c r="M259" s="0" t="s">
        <v>332</v>
      </c>
      <c r="N259" s="0" t="n">
        <v>29.9087</v>
      </c>
      <c r="P259" s="0" t="s">
        <v>332</v>
      </c>
      <c r="Q259" s="0" t="n">
        <v>29.8957</v>
      </c>
      <c r="S259" s="0" t="s">
        <v>332</v>
      </c>
      <c r="T259" s="0" t="n">
        <v>29.7983</v>
      </c>
    </row>
    <row r="260" customFormat="false" ht="13.8" hidden="false" customHeight="false" outlineLevel="0" collapsed="false">
      <c r="G260" s="0" t="s">
        <v>333</v>
      </c>
      <c r="H260" s="0" t="n">
        <v>29.7691</v>
      </c>
      <c r="J260" s="0" t="s">
        <v>333</v>
      </c>
      <c r="K260" s="0" t="n">
        <v>29.9175</v>
      </c>
      <c r="M260" s="0" t="s">
        <v>333</v>
      </c>
      <c r="N260" s="0" t="n">
        <v>29.9333</v>
      </c>
      <c r="P260" s="0" t="s">
        <v>333</v>
      </c>
      <c r="Q260" s="0" t="n">
        <v>29.8976</v>
      </c>
      <c r="S260" s="0" t="s">
        <v>333</v>
      </c>
      <c r="T260" s="0" t="n">
        <v>29.8346</v>
      </c>
    </row>
    <row r="261" customFormat="false" ht="13.8" hidden="false" customHeight="false" outlineLevel="0" collapsed="false">
      <c r="G261" s="0" t="s">
        <v>334</v>
      </c>
      <c r="H261" s="0" t="n">
        <v>29.7818</v>
      </c>
      <c r="J261" s="0" t="s">
        <v>334</v>
      </c>
      <c r="K261" s="0" t="n">
        <v>29.9595</v>
      </c>
      <c r="M261" s="0" t="s">
        <v>334</v>
      </c>
      <c r="N261" s="0" t="n">
        <v>29.8856</v>
      </c>
      <c r="P261" s="0" t="s">
        <v>334</v>
      </c>
      <c r="Q261" s="0" t="n">
        <v>29.9054</v>
      </c>
      <c r="S261" s="0" t="s">
        <v>334</v>
      </c>
      <c r="T261" s="0" t="n">
        <v>29.8257</v>
      </c>
    </row>
    <row r="262" customFormat="false" ht="13.8" hidden="false" customHeight="false" outlineLevel="0" collapsed="false">
      <c r="G262" s="0" t="s">
        <v>335</v>
      </c>
      <c r="H262" s="0" t="n">
        <v>29.8239</v>
      </c>
      <c r="J262" s="0" t="s">
        <v>335</v>
      </c>
      <c r="K262" s="0" t="n">
        <v>29.9646</v>
      </c>
      <c r="M262" s="0" t="s">
        <v>335</v>
      </c>
      <c r="N262" s="0" t="n">
        <v>29.9021</v>
      </c>
      <c r="P262" s="0" t="s">
        <v>335</v>
      </c>
      <c r="Q262" s="0" t="n">
        <v>29.9588</v>
      </c>
      <c r="S262" s="0" t="s">
        <v>335</v>
      </c>
      <c r="T262" s="0" t="n">
        <v>29.8119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2.75" customHeight="false" zeroHeight="false" outlineLevelRow="0" outlineLevelCol="0"/>
  <cols>
    <col collapsed="false" customWidth="true" hidden="false" outlineLevel="0" max="7" min="1" style="0" width="12.15"/>
    <col collapsed="false" customWidth="true" hidden="false" outlineLevel="0" max="8" min="8" style="0" width="11.43"/>
  </cols>
  <sheetData>
    <row r="1" customFormat="false" ht="13.8" hidden="false" customHeight="false" outlineLevel="0" collapsed="false">
      <c r="A1" s="0" t="s">
        <v>336</v>
      </c>
      <c r="B1" s="0" t="s">
        <v>14</v>
      </c>
      <c r="C1" s="0" t="s">
        <v>337</v>
      </c>
      <c r="D1" s="0" t="s">
        <v>338</v>
      </c>
      <c r="E1" s="0" t="s">
        <v>339</v>
      </c>
      <c r="F1" s="0" t="s">
        <v>340</v>
      </c>
      <c r="G1" s="0" t="s">
        <v>341</v>
      </c>
    </row>
    <row r="2" customFormat="false" ht="13.8" hidden="false" customHeight="false" outlineLevel="0" collapsed="false">
      <c r="A2" s="0" t="n">
        <v>1</v>
      </c>
      <c r="B2" s="0" t="n">
        <f aca="false">-465-300*$A2*$A2</f>
        <v>-765</v>
      </c>
      <c r="C2" s="0" t="n">
        <f aca="false">-465-300*$A2*($A2-1)</f>
        <v>-465</v>
      </c>
      <c r="D2" s="0" t="n">
        <f aca="false">-465-150*$A2*(2*$A2-1)</f>
        <v>-615</v>
      </c>
      <c r="E2" s="0" t="n">
        <f aca="false">-465-150*$A2*$A2</f>
        <v>-615</v>
      </c>
      <c r="F2" s="1" t="n">
        <f aca="false">C2/B2-1</f>
        <v>-0.392156862745098</v>
      </c>
      <c r="G2" s="1" t="n">
        <f aca="false">D2/B2-1</f>
        <v>-0.196078431372549</v>
      </c>
    </row>
    <row r="3" customFormat="false" ht="13.8" hidden="false" customHeight="false" outlineLevel="0" collapsed="false">
      <c r="A3" s="0" t="n">
        <f aca="false">1+A2</f>
        <v>2</v>
      </c>
      <c r="B3" s="0" t="n">
        <f aca="false">-465-300*$A3*$A3</f>
        <v>-1665</v>
      </c>
      <c r="C3" s="0" t="n">
        <f aca="false">-465-300*$A3*($A3-1)</f>
        <v>-1065</v>
      </c>
      <c r="D3" s="0" t="n">
        <f aca="false">-465-150*$A3*(2*$A3-1)</f>
        <v>-1365</v>
      </c>
      <c r="E3" s="0" t="n">
        <f aca="false">-465-150*$A3*$A3</f>
        <v>-1065</v>
      </c>
      <c r="F3" s="1" t="n">
        <f aca="false">C3/B3-1</f>
        <v>-0.36036036036036</v>
      </c>
      <c r="G3" s="1" t="n">
        <f aca="false">D3/B3-1</f>
        <v>-0.18018018018018</v>
      </c>
    </row>
    <row r="4" customFormat="false" ht="13.8" hidden="false" customHeight="false" outlineLevel="0" collapsed="false">
      <c r="A4" s="0" t="n">
        <f aca="false">1+A3</f>
        <v>3</v>
      </c>
      <c r="B4" s="0" t="n">
        <f aca="false">-465-300*$A4*$A4</f>
        <v>-3165</v>
      </c>
      <c r="C4" s="0" t="n">
        <f aca="false">-465-300*$A4*($A4-1)</f>
        <v>-2265</v>
      </c>
      <c r="D4" s="0" t="n">
        <f aca="false">-465-150*$A4*(2*$A4-1)</f>
        <v>-2715</v>
      </c>
      <c r="E4" s="0" t="n">
        <f aca="false">-465-150*$A4*$A4</f>
        <v>-1815</v>
      </c>
      <c r="F4" s="1" t="n">
        <f aca="false">C4/B4-1</f>
        <v>-0.28436018957346</v>
      </c>
      <c r="G4" s="1" t="n">
        <f aca="false">D4/B4-1</f>
        <v>-0.14218009478673</v>
      </c>
    </row>
    <row r="5" customFormat="false" ht="13.8" hidden="false" customHeight="false" outlineLevel="0" collapsed="false">
      <c r="A5" s="0" t="n">
        <f aca="false">1+A4</f>
        <v>4</v>
      </c>
      <c r="B5" s="0" t="n">
        <f aca="false">-465-300*$A5*$A5</f>
        <v>-5265</v>
      </c>
      <c r="C5" s="0" t="n">
        <f aca="false">-465-300*$A5*($A5-1)</f>
        <v>-4065</v>
      </c>
      <c r="D5" s="0" t="n">
        <f aca="false">-465-150*$A5*(2*$A5-1)</f>
        <v>-4665</v>
      </c>
      <c r="E5" s="0" t="n">
        <f aca="false">-465-150*$A5*$A5</f>
        <v>-2865</v>
      </c>
      <c r="F5" s="1" t="n">
        <f aca="false">C5/B5-1</f>
        <v>-0.227920227920228</v>
      </c>
      <c r="G5" s="1" t="n">
        <f aca="false">D5/B5-1</f>
        <v>-0.113960113960114</v>
      </c>
    </row>
    <row r="6" customFormat="false" ht="13.8" hidden="false" customHeight="false" outlineLevel="0" collapsed="false">
      <c r="A6" s="0" t="n">
        <f aca="false">1+A5</f>
        <v>5</v>
      </c>
      <c r="B6" s="0" t="n">
        <f aca="false">-465-300*$A6*$A6</f>
        <v>-7965</v>
      </c>
      <c r="C6" s="0" t="n">
        <f aca="false">-465-300*$A6*($A6-1)</f>
        <v>-6465</v>
      </c>
      <c r="D6" s="0" t="n">
        <f aca="false">-465-150*$A6*(2*$A6-1)</f>
        <v>-7215</v>
      </c>
      <c r="E6" s="0" t="n">
        <f aca="false">-465-150*$A6*$A6</f>
        <v>-4215</v>
      </c>
      <c r="F6" s="1" t="n">
        <f aca="false">C6/B6-1</f>
        <v>-0.188323917137476</v>
      </c>
      <c r="G6" s="1" t="n">
        <f aca="false">D6/B6-1</f>
        <v>-0.0941619585687382</v>
      </c>
    </row>
    <row r="7" customFormat="false" ht="13.8" hidden="false" customHeight="false" outlineLevel="0" collapsed="false">
      <c r="A7" s="0" t="n">
        <f aca="false">1+A6</f>
        <v>6</v>
      </c>
      <c r="B7" s="0" t="n">
        <f aca="false">-465-300*$A7*$A7</f>
        <v>-11265</v>
      </c>
      <c r="C7" s="0" t="n">
        <f aca="false">-465-300*$A7*($A7-1)</f>
        <v>-9465</v>
      </c>
      <c r="D7" s="0" t="n">
        <f aca="false">-465-150*$A7*(2*$A7-1)</f>
        <v>-10365</v>
      </c>
      <c r="E7" s="0" t="n">
        <f aca="false">-465-150*$A7*$A7</f>
        <v>-5865</v>
      </c>
      <c r="F7" s="1" t="n">
        <f aca="false">C7/B7-1</f>
        <v>-0.159786950732357</v>
      </c>
      <c r="G7" s="1" t="n">
        <f aca="false">D7/B7-1</f>
        <v>-0.0798934753661784</v>
      </c>
    </row>
    <row r="8" customFormat="false" ht="13.8" hidden="false" customHeight="false" outlineLevel="0" collapsed="false">
      <c r="A8" s="0" t="n">
        <f aca="false">1+A7</f>
        <v>7</v>
      </c>
      <c r="B8" s="0" t="n">
        <f aca="false">-465-300*$A8*$A8</f>
        <v>-15165</v>
      </c>
      <c r="C8" s="0" t="n">
        <f aca="false">-465-300*$A8*($A8-1)</f>
        <v>-13065</v>
      </c>
      <c r="D8" s="0" t="n">
        <f aca="false">-465-150*$A8*(2*$A8-1)</f>
        <v>-14115</v>
      </c>
      <c r="E8" s="0" t="n">
        <f aca="false">-465-150*$A8*$A8</f>
        <v>-7815</v>
      </c>
      <c r="F8" s="1" t="n">
        <f aca="false">C8/B8-1</f>
        <v>-0.138476755687438</v>
      </c>
      <c r="G8" s="1" t="n">
        <f aca="false">D8/B8-1</f>
        <v>-0.0692383778437191</v>
      </c>
    </row>
    <row r="9" customFormat="false" ht="13.8" hidden="false" customHeight="false" outlineLevel="0" collapsed="false">
      <c r="A9" s="0" t="n">
        <f aca="false">1+A8</f>
        <v>8</v>
      </c>
      <c r="B9" s="0" t="n">
        <f aca="false">-465-300*$A9*$A9</f>
        <v>-19665</v>
      </c>
      <c r="C9" s="0" t="n">
        <f aca="false">-465-300*$A9*($A9-1)</f>
        <v>-17265</v>
      </c>
      <c r="D9" s="0" t="n">
        <f aca="false">-465-150*$A9*(2*$A9-1)</f>
        <v>-18465</v>
      </c>
      <c r="E9" s="0" t="n">
        <f aca="false">-465-150*$A9*$A9</f>
        <v>-10065</v>
      </c>
      <c r="F9" s="1" t="n">
        <f aca="false">C9/B9-1</f>
        <v>-0.122044241037376</v>
      </c>
      <c r="G9" s="1" t="n">
        <f aca="false">D9/B9-1</f>
        <v>-0.0610221205186881</v>
      </c>
    </row>
    <row r="10" customFormat="false" ht="13.8" hidden="false" customHeight="false" outlineLevel="0" collapsed="false">
      <c r="A10" s="0" t="n">
        <f aca="false">1+A9</f>
        <v>9</v>
      </c>
      <c r="B10" s="0" t="n">
        <f aca="false">-465-300*$A10*$A10</f>
        <v>-24765</v>
      </c>
      <c r="C10" s="0" t="n">
        <f aca="false">-465-300*$A10*($A10-1)</f>
        <v>-22065</v>
      </c>
      <c r="D10" s="0" t="n">
        <f aca="false">-465-150*$A10*(2*$A10-1)</f>
        <v>-23415</v>
      </c>
      <c r="E10" s="0" t="n">
        <f aca="false">-465-150*$A10*$A10</f>
        <v>-12615</v>
      </c>
      <c r="F10" s="1" t="n">
        <f aca="false">C10/B10-1</f>
        <v>-0.109024833434282</v>
      </c>
      <c r="G10" s="1" t="n">
        <f aca="false">D10/B10-1</f>
        <v>-0.0545124167171411</v>
      </c>
    </row>
    <row r="11" customFormat="false" ht="13.8" hidden="false" customHeight="false" outlineLevel="0" collapsed="false">
      <c r="A11" s="0" t="n">
        <f aca="false">1+A10</f>
        <v>10</v>
      </c>
      <c r="B11" s="0" t="n">
        <f aca="false">-465-300*$A11*$A11</f>
        <v>-30465</v>
      </c>
      <c r="C11" s="0" t="n">
        <f aca="false">-465-300*$A11*($A11-1)</f>
        <v>-27465</v>
      </c>
      <c r="D11" s="0" t="n">
        <f aca="false">-465-150*$A11*(2*$A11-1)</f>
        <v>-28965</v>
      </c>
      <c r="E11" s="0" t="n">
        <f aca="false">-465-150*$A11*$A11</f>
        <v>-15465</v>
      </c>
      <c r="F11" s="1" t="n">
        <f aca="false">C11/B11-1</f>
        <v>-0.0984736582964058</v>
      </c>
      <c r="G11" s="1" t="n">
        <f aca="false">D11/B11-1</f>
        <v>-0.0492368291482028</v>
      </c>
    </row>
    <row r="12" customFormat="false" ht="13.8" hidden="false" customHeight="false" outlineLevel="0" collapsed="false">
      <c r="A12" s="0" t="n">
        <f aca="false">1+A11</f>
        <v>11</v>
      </c>
      <c r="B12" s="0" t="n">
        <f aca="false">-465-300*$A12*$A12</f>
        <v>-36765</v>
      </c>
      <c r="C12" s="0" t="n">
        <f aca="false">-465-300*$A12*($A12-1)</f>
        <v>-33465</v>
      </c>
      <c r="D12" s="0" t="n">
        <f aca="false">-465-150*$A12*(2*$A12-1)</f>
        <v>-35115</v>
      </c>
      <c r="E12" s="0" t="n">
        <f aca="false">-465-150*$A12*$A12</f>
        <v>-18615</v>
      </c>
      <c r="F12" s="1" t="n">
        <f aca="false">C12/B12-1</f>
        <v>-0.0897592819257446</v>
      </c>
      <c r="G12" s="1" t="n">
        <f aca="false">D12/B12-1</f>
        <v>-0.0448796409628723</v>
      </c>
    </row>
    <row r="13" customFormat="false" ht="13.8" hidden="false" customHeight="false" outlineLevel="0" collapsed="false">
      <c r="A13" s="0" t="n">
        <f aca="false">1+A12</f>
        <v>12</v>
      </c>
      <c r="B13" s="0" t="n">
        <f aca="false">-465-300*$A13*$A13</f>
        <v>-43665</v>
      </c>
      <c r="C13" s="0" t="n">
        <f aca="false">-465-300*$A13*($A13-1)</f>
        <v>-40065</v>
      </c>
      <c r="D13" s="0" t="n">
        <f aca="false">-465-150*$A13*(2*$A13-1)</f>
        <v>-41865</v>
      </c>
      <c r="E13" s="0" t="n">
        <f aca="false">-465-150*$A13*$A13</f>
        <v>-22065</v>
      </c>
      <c r="F13" s="1" t="n">
        <f aca="false">C13/B13-1</f>
        <v>-0.082445894881484</v>
      </c>
      <c r="G13" s="1" t="n">
        <f aca="false">D13/B13-1</f>
        <v>-0.0412229474407421</v>
      </c>
    </row>
    <row r="14" customFormat="false" ht="13.8" hidden="false" customHeight="false" outlineLevel="0" collapsed="false">
      <c r="A14" s="0" t="n">
        <f aca="false">1+A13</f>
        <v>13</v>
      </c>
      <c r="B14" s="0" t="n">
        <f aca="false">-465-300*$A14*$A14</f>
        <v>-51165</v>
      </c>
      <c r="C14" s="0" t="n">
        <f aca="false">-465-300*$A14*($A14-1)</f>
        <v>-47265</v>
      </c>
      <c r="D14" s="0" t="n">
        <f aca="false">-465-150*$A14*(2*$A14-1)</f>
        <v>-49215</v>
      </c>
      <c r="E14" s="0" t="n">
        <f aca="false">-465-150*$A14*$A14</f>
        <v>-25815</v>
      </c>
      <c r="F14" s="1" t="n">
        <f aca="false">C14/B14-1</f>
        <v>-0.0762239812371739</v>
      </c>
      <c r="G14" s="1" t="n">
        <f aca="false">D14/B14-1</f>
        <v>-0.0381119906185869</v>
      </c>
    </row>
    <row r="15" customFormat="false" ht="13.8" hidden="false" customHeight="false" outlineLevel="0" collapsed="false">
      <c r="A15" s="0" t="n">
        <f aca="false">1+A14</f>
        <v>14</v>
      </c>
      <c r="B15" s="0" t="n">
        <f aca="false">-465-300*$A15*$A15</f>
        <v>-59265</v>
      </c>
      <c r="C15" s="0" t="n">
        <f aca="false">-465-300*$A15*($A15-1)</f>
        <v>-55065</v>
      </c>
      <c r="D15" s="0" t="n">
        <f aca="false">-465-150*$A15*(2*$A15-1)</f>
        <v>-57165</v>
      </c>
      <c r="E15" s="0" t="n">
        <f aca="false">-465-150*$A15*$A15</f>
        <v>-29865</v>
      </c>
      <c r="F15" s="1" t="n">
        <f aca="false">C15/B15-1</f>
        <v>-0.0708681346494559</v>
      </c>
      <c r="G15" s="1" t="n">
        <f aca="false">D15/B15-1</f>
        <v>-0.0354340673247279</v>
      </c>
    </row>
    <row r="16" customFormat="false" ht="13.8" hidden="false" customHeight="false" outlineLevel="0" collapsed="false">
      <c r="A16" s="0" t="n">
        <f aca="false">1+A15</f>
        <v>15</v>
      </c>
      <c r="B16" s="0" t="n">
        <f aca="false">-465-300*$A16*$A16</f>
        <v>-67965</v>
      </c>
      <c r="C16" s="0" t="n">
        <f aca="false">-465-300*$A16*($A16-1)</f>
        <v>-63465</v>
      </c>
      <c r="D16" s="0" t="n">
        <f aca="false">-465-150*$A16*(2*$A16-1)</f>
        <v>-65715</v>
      </c>
      <c r="E16" s="0" t="n">
        <f aca="false">-465-150*$A16*$A16</f>
        <v>-34215</v>
      </c>
      <c r="F16" s="1" t="n">
        <f aca="false">C16/B16-1</f>
        <v>-0.0662105495475612</v>
      </c>
      <c r="G16" s="1" t="n">
        <f aca="false">D16/B16-1</f>
        <v>-0.0331052747737807</v>
      </c>
    </row>
    <row r="17" customFormat="false" ht="13.8" hidden="false" customHeight="false" outlineLevel="0" collapsed="false"/>
    <row r="18" customFormat="false" ht="13.8" hidden="false" customHeight="false" outlineLevel="0" collapsed="false"/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2026-06-21T01:23:42Z</dcterms:created>
  <dc:creator>Stefan</dc:creator>
  <dc:description/>
  <dc:language>de-DE</dc:language>
  <cp:lastModifiedBy/>
  <dcterms:modified xsi:type="dcterms:W3CDTF">2026-07-21T22:59:45Z</dcterms:modified>
  <cp:revision>125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