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9.xml" ContentType="application/vnd.ms-office.chartcolorstyle+xml"/>
  <Override PartName="/xl/charts/style8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style13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th_stats_ltc_new2" sheetId="1" state="visible" r:id="rId3"/>
    <sheet name="depth_stats_stc_new2" sheetId="2" state="visible" r:id="rId4"/>
    <sheet name="depth_stats_ltc_new" sheetId="3" state="visible" r:id="rId5"/>
    <sheet name="depth_stats_stc_new" sheetId="4" state="visible" r:id="rId6"/>
    <sheet name="depth_stats_ltc" sheetId="5" state="visible" r:id="rId7"/>
    <sheet name="depth_stats_stc" sheetId="6" state="visible" r:id="rId8"/>
    <sheet name="Tabelle4" sheetId="7" state="visible" r:id="rId9"/>
    <sheet name="Tabelle1" sheetId="8" state="visible" r:id="rId10"/>
    <sheet name="allnode" sheetId="9" state="visible" r:id="rId11"/>
    <sheet name="!pvnode" sheetId="10" state="visible" r:id="rId12"/>
    <sheet name="Tabelle5" sheetId="11" state="visible" r:id="rId13"/>
    <sheet name="Tabelle6" sheetId="12" state="visible" r:id="rId14"/>
    <sheet name="Tabelle7" sheetId="13" state="visible" r:id="rId15"/>
  </sheets>
  <definedNames>
    <definedName function="false" hidden="false" localSheetId="6" name="Verbindung1" vbProcedure="false">Tabelle4!$B$2:$C$202</definedName>
    <definedName function="false" hidden="false" localSheetId="6" name="Verbindung2" vbProcedure="false">Tabelle4!$B$2:$C$202</definedName>
    <definedName function="false" hidden="false" localSheetId="11" name="Verbindung2" vbProcedure="false">Tabelle6!$A$2:$B$244</definedName>
    <definedName function="false" hidden="false" localSheetId="11" name="Verbindung3" vbProcedure="false">Tabelle6!$A$2:$B$244</definedName>
    <definedName function="false" hidden="false" localSheetId="11" name="Verbindung4" vbProcedure="false">Tabelle6!$D$2:$E$244</definedName>
    <definedName function="false" hidden="false" localSheetId="11" name="Verbindung5" vbProcedure="false">Tabelle6!$G$2:$H$262</definedName>
    <definedName function="false" hidden="false" localSheetId="11" name="Verbindung6" vbProcedure="false">Tabelle6!$J$2:$K$262</definedName>
    <definedName function="false" hidden="false" localSheetId="11" name="Verbindung7" vbProcedure="false">Tabelle6!$M$2:$N$262</definedName>
    <definedName function="false" hidden="false" localSheetId="11" name="Verbindung8" vbProcedure="false">Tabelle6!$P$2:$Q$262</definedName>
    <definedName function="false" hidden="false" localSheetId="11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<sst xmlns="http://schemas.openxmlformats.org/spreadsheetml/2006/main" count="1917" uniqueCount="330">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</sst>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A5A5A5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08000"/>
      <rgbColor rgb="FF800080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depth_stats_ltc_new2!$K$1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depth_stats_ltc_new2!$K$2:$K$65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depth_stats_ltc_new2!$M$1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depth_stats_ltc_new2!$M$2:$M$65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depth_stats_ltc_new2!$L$1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depth_stats_ltc_new2!$L$2:$L$65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14184750"/>
        <c:axId val="48673001"/>
      </c:scatterChart>
      <c:valAx>
        <c:axId val="1418475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8673001"/>
        <c:crosses val="autoZero"/>
        <c:crossBetween val="between"/>
      </c:valAx>
      <c:valAx>
        <c:axId val="4867300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4184750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depth_stats_stc_new2!$S$1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depth_stats_stc_new2!$S$2:$S$65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depth_stats_stc_new2!$AB$1</c:f>
              <c:strCache>
                <c:ptCount val="1"/>
                <c:pt idx="0">
                  <c:v>w-p=-2,61718361969143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depth_stats_stc_new2!$AB$2:$AB$65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depth_stats_stc_new2!$AA$1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depth_stats_stc_new2!$Z$1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depth_stats_stc_new2!$Z$2:$Z$65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depth_stats_stc_new2!$Y$1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depth_stats_stc_new2!$Y$2:$Y$65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depth_stats_stc_new2!$X$1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depth_stats_stc_new2!$X$2:$X$65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depth_stats_stc_new2!$W$1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depth_stats_stc_new2!$W$2:$W$65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depth_stats_stc_new2!$V$1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depth_stats_stc_new2!$V$2:$V$65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depth_stats_stc_new2!$U$1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depth_stats_stc_new2!$U$2:$U$65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depth_stats_stc_new2!$T$1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depth_stats_stc_new2!$T$2:$T$65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95384431"/>
        <c:axId val="11854953"/>
      </c:scatterChart>
      <c:valAx>
        <c:axId val="953844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11854953"/>
        <c:crosses val="autoZero"/>
        <c:crossBetween val="between"/>
      </c:valAx>
      <c:valAx>
        <c:axId val="118549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5384431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39853584"/>
        <c:axId val="57706798"/>
      </c:scatterChart>
      <c:valAx>
        <c:axId val="3985358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7706798"/>
        <c:crosses val="autoZero"/>
        <c:crossBetween val="midCat"/>
      </c:valAx>
      <c:valAx>
        <c:axId val="577067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985358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35497878"/>
        <c:axId val="1072254"/>
      </c:scatterChart>
      <c:valAx>
        <c:axId val="3549787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072254"/>
        <c:crosses val="autoZero"/>
        <c:crossBetween val="midCat"/>
      </c:valAx>
      <c:valAx>
        <c:axId val="107225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549787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76450380"/>
        <c:axId val="57150135"/>
      </c:scatterChart>
      <c:valAx>
        <c:axId val="7645038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7150135"/>
        <c:crosses val="autoZero"/>
        <c:crossBetween val="midCat"/>
      </c:valAx>
      <c:valAx>
        <c:axId val="5715013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645038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80935466"/>
        <c:axId val="71458712"/>
      </c:scatterChart>
      <c:valAx>
        <c:axId val="8093546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1458712"/>
        <c:crosses val="autoZero"/>
        <c:crossBetween val="midCat"/>
      </c:valAx>
      <c:valAx>
        <c:axId val="71458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093546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42125229"/>
        <c:axId val="88930500"/>
      </c:scatterChart>
      <c:valAx>
        <c:axId val="4212522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8930500"/>
        <c:crosses val="autoZero"/>
        <c:crossBetween val="midCat"/>
      </c:valAx>
      <c:valAx>
        <c:axId val="889305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12522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16540280"/>
        <c:axId val="22159889"/>
      </c:scatterChart>
      <c:valAx>
        <c:axId val="1654028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159889"/>
        <c:crosses val="autoZero"/>
        <c:crossBetween val="midCat"/>
      </c:valAx>
      <c:valAx>
        <c:axId val="221598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654028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93548647"/>
        <c:axId val="25581549"/>
      </c:scatterChart>
      <c:valAx>
        <c:axId val="9354864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5581549"/>
        <c:crosses val="autoZero"/>
        <c:crossBetween val="midCat"/>
      </c:valAx>
      <c:valAx>
        <c:axId val="2558154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354864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92278380"/>
        <c:axId val="57074038"/>
      </c:scatterChart>
      <c:valAx>
        <c:axId val="9227838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7074038"/>
        <c:crosses val="autoZero"/>
        <c:crossBetween val="midCat"/>
      </c:valAx>
      <c:valAx>
        <c:axId val="5707403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227838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78259782473"/>
          <c:y val="0.04004004004004"/>
          <c:w val="0.873796724590574"/>
          <c:h val="0.959737515293071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16650014"/>
        <c:axId val="12252954"/>
      </c:scatterChart>
      <c:valAx>
        <c:axId val="166500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252954"/>
        <c:crossesAt val="0"/>
        <c:crossBetween val="midCat"/>
      </c:valAx>
      <c:valAx>
        <c:axId val="1225295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65001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92422537"/>
        <c:axId val="42961548"/>
      </c:scatterChart>
      <c:valAx>
        <c:axId val="924225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961548"/>
        <c:crossesAt val="0"/>
        <c:crossBetween val="midCat"/>
      </c:valAx>
      <c:valAx>
        <c:axId val="4296154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42253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13559308"/>
        <c:axId val="10604508"/>
      </c:scatterChart>
      <c:valAx>
        <c:axId val="135593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604508"/>
        <c:crossesAt val="0"/>
        <c:crossBetween val="midCat"/>
      </c:valAx>
      <c:valAx>
        <c:axId val="1060450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559308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89397925"/>
        <c:axId val="5074549"/>
      </c:scatterChart>
      <c:valAx>
        <c:axId val="893979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74549"/>
        <c:crossesAt val="0"/>
        <c:crossBetween val="midCat"/>
      </c:valAx>
      <c:valAx>
        <c:axId val="507454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39792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81144714"/>
        <c:axId val="99323325"/>
      </c:scatterChart>
      <c:valAx>
        <c:axId val="811447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323325"/>
        <c:crossesAt val="0"/>
        <c:crossBetween val="midCat"/>
      </c:valAx>
      <c:valAx>
        <c:axId val="9932332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14471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398674834354"/>
          <c:y val="0.0400444938820912"/>
          <c:w val="0.778222277784723"/>
          <c:h val="0.959733036707453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34104833"/>
        <c:axId val="33646622"/>
      </c:scatterChart>
      <c:valAx>
        <c:axId val="341048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646622"/>
        <c:crossesAt val="0"/>
        <c:crossBetween val="midCat"/>
      </c:valAx>
      <c:valAx>
        <c:axId val="3364662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410483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42918317"/>
        <c:axId val="61382674"/>
      </c:scatterChart>
      <c:valAx>
        <c:axId val="429183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382674"/>
        <c:crossesAt val="0"/>
        <c:crossBetween val="midCat"/>
      </c:valAx>
      <c:valAx>
        <c:axId val="6138267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91831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120600</xdr:colOff>
      <xdr:row>1</xdr:row>
      <xdr:rowOff>95760</xdr:rowOff>
    </xdr:from>
    <xdr:to>
      <xdr:col>24</xdr:col>
      <xdr:colOff>727920</xdr:colOff>
      <xdr:row>29</xdr:row>
      <xdr:rowOff>135360</xdr:rowOff>
    </xdr:to>
    <xdr:graphicFrame>
      <xdr:nvGraphicFramePr>
        <xdr:cNvPr id="1" name=""/>
        <xdr:cNvGraphicFramePr/>
      </xdr:nvGraphicFramePr>
      <xdr:xfrm>
        <a:off x="12188160" y="271080"/>
        <a:ext cx="8779680" cy="4946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28</xdr:col>
      <xdr:colOff>132480</xdr:colOff>
      <xdr:row>1</xdr:row>
      <xdr:rowOff>95040</xdr:rowOff>
    </xdr:from>
    <xdr:to>
      <xdr:col>40</xdr:col>
      <xdr:colOff>20880</xdr:colOff>
      <xdr:row>29</xdr:row>
      <xdr:rowOff>150840</xdr:rowOff>
    </xdr:to>
    <xdr:graphicFrame>
      <xdr:nvGraphicFramePr>
        <xdr:cNvPr id="2" name=""/>
        <xdr:cNvGraphicFramePr/>
      </xdr:nvGraphicFramePr>
      <xdr:xfrm>
        <a:off x="26564400" y="270360"/>
        <a:ext cx="8803800" cy="49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218160</xdr:colOff>
      <xdr:row>18</xdr:row>
      <xdr:rowOff>7200</xdr:rowOff>
    </xdr:to>
    <xdr:graphicFrame>
      <xdr:nvGraphicFramePr>
        <xdr:cNvPr id="3" name="Diagramm 2"/>
        <xdr:cNvGraphicFramePr/>
      </xdr:nvGraphicFramePr>
      <xdr:xfrm>
        <a:off x="18893160" y="17460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221040</xdr:colOff>
      <xdr:row>34</xdr:row>
      <xdr:rowOff>181440</xdr:rowOff>
    </xdr:to>
    <xdr:graphicFrame>
      <xdr:nvGraphicFramePr>
        <xdr:cNvPr id="4" name="Diagramm 3"/>
        <xdr:cNvGraphicFramePr/>
      </xdr:nvGraphicFramePr>
      <xdr:xfrm>
        <a:off x="18905400" y="35208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9000</xdr:colOff>
      <xdr:row>16</xdr:row>
      <xdr:rowOff>92160</xdr:rowOff>
    </xdr:to>
    <xdr:graphicFrame>
      <xdr:nvGraphicFramePr>
        <xdr:cNvPr id="5" name="Diagramm 2"/>
        <xdr:cNvGraphicFramePr/>
      </xdr:nvGraphicFramePr>
      <xdr:xfrm>
        <a:off x="39333240" y="11664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53280</xdr:colOff>
      <xdr:row>33</xdr:row>
      <xdr:rowOff>111600</xdr:rowOff>
    </xdr:to>
    <xdr:graphicFrame>
      <xdr:nvGraphicFramePr>
        <xdr:cNvPr id="6" name="Diagramm 3"/>
        <xdr:cNvGraphicFramePr/>
      </xdr:nvGraphicFramePr>
      <xdr:xfrm>
        <a:off x="39324960" y="32320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189360</xdr:colOff>
      <xdr:row>18</xdr:row>
      <xdr:rowOff>168840</xdr:rowOff>
    </xdr:to>
    <xdr:graphicFrame>
      <xdr:nvGraphicFramePr>
        <xdr:cNvPr id="7" name="Diagramm 2"/>
        <xdr:cNvGraphicFramePr/>
      </xdr:nvGraphicFramePr>
      <xdr:xfrm>
        <a:off x="10677960" y="6192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189720</xdr:colOff>
      <xdr:row>38</xdr:row>
      <xdr:rowOff>83160</xdr:rowOff>
    </xdr:to>
    <xdr:graphicFrame>
      <xdr:nvGraphicFramePr>
        <xdr:cNvPr id="8" name="Diagramm 3"/>
        <xdr:cNvGraphicFramePr/>
      </xdr:nvGraphicFramePr>
      <xdr:xfrm>
        <a:off x="10687680" y="36054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27720</xdr:colOff>
      <xdr:row>17</xdr:row>
      <xdr:rowOff>125280</xdr:rowOff>
    </xdr:to>
    <xdr:graphicFrame>
      <xdr:nvGraphicFramePr>
        <xdr:cNvPr id="9" name="Diagramm 2"/>
        <xdr:cNvGraphicFramePr/>
      </xdr:nvGraphicFramePr>
      <xdr:xfrm>
        <a:off x="10683000" y="8100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104040</xdr:colOff>
      <xdr:row>37</xdr:row>
      <xdr:rowOff>97200</xdr:rowOff>
    </xdr:to>
    <xdr:graphicFrame>
      <xdr:nvGraphicFramePr>
        <xdr:cNvPr id="10" name="Diagramm 3"/>
        <xdr:cNvGraphicFramePr/>
      </xdr:nvGraphicFramePr>
      <xdr:xfrm>
        <a:off x="10706760" y="34156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538560</xdr:colOff>
      <xdr:row>19</xdr:row>
      <xdr:rowOff>146520</xdr:rowOff>
    </xdr:to>
    <xdr:graphicFrame>
      <xdr:nvGraphicFramePr>
        <xdr:cNvPr id="11" name="Diagramm 1"/>
        <xdr:cNvGraphicFramePr/>
      </xdr:nvGraphicFramePr>
      <xdr:xfrm>
        <a:off x="4326120" y="240120"/>
        <a:ext cx="57589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2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3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265320</xdr:colOff>
      <xdr:row>129</xdr:row>
      <xdr:rowOff>133560</xdr:rowOff>
    </xdr:to>
    <xdr:graphicFrame>
      <xdr:nvGraphicFramePr>
        <xdr:cNvPr id="14" name="Diagramm 1"/>
        <xdr:cNvGraphicFramePr/>
      </xdr:nvGraphicFramePr>
      <xdr:xfrm>
        <a:off x="2215800" y="1950624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422280</xdr:colOff>
      <xdr:row>20</xdr:row>
      <xdr:rowOff>69480</xdr:rowOff>
    </xdr:to>
    <xdr:graphicFrame>
      <xdr:nvGraphicFramePr>
        <xdr:cNvPr id="15" name="Diagramm 2"/>
        <xdr:cNvGraphicFramePr/>
      </xdr:nvGraphicFramePr>
      <xdr:xfrm>
        <a:off x="16316280" y="331560"/>
        <a:ext cx="5758920" cy="324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2880</xdr:colOff>
      <xdr:row>78</xdr:row>
      <xdr:rowOff>82080</xdr:rowOff>
    </xdr:to>
    <xdr:graphicFrame>
      <xdr:nvGraphicFramePr>
        <xdr:cNvPr id="16" name="Diagramm 3"/>
        <xdr:cNvGraphicFramePr/>
      </xdr:nvGraphicFramePr>
      <xdr:xfrm>
        <a:off x="16639920" y="1051632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228960</xdr:colOff>
      <xdr:row>18</xdr:row>
      <xdr:rowOff>120240</xdr:rowOff>
    </xdr:to>
    <xdr:graphicFrame>
      <xdr:nvGraphicFramePr>
        <xdr:cNvPr id="17" name="Diagramm 1"/>
        <xdr:cNvGraphicFramePr/>
      </xdr:nvGraphicFramePr>
      <xdr:xfrm>
        <a:off x="5729760" y="36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table" Target="../tables/table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true" showRowColHeaders="true" showZeros="true" rightToLeft="false" tabSelected="true" showOutlineSymbols="true" defaultGridColor="true" view="normal" topLeftCell="C43" colorId="64" zoomScale="100" zoomScaleNormal="100" zoomScalePageLayoutView="100" workbookViewId="0">
      <selection pane="topLeft" activeCell="M2" activeCellId="0" sqref="M2:M65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11" min="8" style="1" width="12.15"/>
    <col collapsed="false" customWidth="true" hidden="false" outlineLevel="0" max="16384" min="16374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w+2p=-2,96677045562377</v>
      </c>
      <c r="G1" s="1" t="str">
        <f aca="false">"r+653="&amp; SUMPRODUCT($A2:$A65,G2:G65)/100-SUMPRODUCT($A2:$A65,$B2:$B65)/100</f>
        <v>r+653=-2,96677045562377</v>
      </c>
      <c r="H1" s="1" t="str">
        <f aca="false">"no_scale="&amp; SUMPRODUCT($A2:$A65,H2:H65)/100-SUMPRODUCT($A2:$A65,$B2:$B65)/100</f>
        <v>no_scale=-2,96677045562377</v>
      </c>
      <c r="K1" s="1" t="str">
        <f aca="false">C1</f>
        <v>w+p=-0,0375693279095839</v>
      </c>
      <c r="L1" s="1" t="str">
        <f aca="false">D1</f>
        <v>w+256p/rd=0,0435564283593521</v>
      </c>
      <c r="M1" s="1" t="str">
        <f aca="false">E1</f>
        <v>w+28m=-0,0560743079518766</v>
      </c>
    </row>
    <row r="2" customFormat="false" ht="13.8" hidden="false" customHeight="false" outlineLevel="0" collapsed="false">
      <c r="A2" s="1" t="n">
        <v>0</v>
      </c>
      <c r="B2" s="0" t="n">
        <v>25.8147</v>
      </c>
      <c r="C2" s="1" t="n">
        <v>26.0036</v>
      </c>
      <c r="D2" s="1" t="n">
        <v>25.5235</v>
      </c>
      <c r="E2" s="1" t="n">
        <v>25.8271</v>
      </c>
      <c r="J2" s="2"/>
      <c r="K2" s="2" t="n">
        <f aca="false">(C2-$B2)*$A2</f>
        <v>0</v>
      </c>
      <c r="L2" s="2" t="n">
        <f aca="false">(D2-$B2)*$A2</f>
        <v>-0</v>
      </c>
      <c r="M2" s="2" t="n">
        <f aca="false">(E2-$B2)*$A2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0" t="n">
        <v>27.905</v>
      </c>
      <c r="C3" s="1" t="n">
        <v>28.2255</v>
      </c>
      <c r="D3" s="1" t="n">
        <v>28.4751</v>
      </c>
      <c r="E3" s="1" t="n">
        <v>29.0364</v>
      </c>
      <c r="J3" s="2"/>
      <c r="K3" s="2" t="n">
        <f aca="false">(C3-$B3)*$A3</f>
        <v>0.320499999999999</v>
      </c>
      <c r="L3" s="2" t="n">
        <f aca="false">(D3-$B3)*$A3</f>
        <v>0.5701</v>
      </c>
      <c r="M3" s="2" t="n">
        <f aca="false">(E3-$B3)*$A3</f>
        <v>1.1314</v>
      </c>
    </row>
    <row r="4" customFormat="false" ht="13.8" hidden="false" customHeight="false" outlineLevel="0" collapsed="false">
      <c r="A4" s="1" t="n">
        <f aca="false">1+A3</f>
        <v>2</v>
      </c>
      <c r="B4" s="0" t="n">
        <v>8.38944</v>
      </c>
      <c r="C4" s="1" t="n">
        <v>8.36283</v>
      </c>
      <c r="D4" s="1" t="n">
        <v>8.07153</v>
      </c>
      <c r="E4" s="1" t="n">
        <v>8.18974</v>
      </c>
      <c r="J4" s="2"/>
      <c r="K4" s="2" t="n">
        <f aca="false">(C4-$B4)*$A4</f>
        <v>-0.0532199999999996</v>
      </c>
      <c r="L4" s="2" t="n">
        <f aca="false">(D4-$B4)*$A4</f>
        <v>-0.635820000000003</v>
      </c>
      <c r="M4" s="2" t="n">
        <f aca="false">(E4-$B4)*$A4</f>
        <v>-0.3994</v>
      </c>
    </row>
    <row r="5" customFormat="false" ht="13.8" hidden="false" customHeight="false" outlineLevel="0" collapsed="false">
      <c r="A5" s="1" t="n">
        <f aca="false">1+A4</f>
        <v>3</v>
      </c>
      <c r="B5" s="0" t="n">
        <v>7.67879</v>
      </c>
      <c r="C5" s="1" t="n">
        <v>7.64757</v>
      </c>
      <c r="D5" s="1" t="n">
        <v>7.54793</v>
      </c>
      <c r="E5" s="1" t="n">
        <v>7.52733</v>
      </c>
      <c r="J5" s="2"/>
      <c r="K5" s="2" t="n">
        <f aca="false">(C5-$B5)*$A5</f>
        <v>-0.0936600000000007</v>
      </c>
      <c r="L5" s="2" t="n">
        <f aca="false">(D5-$B5)*$A5</f>
        <v>-0.392580000000001</v>
      </c>
      <c r="M5" s="2" t="n">
        <f aca="false">(E5-$B5)*$A5</f>
        <v>-0.45438</v>
      </c>
    </row>
    <row r="6" customFormat="false" ht="13.8" hidden="false" customHeight="false" outlineLevel="0" collapsed="false">
      <c r="A6" s="1" t="n">
        <f aca="false">1+A5</f>
        <v>4</v>
      </c>
      <c r="B6" s="0" t="n">
        <v>6.2924</v>
      </c>
      <c r="C6" s="1" t="n">
        <v>6.25746</v>
      </c>
      <c r="D6" s="1" t="n">
        <v>6.24193</v>
      </c>
      <c r="E6" s="1" t="n">
        <v>6.17236</v>
      </c>
      <c r="J6" s="2"/>
      <c r="K6" s="2" t="n">
        <f aca="false">(C6-$B6)*$A6</f>
        <v>-0.139759999999999</v>
      </c>
      <c r="L6" s="2" t="n">
        <f aca="false">(D6-$B6)*$A6</f>
        <v>-0.201879999999999</v>
      </c>
      <c r="M6" s="2" t="n">
        <f aca="false">(E6-$B6)*$A6</f>
        <v>-0.480159999999998</v>
      </c>
    </row>
    <row r="7" customFormat="false" ht="13.8" hidden="false" customHeight="false" outlineLevel="0" collapsed="false">
      <c r="A7" s="1" t="n">
        <f aca="false">1+A6</f>
        <v>5</v>
      </c>
      <c r="B7" s="0" t="n">
        <v>4.84108</v>
      </c>
      <c r="C7" s="1" t="n">
        <v>4.80445</v>
      </c>
      <c r="D7" s="1" t="n">
        <v>4.81264</v>
      </c>
      <c r="E7" s="1" t="n">
        <v>4.74188</v>
      </c>
      <c r="J7" s="2"/>
      <c r="K7" s="2" t="n">
        <f aca="false">(C7-$B7)*$A7</f>
        <v>-0.183149999999999</v>
      </c>
      <c r="L7" s="2" t="n">
        <f aca="false">(D7-$B7)*$A7</f>
        <v>-0.142199999999999</v>
      </c>
      <c r="M7" s="2" t="n">
        <f aca="false">(E7-$B7)*$A7</f>
        <v>-0.495999999999999</v>
      </c>
    </row>
    <row r="8" customFormat="false" ht="13.8" hidden="false" customHeight="false" outlineLevel="0" collapsed="false">
      <c r="A8" s="1" t="n">
        <f aca="false">1+A7</f>
        <v>6</v>
      </c>
      <c r="B8" s="0" t="n">
        <v>3.76911</v>
      </c>
      <c r="C8" s="1" t="n">
        <v>3.73108</v>
      </c>
      <c r="D8" s="1" t="n">
        <v>3.75456</v>
      </c>
      <c r="E8" s="1" t="n">
        <v>3.68775</v>
      </c>
      <c r="J8" s="2"/>
      <c r="K8" s="2" t="n">
        <f aca="false">(C8-$B8)*$A8</f>
        <v>-0.22818</v>
      </c>
      <c r="L8" s="2" t="n">
        <f aca="false">(D8-$B8)*$A8</f>
        <v>-0.0872999999999991</v>
      </c>
      <c r="M8" s="2" t="n">
        <f aca="false">(E8-$B8)*$A8</f>
        <v>-0.488160000000001</v>
      </c>
    </row>
    <row r="9" customFormat="false" ht="13.8" hidden="false" customHeight="false" outlineLevel="0" collapsed="false">
      <c r="A9" s="1" t="n">
        <f aca="false">1+A8</f>
        <v>7</v>
      </c>
      <c r="B9" s="0" t="n">
        <v>3.14442</v>
      </c>
      <c r="C9" s="1" t="n">
        <v>3.10012</v>
      </c>
      <c r="D9" s="1" t="n">
        <v>3.13434</v>
      </c>
      <c r="E9" s="1" t="n">
        <v>3.0618</v>
      </c>
      <c r="J9" s="2"/>
      <c r="K9" s="2" t="n">
        <f aca="false">(C9-$B9)*$A9</f>
        <v>-0.310100000000002</v>
      </c>
      <c r="L9" s="2" t="n">
        <f aca="false">(D9-$B9)*$A9</f>
        <v>-0.0705600000000022</v>
      </c>
      <c r="M9" s="2" t="n">
        <f aca="false">(E9-$B9)*$A9</f>
        <v>-0.578340000000003</v>
      </c>
    </row>
    <row r="10" customFormat="false" ht="13.8" hidden="false" customHeight="false" outlineLevel="0" collapsed="false">
      <c r="A10" s="1" t="n">
        <f aca="false">1+A9</f>
        <v>8</v>
      </c>
      <c r="B10" s="0" t="n">
        <v>2.63369</v>
      </c>
      <c r="C10" s="1" t="n">
        <v>2.58229</v>
      </c>
      <c r="D10" s="1" t="n">
        <v>2.63653</v>
      </c>
      <c r="E10" s="1" t="n">
        <v>2.54666</v>
      </c>
      <c r="J10" s="2"/>
      <c r="K10" s="2" t="n">
        <f aca="false">(C10-$B10)*$A10</f>
        <v>-0.411200000000001</v>
      </c>
      <c r="L10" s="2" t="n">
        <f aca="false">(D10-$B10)*$A10</f>
        <v>0.0227199999999996</v>
      </c>
      <c r="M10" s="2" t="n">
        <f aca="false">(E10-$B10)*$A10</f>
        <v>-0.69624</v>
      </c>
    </row>
    <row r="11" customFormat="false" ht="13.8" hidden="false" customHeight="false" outlineLevel="0" collapsed="false">
      <c r="A11" s="1" t="n">
        <f aca="false">1+A10</f>
        <v>9</v>
      </c>
      <c r="B11" s="0" t="n">
        <v>2.17571</v>
      </c>
      <c r="C11" s="1" t="n">
        <v>2.10979</v>
      </c>
      <c r="D11" s="1" t="n">
        <v>2.17903</v>
      </c>
      <c r="E11" s="1" t="n">
        <v>2.07811</v>
      </c>
      <c r="J11" s="2"/>
      <c r="K11" s="2" t="n">
        <f aca="false">(C11-$B11)*$A11</f>
        <v>-0.593280000000002</v>
      </c>
      <c r="L11" s="2" t="n">
        <f aca="false">(D11-$B11)*$A11</f>
        <v>0.0298799999999999</v>
      </c>
      <c r="M11" s="2" t="n">
        <f aca="false">(E11-$B11)*$A11</f>
        <v>-0.878399999999999</v>
      </c>
    </row>
    <row r="12" customFormat="false" ht="13.8" hidden="false" customHeight="false" outlineLevel="0" collapsed="false">
      <c r="A12" s="1" t="n">
        <f aca="false">1+A11</f>
        <v>10</v>
      </c>
      <c r="B12" s="0" t="n">
        <v>1.74844</v>
      </c>
      <c r="C12" s="1" t="n">
        <v>1.6909</v>
      </c>
      <c r="D12" s="1" t="n">
        <v>1.75362</v>
      </c>
      <c r="E12" s="1" t="n">
        <v>1.66206</v>
      </c>
      <c r="J12" s="2"/>
      <c r="K12" s="2" t="n">
        <f aca="false">(C12-$B12)*$A12</f>
        <v>-0.575399999999999</v>
      </c>
      <c r="L12" s="2" t="n">
        <f aca="false">(D12-$B12)*$A12</f>
        <v>0.0517999999999996</v>
      </c>
      <c r="M12" s="2" t="n">
        <f aca="false">(E12-$B12)*$A12</f>
        <v>-0.863799999999999</v>
      </c>
    </row>
    <row r="13" customFormat="false" ht="13.8" hidden="false" customHeight="false" outlineLevel="0" collapsed="false">
      <c r="A13" s="1" t="n">
        <f aca="false">1+A12</f>
        <v>11</v>
      </c>
      <c r="B13" s="0" t="n">
        <v>1.39043</v>
      </c>
      <c r="C13" s="1" t="n">
        <v>1.3411</v>
      </c>
      <c r="D13" s="1" t="n">
        <v>1.39622</v>
      </c>
      <c r="E13" s="1" t="n">
        <v>1.31937</v>
      </c>
      <c r="J13" s="2"/>
      <c r="K13" s="2" t="n">
        <f aca="false">(C13-$B13)*$A13</f>
        <v>-0.542630000000001</v>
      </c>
      <c r="L13" s="2" t="n">
        <f aca="false">(D13-$B13)*$A13</f>
        <v>0.0636899999999996</v>
      </c>
      <c r="M13" s="2" t="n">
        <f aca="false">(E13-$B13)*$A13</f>
        <v>-0.781660000000001</v>
      </c>
    </row>
    <row r="14" customFormat="false" ht="13.8" hidden="false" customHeight="false" outlineLevel="0" collapsed="false">
      <c r="A14" s="1" t="n">
        <f aca="false">1+A13</f>
        <v>12</v>
      </c>
      <c r="B14" s="0" t="n">
        <v>1.09116</v>
      </c>
      <c r="C14" s="1" t="n">
        <v>1.05721</v>
      </c>
      <c r="D14" s="1" t="n">
        <v>1.10116</v>
      </c>
      <c r="E14" s="1" t="n">
        <v>1.0423</v>
      </c>
      <c r="J14" s="2"/>
      <c r="K14" s="2" t="n">
        <f aca="false">(C14-$B14)*$A14</f>
        <v>-0.407399999999999</v>
      </c>
      <c r="L14" s="2" t="n">
        <f aca="false">(D14-$B14)*$A14</f>
        <v>0.12</v>
      </c>
      <c r="M14" s="2" t="n">
        <f aca="false">(E14-$B14)*$A14</f>
        <v>-0.586319999999999</v>
      </c>
    </row>
    <row r="15" customFormat="false" ht="13.8" hidden="false" customHeight="false" outlineLevel="0" collapsed="false">
      <c r="A15" s="1" t="n">
        <f aca="false">1+A14</f>
        <v>13</v>
      </c>
      <c r="B15" s="0" t="n">
        <v>0.835482</v>
      </c>
      <c r="C15" s="1" t="n">
        <v>0.816378</v>
      </c>
      <c r="D15" s="1" t="n">
        <v>0.850758</v>
      </c>
      <c r="E15" s="1" t="n">
        <v>0.807852</v>
      </c>
      <c r="J15" s="2"/>
      <c r="K15" s="2" t="n">
        <f aca="false">(C15-$B15)*$A15</f>
        <v>-0.248351999999999</v>
      </c>
      <c r="L15" s="2" t="n">
        <f aca="false">(D15-$B15)*$A15</f>
        <v>0.198588000000001</v>
      </c>
      <c r="M15" s="2" t="n">
        <f aca="false">(E15-$B15)*$A15</f>
        <v>-0.359189999999999</v>
      </c>
    </row>
    <row r="16" customFormat="false" ht="13.8" hidden="false" customHeight="false" outlineLevel="0" collapsed="false">
      <c r="A16" s="1" t="n">
        <f aca="false">1+A15</f>
        <v>14</v>
      </c>
      <c r="B16" s="0" t="n">
        <v>0.631397</v>
      </c>
      <c r="C16" s="1" t="n">
        <v>0.622347</v>
      </c>
      <c r="D16" s="1" t="n">
        <v>0.649604</v>
      </c>
      <c r="E16" s="1" t="n">
        <v>0.61956</v>
      </c>
      <c r="J16" s="2"/>
      <c r="K16" s="2" t="n">
        <f aca="false">(C16-$B16)*$A16</f>
        <v>-0.1267</v>
      </c>
      <c r="L16" s="2" t="n">
        <f aca="false">(D16-$B16)*$A16</f>
        <v>0.254898</v>
      </c>
      <c r="M16" s="2" t="n">
        <f aca="false">(E16-$B16)*$A16</f>
        <v>-0.165718</v>
      </c>
    </row>
    <row r="17" customFormat="false" ht="13.8" hidden="false" customHeight="false" outlineLevel="0" collapsed="false">
      <c r="A17" s="1" t="n">
        <f aca="false">1+A16</f>
        <v>15</v>
      </c>
      <c r="B17" s="0" t="n">
        <v>0.470362</v>
      </c>
      <c r="C17" s="1" t="n">
        <v>0.466071</v>
      </c>
      <c r="D17" s="1" t="n">
        <v>0.488629</v>
      </c>
      <c r="E17" s="1" t="n">
        <v>0.4667</v>
      </c>
      <c r="J17" s="2"/>
      <c r="K17" s="2" t="n">
        <f aca="false">(C17-$B17)*$A17</f>
        <v>-0.0643649999999998</v>
      </c>
      <c r="L17" s="2" t="n">
        <f aca="false">(D17-$B17)*$A17</f>
        <v>0.274005</v>
      </c>
      <c r="M17" s="2" t="n">
        <f aca="false">(E17-$B17)*$A17</f>
        <v>-0.05493</v>
      </c>
    </row>
    <row r="18" customFormat="false" ht="13.8" hidden="false" customHeight="false" outlineLevel="0" collapsed="false">
      <c r="A18" s="1" t="n">
        <f aca="false">1+A17</f>
        <v>16</v>
      </c>
      <c r="B18" s="0" t="n">
        <v>0.346642</v>
      </c>
      <c r="C18" s="1" t="n">
        <v>0.344258</v>
      </c>
      <c r="D18" s="1" t="n">
        <v>0.364403</v>
      </c>
      <c r="E18" s="1" t="n">
        <v>0.347084</v>
      </c>
      <c r="J18" s="2"/>
      <c r="K18" s="2" t="n">
        <f aca="false">(C18-$B18)*$A18</f>
        <v>-0.038144</v>
      </c>
      <c r="L18" s="2" t="n">
        <f aca="false">(D18-$B18)*$A18</f>
        <v>0.284176</v>
      </c>
      <c r="M18" s="2" t="n">
        <f aca="false">(E18-$B18)*$A18</f>
        <v>0.00707199999999997</v>
      </c>
    </row>
    <row r="19" customFormat="false" ht="13.8" hidden="false" customHeight="false" outlineLevel="0" collapsed="false">
      <c r="A19" s="1" t="n">
        <f aca="false">1+A18</f>
        <v>17</v>
      </c>
      <c r="B19" s="0" t="n">
        <v>0.253177</v>
      </c>
      <c r="C19" s="1" t="n">
        <v>0.250676</v>
      </c>
      <c r="D19" s="1" t="n">
        <v>0.270071</v>
      </c>
      <c r="E19" s="1" t="n">
        <v>0.254938</v>
      </c>
      <c r="J19" s="2"/>
      <c r="K19" s="2" t="n">
        <f aca="false">(C19-$B19)*$A19</f>
        <v>-0.0425169999999996</v>
      </c>
      <c r="L19" s="2" t="n">
        <f aca="false">(D19-$B19)*$A19</f>
        <v>0.287198</v>
      </c>
      <c r="M19" s="2" t="n">
        <f aca="false">(E19-$B19)*$A19</f>
        <v>0.0299370000000002</v>
      </c>
    </row>
    <row r="20" customFormat="false" ht="13.8" hidden="false" customHeight="false" outlineLevel="0" collapsed="false">
      <c r="A20" s="1" t="n">
        <f aca="false">1+A19</f>
        <v>18</v>
      </c>
      <c r="B20" s="0" t="n">
        <v>0.181816</v>
      </c>
      <c r="C20" s="1" t="n">
        <v>0.180003</v>
      </c>
      <c r="D20" s="1" t="n">
        <v>0.198445</v>
      </c>
      <c r="E20" s="1" t="n">
        <v>0.184109</v>
      </c>
      <c r="J20" s="2"/>
      <c r="K20" s="2" t="n">
        <f aca="false">(C20-$B20)*$A20</f>
        <v>-0.0326340000000002</v>
      </c>
      <c r="L20" s="2" t="n">
        <f aca="false">(D20-$B20)*$A20</f>
        <v>0.299322</v>
      </c>
      <c r="M20" s="2" t="n">
        <f aca="false">(E20-$B20)*$A20</f>
        <v>0.0412739999999998</v>
      </c>
    </row>
    <row r="21" customFormat="false" ht="13.8" hidden="false" customHeight="false" outlineLevel="0" collapsed="false">
      <c r="A21" s="1" t="n">
        <f aca="false">1+A20</f>
        <v>19</v>
      </c>
      <c r="B21" s="0" t="n">
        <v>0.128713</v>
      </c>
      <c r="C21" s="1" t="n">
        <v>0.127326</v>
      </c>
      <c r="D21" s="1" t="n">
        <v>0.144957</v>
      </c>
      <c r="E21" s="1" t="n">
        <v>0.131388</v>
      </c>
      <c r="J21" s="2"/>
      <c r="K21" s="2" t="n">
        <f aca="false">(C21-$B21)*$A21</f>
        <v>-0.026353</v>
      </c>
      <c r="L21" s="2" t="n">
        <f aca="false">(D21-$B21)*$A21</f>
        <v>0.308636</v>
      </c>
      <c r="M21" s="2" t="n">
        <f aca="false">(E21-$B21)*$A21</f>
        <v>0.0508250000000002</v>
      </c>
    </row>
    <row r="22" customFormat="false" ht="13.8" hidden="false" customHeight="false" outlineLevel="0" collapsed="false">
      <c r="A22" s="1" t="n">
        <f aca="false">1+A21</f>
        <v>20</v>
      </c>
      <c r="B22" s="0" t="n">
        <v>0.089955</v>
      </c>
      <c r="C22" s="1" t="n">
        <v>0.089053</v>
      </c>
      <c r="D22" s="1" t="n">
        <v>0.105712</v>
      </c>
      <c r="E22" s="1" t="n">
        <v>0.0927432</v>
      </c>
      <c r="J22" s="2"/>
      <c r="K22" s="2" t="n">
        <f aca="false">(C22-$B22)*$A22</f>
        <v>-0.01804</v>
      </c>
      <c r="L22" s="2" t="n">
        <f aca="false">(D22-$B22)*$A22</f>
        <v>0.31514</v>
      </c>
      <c r="M22" s="2" t="n">
        <f aca="false">(E22-$B22)*$A22</f>
        <v>0.0557640000000001</v>
      </c>
    </row>
    <row r="23" customFormat="false" ht="13.8" hidden="false" customHeight="false" outlineLevel="0" collapsed="false">
      <c r="A23" s="1" t="n">
        <f aca="false">1+A22</f>
        <v>21</v>
      </c>
      <c r="B23" s="0" t="n">
        <v>0.0622887</v>
      </c>
      <c r="C23" s="1" t="n">
        <v>0.0616367</v>
      </c>
      <c r="D23" s="1" t="n">
        <v>0.0776494</v>
      </c>
      <c r="E23" s="1" t="n">
        <v>0.064941</v>
      </c>
      <c r="J23" s="2"/>
      <c r="K23" s="2" t="n">
        <f aca="false">(C23-$B23)*$A23</f>
        <v>-0.013692</v>
      </c>
      <c r="L23" s="2" t="n">
        <f aca="false">(D23-$B23)*$A23</f>
        <v>0.3225747</v>
      </c>
      <c r="M23" s="2" t="n">
        <f aca="false">(E23-$B23)*$A23</f>
        <v>0.0556982999999999</v>
      </c>
    </row>
    <row r="24" customFormat="false" ht="13.8" hidden="false" customHeight="false" outlineLevel="0" collapsed="false">
      <c r="A24" s="1" t="n">
        <f aca="false">1+A23</f>
        <v>22</v>
      </c>
      <c r="B24" s="0" t="n">
        <v>0.0425687</v>
      </c>
      <c r="C24" s="1" t="n">
        <v>0.042328</v>
      </c>
      <c r="D24" s="1" t="n">
        <v>0.057155</v>
      </c>
      <c r="E24" s="1" t="n">
        <v>0.0449242</v>
      </c>
      <c r="J24" s="2"/>
      <c r="K24" s="2" t="n">
        <f aca="false">(C24-$B24)*$A24</f>
        <v>-0.00529540000000008</v>
      </c>
      <c r="L24" s="2" t="n">
        <f aca="false">(D24-$B24)*$A24</f>
        <v>0.3208986</v>
      </c>
      <c r="M24" s="2" t="n">
        <f aca="false">(E24-$B24)*$A24</f>
        <v>0.0518209999999999</v>
      </c>
    </row>
    <row r="25" customFormat="false" ht="13.8" hidden="false" customHeight="false" outlineLevel="0" collapsed="false">
      <c r="A25" s="1" t="n">
        <f aca="false">1+A24</f>
        <v>23</v>
      </c>
      <c r="B25" s="0" t="n">
        <v>0.0286458</v>
      </c>
      <c r="C25" s="1" t="n">
        <v>0.0287082</v>
      </c>
      <c r="D25" s="1" t="n">
        <v>0.042345</v>
      </c>
      <c r="E25" s="1" t="n">
        <v>0.0307362</v>
      </c>
      <c r="J25" s="2"/>
      <c r="K25" s="2" t="n">
        <f aca="false">(C25-$B25)*$A25</f>
        <v>0.00143520000000002</v>
      </c>
      <c r="L25" s="2" t="n">
        <f aca="false">(D25-$B25)*$A25</f>
        <v>0.3150816</v>
      </c>
      <c r="M25" s="2" t="n">
        <f aca="false">(E25-$B25)*$A25</f>
        <v>0.0480792000000001</v>
      </c>
    </row>
    <row r="26" customFormat="false" ht="13.8" hidden="false" customHeight="false" outlineLevel="0" collapsed="false">
      <c r="A26" s="1" t="n">
        <f aca="false">1+A25</f>
        <v>24</v>
      </c>
      <c r="B26" s="0" t="n">
        <v>0.019135</v>
      </c>
      <c r="C26" s="1" t="n">
        <v>0.0193835</v>
      </c>
      <c r="D26" s="1" t="n">
        <v>0.0316699</v>
      </c>
      <c r="E26" s="1" t="n">
        <v>0.0209494</v>
      </c>
      <c r="J26" s="2"/>
      <c r="K26" s="2" t="n">
        <f aca="false">(C26-$B26)*$A26</f>
        <v>0.00596400000000005</v>
      </c>
      <c r="L26" s="2" t="n">
        <f aca="false">(D26-$B26)*$A26</f>
        <v>0.3008376</v>
      </c>
      <c r="M26" s="2" t="n">
        <f aca="false">(E26-$B26)*$A26</f>
        <v>0.0435456</v>
      </c>
    </row>
    <row r="27" customFormat="false" ht="13.8" hidden="false" customHeight="false" outlineLevel="0" collapsed="false">
      <c r="A27" s="1" t="n">
        <f aca="false">1+A26</f>
        <v>25</v>
      </c>
      <c r="B27" s="0" t="n">
        <v>0.0126971</v>
      </c>
      <c r="C27" s="1" t="n">
        <v>0.0130245</v>
      </c>
      <c r="D27" s="1" t="n">
        <v>0.0237892</v>
      </c>
      <c r="E27" s="1" t="n">
        <v>0.0141444</v>
      </c>
      <c r="J27" s="2"/>
      <c r="K27" s="2" t="n">
        <f aca="false">(C27-$B27)*$A27</f>
        <v>0.00818500000000001</v>
      </c>
      <c r="L27" s="2" t="n">
        <f aca="false">(D27-$B27)*$A27</f>
        <v>0.2773025</v>
      </c>
      <c r="M27" s="2" t="n">
        <f aca="false">(E27-$B27)*$A27</f>
        <v>0.0361825</v>
      </c>
    </row>
    <row r="28" customFormat="false" ht="13.8" hidden="false" customHeight="false" outlineLevel="0" collapsed="false">
      <c r="A28" s="1" t="n">
        <f aca="false">1+A27</f>
        <v>26</v>
      </c>
      <c r="B28" s="0" t="n">
        <v>0.00831261</v>
      </c>
      <c r="C28" s="1" t="n">
        <v>0.00872164</v>
      </c>
      <c r="D28" s="1" t="n">
        <v>0.017948</v>
      </c>
      <c r="E28" s="1" t="n">
        <v>0.00943322</v>
      </c>
      <c r="J28" s="2"/>
      <c r="K28" s="2" t="n">
        <f aca="false">(C28-$B28)*$A28</f>
        <v>0.01063478</v>
      </c>
      <c r="L28" s="2" t="n">
        <f aca="false">(D28-$B28)*$A28</f>
        <v>0.25052014</v>
      </c>
      <c r="M28" s="2" t="n">
        <f aca="false">(E28-$B28)*$A28</f>
        <v>0.02913586</v>
      </c>
    </row>
    <row r="29" customFormat="false" ht="13.8" hidden="false" customHeight="false" outlineLevel="0" collapsed="false">
      <c r="A29" s="1" t="n">
        <f aca="false">1+A28</f>
        <v>27</v>
      </c>
      <c r="B29" s="0" t="n">
        <v>0.00538315</v>
      </c>
      <c r="C29" s="1" t="n">
        <v>0.00581536</v>
      </c>
      <c r="D29" s="1" t="n">
        <v>0.0135367</v>
      </c>
      <c r="E29" s="1" t="n">
        <v>0.00623362</v>
      </c>
      <c r="J29" s="2"/>
      <c r="K29" s="2" t="n">
        <f aca="false">(C29-$B29)*$A29</f>
        <v>0.01166967</v>
      </c>
      <c r="L29" s="2" t="n">
        <f aca="false">(D29-$B29)*$A29</f>
        <v>0.22014585</v>
      </c>
      <c r="M29" s="2" t="n">
        <f aca="false">(E29-$B29)*$A29</f>
        <v>0.02296269</v>
      </c>
    </row>
    <row r="30" customFormat="false" ht="13.8" hidden="false" customHeight="false" outlineLevel="0" collapsed="false">
      <c r="A30" s="1" t="n">
        <f aca="false">1+A29</f>
        <v>28</v>
      </c>
      <c r="B30" s="0" t="n">
        <v>0.0034394</v>
      </c>
      <c r="C30" s="1" t="n">
        <v>0.00380074</v>
      </c>
      <c r="D30" s="1" t="n">
        <v>0.0101592</v>
      </c>
      <c r="E30" s="1" t="n">
        <v>0.00410698</v>
      </c>
      <c r="J30" s="2"/>
      <c r="K30" s="2" t="n">
        <f aca="false">(C30-$B30)*$A30</f>
        <v>0.01011752</v>
      </c>
      <c r="L30" s="2" t="n">
        <f aca="false">(D30-$B30)*$A30</f>
        <v>0.1881544</v>
      </c>
      <c r="M30" s="2" t="n">
        <f aca="false">(E30-$B30)*$A30</f>
        <v>0.01869224</v>
      </c>
    </row>
    <row r="31" customFormat="false" ht="13.8" hidden="false" customHeight="false" outlineLevel="0" collapsed="false">
      <c r="A31" s="1" t="n">
        <f aca="false">1+A30</f>
        <v>29</v>
      </c>
      <c r="B31" s="0" t="n">
        <v>0.00215872</v>
      </c>
      <c r="C31" s="1" t="n">
        <v>0.0024716</v>
      </c>
      <c r="D31" s="1" t="n">
        <v>0.00752256</v>
      </c>
      <c r="E31" s="1" t="n">
        <v>0.00267236</v>
      </c>
      <c r="J31" s="2"/>
      <c r="K31" s="2" t="n">
        <f aca="false">(C31-$B31)*$A31</f>
        <v>0.00907352000000001</v>
      </c>
      <c r="L31" s="2" t="n">
        <f aca="false">(D31-$B31)*$A31</f>
        <v>0.15555136</v>
      </c>
      <c r="M31" s="2" t="n">
        <f aca="false">(E31-$B31)*$A31</f>
        <v>0.01489556</v>
      </c>
    </row>
    <row r="32" customFormat="false" ht="13.8" hidden="false" customHeight="false" outlineLevel="0" collapsed="false">
      <c r="A32" s="1" t="n">
        <f aca="false">1+A31</f>
        <v>30</v>
      </c>
      <c r="B32" s="0" t="n">
        <v>0.00133629</v>
      </c>
      <c r="C32" s="1" t="n">
        <v>0.00158196</v>
      </c>
      <c r="D32" s="1" t="n">
        <v>0.00550058</v>
      </c>
      <c r="E32" s="1" t="n">
        <v>0.00171312</v>
      </c>
      <c r="J32" s="2"/>
      <c r="K32" s="2" t="n">
        <f aca="false">(C32-$B32)*$A32</f>
        <v>0.0073701</v>
      </c>
      <c r="L32" s="2" t="n">
        <f aca="false">(D32-$B32)*$A32</f>
        <v>0.1249287</v>
      </c>
      <c r="M32" s="2" t="n">
        <f aca="false">(E32-$B32)*$A32</f>
        <v>0.0113049</v>
      </c>
    </row>
    <row r="33" customFormat="false" ht="13.8" hidden="false" customHeight="false" outlineLevel="0" collapsed="false">
      <c r="A33" s="1" t="n">
        <f aca="false">1+A32</f>
        <v>31</v>
      </c>
      <c r="B33" s="0" t="n">
        <v>0.000815885</v>
      </c>
      <c r="C33" s="1" t="n">
        <v>0.000991335</v>
      </c>
      <c r="D33" s="1" t="n">
        <v>0.00395387</v>
      </c>
      <c r="E33" s="1" t="n">
        <v>0.00108302</v>
      </c>
      <c r="J33" s="2"/>
      <c r="K33" s="2" t="n">
        <f aca="false">(C33-$B33)*$A33</f>
        <v>0.00543895</v>
      </c>
      <c r="L33" s="2" t="n">
        <f aca="false">(D33-$B33)*$A33</f>
        <v>0.097277535</v>
      </c>
      <c r="M33" s="2" t="n">
        <f aca="false">(E33-$B33)*$A33</f>
        <v>0.008281185</v>
      </c>
    </row>
    <row r="34" customFormat="false" ht="13.8" hidden="false" customHeight="false" outlineLevel="0" collapsed="false">
      <c r="A34" s="1" t="n">
        <f aca="false">1+A33</f>
        <v>32</v>
      </c>
      <c r="B34" s="0" t="n">
        <v>0.000504848</v>
      </c>
      <c r="C34" s="1" t="n">
        <v>0.000604326</v>
      </c>
      <c r="D34" s="1" t="n">
        <v>0.00277299</v>
      </c>
      <c r="E34" s="1" t="n">
        <v>0.000683077</v>
      </c>
      <c r="J34" s="2"/>
      <c r="K34" s="2" t="n">
        <f aca="false">(C34-$B34)*$A34</f>
        <v>0.003183296</v>
      </c>
      <c r="L34" s="2" t="n">
        <f aca="false">(D34-$B34)*$A34</f>
        <v>0.072580544</v>
      </c>
      <c r="M34" s="2" t="n">
        <f aca="false">(E34-$B34)*$A34</f>
        <v>0.005703328</v>
      </c>
    </row>
    <row r="35" customFormat="false" ht="13.8" hidden="false" customHeight="false" outlineLevel="0" collapsed="false">
      <c r="A35" s="1" t="n">
        <f aca="false">1+A34</f>
        <v>33</v>
      </c>
      <c r="B35" s="0" t="n">
        <v>0.000303008</v>
      </c>
      <c r="C35" s="1" t="n">
        <v>0.000369751</v>
      </c>
      <c r="D35" s="1" t="n">
        <v>0.00190296</v>
      </c>
      <c r="E35" s="1" t="n">
        <v>0.000423811</v>
      </c>
      <c r="K35" s="2" t="n">
        <f aca="false">(C35-$B35)*$A35</f>
        <v>0.002202519</v>
      </c>
      <c r="L35" s="2" t="n">
        <f aca="false">(D35-$B35)*$A35</f>
        <v>0.052798416</v>
      </c>
      <c r="M35" s="2" t="n">
        <f aca="false">(E35-$B35)*$A35</f>
        <v>0.003986499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K36" s="2" t="n">
        <f aca="false">(C36-$B36)*$A36</f>
        <v>0.001073686</v>
      </c>
      <c r="L36" s="2" t="n">
        <f aca="false">(D36-$B36)*$A36</f>
        <v>0.037001384</v>
      </c>
      <c r="M36" s="2" t="n">
        <f aca="false">(E36-$B36)*$A36</f>
        <v>0.0028679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K37" s="2" t="n">
        <f aca="false">(C37-$B37)*$A37</f>
        <v>0.00020881</v>
      </c>
      <c r="L37" s="2" t="n">
        <f aca="false">(D37-$B37)*$A37</f>
        <v>0.02525334</v>
      </c>
      <c r="M37" s="2" t="n">
        <f aca="false">(E37-$B37)*$A37</f>
        <v>0.00186487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K38" s="2" t="n">
        <f aca="false">(C38-$B38)*$A38</f>
        <v>7.53624000000003E-005</v>
      </c>
      <c r="L38" s="2" t="n">
        <f aca="false">(D38-$B38)*$A38</f>
        <v>0.0168750252</v>
      </c>
      <c r="M38" s="2" t="n">
        <f aca="false">(E38-$B38)*$A38</f>
        <v>0.0013823892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K39" s="2" t="n">
        <f aca="false">(C39-$B39)*$A39</f>
        <v>2.02279E-005</v>
      </c>
      <c r="L39" s="2" t="n">
        <f aca="false">(D39-$B39)*$A39</f>
        <v>0.0110505088</v>
      </c>
      <c r="M39" s="2" t="n">
        <f aca="false">(E39-$B39)*$A39</f>
        <v>0.0010133449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K40" s="2" t="n">
        <f aca="false">(C40-$B40)*$A40</f>
        <v>3.85244E-005</v>
      </c>
      <c r="L40" s="2" t="n">
        <f aca="false">(D40-$B40)*$A40</f>
        <v>0.0069334154</v>
      </c>
      <c r="M40" s="2" t="n">
        <f aca="false">(E40-$B40)*$A40</f>
        <v>0.0007184584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K41" s="2" t="n">
        <f aca="false">(C41-$B41)*$A41</f>
        <v>-3.04161E-005</v>
      </c>
      <c r="L41" s="2" t="n">
        <f aca="false">(D41-$B41)*$A41</f>
        <v>0.0043073238</v>
      </c>
      <c r="M41" s="2" t="n">
        <f aca="false">(E41-$B41)*$A41</f>
        <v>0.0003560583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K42" s="2" t="n">
        <f aca="false">(C42-$B42)*$A42</f>
        <v>-1.47304E-005</v>
      </c>
      <c r="L42" s="2" t="n">
        <f aca="false">(D42-$B42)*$A42</f>
        <v>0.0024538488</v>
      </c>
      <c r="M42" s="2" t="n">
        <f aca="false">(E42-$B42)*$A42</f>
        <v>0.0002419128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K43" s="2" t="n">
        <f aca="false">(C43-$B43)*$A43</f>
        <v>-2.01637999999999E-006</v>
      </c>
      <c r="L43" s="2" t="n">
        <f aca="false">(D43-$B43)*$A43</f>
        <v>0.00144917124</v>
      </c>
      <c r="M43" s="2" t="n">
        <f aca="false">(E43-$B43)*$A43</f>
        <v>0.00014447457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K44" s="2" t="n">
        <f aca="false">(C44-$B44)*$A44</f>
        <v>1.126356E-005</v>
      </c>
      <c r="L44" s="2" t="n">
        <f aca="false">(D44-$B44)*$A44</f>
        <v>0.00081943722</v>
      </c>
      <c r="M44" s="2" t="n">
        <f aca="false">(E44-$B44)*$A44</f>
        <v>5.452146E-005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K45" s="2" t="n">
        <f aca="false">(C45-$B45)*$A45</f>
        <v>-9.726557E-006</v>
      </c>
      <c r="L45" s="2" t="n">
        <f aca="false">(D45-$B45)*$A45</f>
        <v>0.000487272603</v>
      </c>
      <c r="M45" s="2" t="n">
        <f aca="false">(E45-$B45)*$A45</f>
        <v>2.7618513E-005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K46" s="2" t="n">
        <f aca="false">(C46-$B46)*$A46</f>
        <v>-5.965652E-006</v>
      </c>
      <c r="L46" s="2" t="n">
        <f aca="false">(D46-$B46)*$A46</f>
        <v>0.00027859062</v>
      </c>
      <c r="M46" s="2" t="n">
        <f aca="false">(E46-$B46)*$A46</f>
        <v>1.5085312E-005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K47" s="2" t="n">
        <f aca="false">(C47-$B47)*$A47</f>
        <v>-2.037825E-006</v>
      </c>
      <c r="L47" s="2" t="n">
        <f aca="false">(D47-$B47)*$A47</f>
        <v>0.0001494252</v>
      </c>
      <c r="M47" s="2" t="n">
        <f aca="false">(E47-$B47)*$A47</f>
        <v>6.69924E-006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K48" s="2" t="n">
        <f aca="false">(C48-$B48)*$A48</f>
        <v>2.0726956E-006</v>
      </c>
      <c r="L48" s="2" t="n">
        <f aca="false">(D48-$B48)*$A48</f>
        <v>7.952066E-005</v>
      </c>
      <c r="M48" s="2" t="n">
        <f aca="false">(E48-$B48)*$A48</f>
        <v>8.611016E-006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K49" s="2" t="n">
        <f aca="false">(C49-$B49)*$A49</f>
        <v>0</v>
      </c>
      <c r="L49" s="2" t="n">
        <f aca="false">(D49-$B49)*$A49</f>
        <v>3.7499749E-005</v>
      </c>
      <c r="M49" s="2" t="n">
        <f aca="false">(E49-$B49)*$A49</f>
        <v>4.3991013E-006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K50" s="2" t="n">
        <f aca="false">(C50-$B50)*$A50</f>
        <v>0</v>
      </c>
      <c r="L50" s="2" t="n">
        <f aca="false">(D50-$B50)*$A50</f>
        <v>2.1276432E-006</v>
      </c>
      <c r="M50" s="2" t="n">
        <f aca="false">(E50-$B50)*$A50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K51" s="2" t="n">
        <f aca="false">(C51-$B51)*$A51</f>
        <v>0</v>
      </c>
      <c r="L51" s="2" t="n">
        <f aca="false">(D51-$B51)*$A51</f>
        <v>0</v>
      </c>
      <c r="M51" s="2" t="n">
        <f aca="false">(E51-$B51)*$A51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K52" s="2" t="n">
        <f aca="false">(C52-$B52)*$A52</f>
        <v>0</v>
      </c>
      <c r="L52" s="2" t="n">
        <f aca="false">(D52-$B52)*$A52</f>
        <v>0</v>
      </c>
      <c r="M52" s="2" t="n">
        <f aca="false">(E52-$B52)*$A52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K53" s="2" t="n">
        <f aca="false">(C53-$B53)*$A53</f>
        <v>0</v>
      </c>
      <c r="L53" s="2" t="n">
        <f aca="false">(D53-$B53)*$A53</f>
        <v>0</v>
      </c>
      <c r="M53" s="2" t="n">
        <f aca="false">(E53-$B53)*$A53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K54" s="2" t="n">
        <f aca="false">(C54-$B54)*$A54</f>
        <v>0</v>
      </c>
      <c r="L54" s="2" t="n">
        <f aca="false">(D54-$B54)*$A54</f>
        <v>0</v>
      </c>
      <c r="M54" s="2" t="n">
        <f aca="false">(E54-$B54)*$A54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K55" s="2" t="n">
        <f aca="false">(C55-$B55)*$A55</f>
        <v>0</v>
      </c>
      <c r="L55" s="2" t="n">
        <f aca="false">(D55-$B55)*$A55</f>
        <v>0</v>
      </c>
      <c r="M55" s="2" t="n">
        <f aca="false">(E55-$B55)*$A55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K56" s="2" t="n">
        <f aca="false">(C56-$B56)*$A56</f>
        <v>0</v>
      </c>
      <c r="L56" s="2" t="n">
        <f aca="false">(D56-$B56)*$A56</f>
        <v>0</v>
      </c>
      <c r="M56" s="2" t="n">
        <f aca="false">(E56-$B56)*$A56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K57" s="2" t="n">
        <f aca="false">(C57-$B57)*$A57</f>
        <v>0</v>
      </c>
      <c r="L57" s="2" t="n">
        <f aca="false">(D57-$B57)*$A57</f>
        <v>0</v>
      </c>
      <c r="M57" s="2" t="n">
        <f aca="false">(E57-$B57)*$A57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K58" s="2" t="n">
        <f aca="false">(C58-$B58)*$A58</f>
        <v>0</v>
      </c>
      <c r="L58" s="2" t="n">
        <f aca="false">(D58-$B58)*$A58</f>
        <v>0</v>
      </c>
      <c r="M58" s="2" t="n">
        <f aca="false">(E58-$B58)*$A58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K59" s="2" t="n">
        <f aca="false">(C59-$B59)*$A59</f>
        <v>0</v>
      </c>
      <c r="L59" s="2" t="n">
        <f aca="false">(D59-$B59)*$A59</f>
        <v>0</v>
      </c>
      <c r="M59" s="2" t="n">
        <f aca="false">(E59-$B59)*$A59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K60" s="2" t="n">
        <f aca="false">(C60-$B60)*$A60</f>
        <v>0</v>
      </c>
      <c r="L60" s="2" t="n">
        <f aca="false">(D60-$B60)*$A60</f>
        <v>0</v>
      </c>
      <c r="M60" s="2" t="n">
        <f aca="false">(E60-$B60)*$A60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K61" s="2" t="n">
        <f aca="false">(C61-$B61)*$A61</f>
        <v>0</v>
      </c>
      <c r="L61" s="2" t="n">
        <f aca="false">(D61-$B61)*$A61</f>
        <v>0</v>
      </c>
      <c r="M61" s="2" t="n">
        <f aca="false">(E61-$B61)*$A61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K62" s="2" t="n">
        <f aca="false">(C62-$B62)*$A62</f>
        <v>0</v>
      </c>
      <c r="L62" s="2" t="n">
        <f aca="false">(D62-$B62)*$A62</f>
        <v>0</v>
      </c>
      <c r="M62" s="2" t="n">
        <f aca="false">(E62-$B62)*$A62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K63" s="2" t="n">
        <f aca="false">(C63-$B63)*$A63</f>
        <v>0</v>
      </c>
      <c r="L63" s="2" t="n">
        <f aca="false">(D63-$B63)*$A63</f>
        <v>0</v>
      </c>
      <c r="M63" s="2" t="n">
        <f aca="false">(E63-$B63)*$A63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K64" s="2" t="n">
        <f aca="false">(C64-$B64)*$A64</f>
        <v>0</v>
      </c>
      <c r="L64" s="2" t="n">
        <f aca="false">(D64-$B64)*$A64</f>
        <v>0</v>
      </c>
      <c r="M64" s="2" t="n">
        <f aca="false">(E64-$B64)*$A64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K65" s="2" t="n">
        <f aca="false">(C65-$B65)*$A65</f>
        <v>0</v>
      </c>
      <c r="L65" s="2" t="n">
        <f aca="false">(D65-$B65)*$A65</f>
        <v>0</v>
      </c>
      <c r="M65" s="2" t="n">
        <f aca="false">(E65-$B65)*$A65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5"/>
  <sheetViews>
    <sheetView showFormulas="false" showGridLines="true" showRowColHeaders="true" showZeros="true" rightToLeft="false" tabSelected="false" showOutlineSymbols="true" defaultGridColor="true" view="normal" topLeftCell="U1" colorId="64" zoomScale="100" zoomScaleNormal="100" zoomScalePageLayoutView="100" workbookViewId="0">
      <selection pane="topLeft" activeCell="AB1" activeCellId="1" sqref="M2:M65 AB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24" min="14" style="1" width="12.15"/>
    <col collapsed="false" customWidth="true" hidden="false" outlineLevel="0" max="16384" min="16358" style="0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w-p=-2,61718361969143</v>
      </c>
      <c r="M1" s="1" t="str">
        <f aca="false">"n%(w+28m)="  &amp; SUMPRODUCT($A2:$A65,M2:M65)/100</f>
        <v>n%(w+28m)=0</v>
      </c>
      <c r="N1" s="1" t="str">
        <f aca="false">"n%(w-2d)="  &amp; SUMPRODUCT($A2:$A65,N2:N65)/100</f>
        <v>n%(w-2d)=0</v>
      </c>
      <c r="O1" s="1" t="str">
        <f aca="false">"n%(w+14m)="  &amp; SUMPRODUCT($A2:$A65,O2:O65)/100</f>
        <v>n%(w+14m)=0</v>
      </c>
      <c r="P1" s="1" t="str">
        <f aca="false">"n%(w+16p)="  &amp; SUMPRODUCT($A2:$A65,P2:P65)/100</f>
        <v>n%(w+16p)=0</v>
      </c>
      <c r="S1" s="1" t="str">
        <f aca="false">C1</f>
        <v>w+p=-0,0128196046326301</v>
      </c>
      <c r="T1" s="1" t="str">
        <f aca="false">D1</f>
        <v>w+256p/rd=-0,0381900025648303</v>
      </c>
      <c r="U1" s="1" t="str">
        <f aca="false">E1</f>
        <v>w+128p/rd=-0,00559523282452989</v>
      </c>
      <c r="V1" s="1" t="str">
        <f aca="false">F1</f>
        <v>w+28m=-0,04150258305493</v>
      </c>
      <c r="W1" s="1" t="str">
        <f aca="false">G1</f>
        <v>w+2p=-0,01176668611983</v>
      </c>
      <c r="X1" s="1" t="str">
        <f aca="false">H1</f>
        <v>w+3p=-0,00473698274242995</v>
      </c>
      <c r="Y1" s="1" t="str">
        <f aca="false">I1</f>
        <v>r+653=-0,0260460908495701</v>
      </c>
      <c r="Z1" s="1" t="str">
        <f aca="false">J1</f>
        <v>w+4p=-0,000458933298420394</v>
      </c>
      <c r="AA1" s="1" t="str">
        <f aca="false">K1</f>
        <v>no_scale=0,0287106712418703</v>
      </c>
      <c r="AB1" s="1" t="str">
        <f aca="false">L1</f>
        <v>w-p=-2,61718361969143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R2" s="2"/>
      <c r="S2" s="2" t="n">
        <f aca="false">(C2-$B2)*$A2</f>
        <v>0</v>
      </c>
      <c r="T2" s="2" t="n">
        <f aca="false">(D2-$B2)*$A2</f>
        <v>0</v>
      </c>
      <c r="U2" s="2" t="n">
        <f aca="false">(E2-$B2)*$A2</f>
        <v>-0</v>
      </c>
      <c r="V2" s="2" t="n">
        <f aca="false">(F2-$B2)*$A2</f>
        <v>0</v>
      </c>
      <c r="W2" s="2" t="n">
        <f aca="false">(G2-$B2)*$A2</f>
        <v>0</v>
      </c>
      <c r="X2" s="2" t="n">
        <f aca="false">(H2-$B2)*$A2</f>
        <v>0</v>
      </c>
      <c r="Y2" s="2" t="n">
        <f aca="false">(I2-$B2)*$A2</f>
        <v>0</v>
      </c>
      <c r="Z2" s="2" t="n">
        <f aca="false">(J2-$B2)*$A2</f>
        <v>-0</v>
      </c>
      <c r="AA2" s="2" t="n">
        <f aca="false">(K2-$B2)*$A2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R3" s="2"/>
      <c r="S3" s="2" t="n">
        <f aca="false">(C3-$B3)*$A3</f>
        <v>0.248100000000001</v>
      </c>
      <c r="T3" s="2" t="n">
        <f aca="false">(D3-$B3)*$A3</f>
        <v>1.125</v>
      </c>
      <c r="U3" s="2" t="n">
        <f aca="false">(E3-$B3)*$A3</f>
        <v>0.5533</v>
      </c>
      <c r="V3" s="2" t="n">
        <f aca="false">(F3-$B3)*$A3</f>
        <v>1.1438</v>
      </c>
      <c r="W3" s="2" t="n">
        <f aca="false">(G3-$B3)*$A3</f>
        <v>0.166</v>
      </c>
      <c r="X3" s="2" t="n">
        <f aca="false">(H3-$B3)*$A3</f>
        <v>0.2256</v>
      </c>
      <c r="Y3" s="2" t="n">
        <f aca="false">(I3-$B3)*$A3</f>
        <v>0.5199</v>
      </c>
      <c r="Z3" s="2" t="n">
        <f aca="false">(J3-$B3)*$A3</f>
        <v>0.273</v>
      </c>
      <c r="AA3" s="2" t="n">
        <f aca="false">(K3-$B3)*$A3</f>
        <v>-1.1898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R4" s="2"/>
      <c r="S4" s="2" t="n">
        <f aca="false">(C4-$B4)*$A4</f>
        <v>-0.111160000000002</v>
      </c>
      <c r="T4" s="2" t="n">
        <f aca="false">(D4-$B4)*$A4</f>
        <v>-0.731540000000003</v>
      </c>
      <c r="U4" s="2" t="n">
        <f aca="false">(E4-$B4)*$A4</f>
        <v>-0.422440000000002</v>
      </c>
      <c r="V4" s="2" t="n">
        <f aca="false">(F4-$B4)*$A4</f>
        <v>-0.696100000000001</v>
      </c>
      <c r="W4" s="2" t="n">
        <f aca="false">(G4-$B4)*$A4</f>
        <v>-0.0945800000000006</v>
      </c>
      <c r="X4" s="2" t="n">
        <f aca="false">(H4-$B4)*$A4</f>
        <v>-0.238720000000001</v>
      </c>
      <c r="Y4" s="2" t="n">
        <f aca="false">(I4-$B4)*$A4</f>
        <v>-0.283860000000001</v>
      </c>
      <c r="Z4" s="2" t="n">
        <f aca="false">(J4-$B4)*$A4</f>
        <v>-0.189880000000002</v>
      </c>
      <c r="AA4" s="2" t="n">
        <f aca="false">(K4-$B4)*$A4</f>
        <v>1.03078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R5" s="2"/>
      <c r="S5" s="2" t="n">
        <f aca="false">(C5-$B5)*$A5</f>
        <v>-0.13029</v>
      </c>
      <c r="T5" s="2" t="n">
        <f aca="false">(D5-$B5)*$A5</f>
        <v>-0.73473</v>
      </c>
      <c r="U5" s="2" t="n">
        <f aca="false">(E5-$B5)*$A5</f>
        <v>-0.37824</v>
      </c>
      <c r="V5" s="2" t="n">
        <f aca="false">(F5-$B5)*$A5</f>
        <v>-0.705360000000001</v>
      </c>
      <c r="W5" s="2" t="n">
        <f aca="false">(G5-$B5)*$A5</f>
        <v>-0.1029</v>
      </c>
      <c r="X5" s="2" t="n">
        <f aca="false">(H5-$B5)*$A5</f>
        <v>-0.244319999999999</v>
      </c>
      <c r="Y5" s="2" t="n">
        <f aca="false">(I5-$B5)*$A5</f>
        <v>-0.273960000000002</v>
      </c>
      <c r="Z5" s="2" t="n">
        <f aca="false">(J5-$B5)*$A5</f>
        <v>-0.13176</v>
      </c>
      <c r="AA5" s="2" t="n">
        <f aca="false">(K5-$B5)*$A5</f>
        <v>0.84882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R6" s="2"/>
      <c r="S6" s="2" t="n">
        <f aca="false">(C6-$B6)*$A6</f>
        <v>-0.1374</v>
      </c>
      <c r="T6" s="2" t="n">
        <f aca="false">(D6-$B6)*$A6</f>
        <v>-0.681159999999998</v>
      </c>
      <c r="U6" s="2" t="n">
        <f aca="false">(E6-$B6)*$A6</f>
        <v>-0.315439999999999</v>
      </c>
      <c r="V6" s="2" t="n">
        <f aca="false">(F6-$B6)*$A6</f>
        <v>-0.618039999999997</v>
      </c>
      <c r="W6" s="2" t="n">
        <f aca="false">(G6-$B6)*$A6</f>
        <v>-0.0853999999999999</v>
      </c>
      <c r="X6" s="2" t="n">
        <f aca="false">(H6-$B6)*$A6</f>
        <v>-0.17944</v>
      </c>
      <c r="Y6" s="2" t="n">
        <f aca="false">(I6-$B6)*$A6</f>
        <v>-0.291039999999999</v>
      </c>
      <c r="Z6" s="2" t="n">
        <f aca="false">(J6-$B6)*$A6</f>
        <v>-0.0781999999999989</v>
      </c>
      <c r="AA6" s="2" t="n">
        <f aca="false">(K6-$B6)*$A6</f>
        <v>0.577080000000002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R7" s="2"/>
      <c r="S7" s="2" t="n">
        <f aca="false">(C7-$B7)*$A7</f>
        <v>-0.181399999999998</v>
      </c>
      <c r="T7" s="2" t="n">
        <f aca="false">(D7-$B7)*$A7</f>
        <v>-0.648049999999998</v>
      </c>
      <c r="U7" s="2" t="n">
        <f aca="false">(E7-$B7)*$A7</f>
        <v>-0.287549999999999</v>
      </c>
      <c r="V7" s="2" t="n">
        <f aca="false">(F7-$B7)*$A7</f>
        <v>-0.548899999999999</v>
      </c>
      <c r="W7" s="2" t="n">
        <f aca="false">(G7-$B7)*$A7</f>
        <v>-0.110949999999996</v>
      </c>
      <c r="X7" s="2" t="n">
        <f aca="false">(H7-$B7)*$A7</f>
        <v>-0.138449999999999</v>
      </c>
      <c r="Y7" s="2" t="n">
        <f aca="false">(I7-$B7)*$A7</f>
        <v>-0.346899999999999</v>
      </c>
      <c r="Z7" s="2" t="n">
        <f aca="false">(J7-$B7)*$A7</f>
        <v>-0.103549999999997</v>
      </c>
      <c r="AA7" s="2" t="n">
        <f aca="false">(K7-$B7)*$A7</f>
        <v>0.411000000000001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R8" s="2"/>
      <c r="S8" s="2" t="n">
        <f aca="false">(C8-$B8)*$A8</f>
        <v>-0.1671</v>
      </c>
      <c r="T8" s="2" t="n">
        <f aca="false">(D8-$B8)*$A8</f>
        <v>-0.5673</v>
      </c>
      <c r="U8" s="2" t="n">
        <f aca="false">(E8-$B8)*$A8</f>
        <v>-0.25944</v>
      </c>
      <c r="V8" s="2" t="n">
        <f aca="false">(F8-$B8)*$A8</f>
        <v>-0.526800000000001</v>
      </c>
      <c r="W8" s="2" t="n">
        <f aca="false">(G8-$B8)*$A8</f>
        <v>-0.100679999999999</v>
      </c>
      <c r="X8" s="2" t="n">
        <f aca="false">(H8-$B8)*$A8</f>
        <v>-0.0943199999999997</v>
      </c>
      <c r="Y8" s="2" t="n">
        <f aca="false">(I8-$B8)*$A8</f>
        <v>-0.327599999999999</v>
      </c>
      <c r="Z8" s="2" t="n">
        <f aca="false">(J8-$B8)*$A8</f>
        <v>-0.107159999999999</v>
      </c>
      <c r="AA8" s="2" t="n">
        <f aca="false">(K8-$B8)*$A8</f>
        <v>0.338160000000001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R9" s="2"/>
      <c r="S9" s="2" t="n">
        <f aca="false">(C9-$B9)*$A9</f>
        <v>-0.169680000000002</v>
      </c>
      <c r="T9" s="2" t="n">
        <f aca="false">(D9-$B9)*$A9</f>
        <v>-0.547190000000001</v>
      </c>
      <c r="U9" s="2" t="n">
        <f aca="false">(E9-$B9)*$A9</f>
        <v>-0.209930000000001</v>
      </c>
      <c r="V9" s="2" t="n">
        <f aca="false">(F9-$B9)*$A9</f>
        <v>-0.50918</v>
      </c>
      <c r="W9" s="2" t="n">
        <f aca="false">(G9-$B9)*$A9</f>
        <v>-0.163520000000002</v>
      </c>
      <c r="X9" s="2" t="n">
        <f aca="false">(H9-$B9)*$A9</f>
        <v>-0.113960000000001</v>
      </c>
      <c r="Y9" s="2" t="n">
        <f aca="false">(I9-$B9)*$A9</f>
        <v>-0.30086</v>
      </c>
      <c r="Z9" s="2" t="n">
        <f aca="false">(J9-$B9)*$A9</f>
        <v>-0.108920000000002</v>
      </c>
      <c r="AA9" s="2" t="n">
        <f aca="false">(K9-$B9)*$A9</f>
        <v>0.323889999999999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R10" s="2"/>
      <c r="S10" s="2" t="n">
        <f aca="false">(C10-$B10)*$A10</f>
        <v>-0.166160000000001</v>
      </c>
      <c r="T10" s="2" t="n">
        <f aca="false">(D10-$B10)*$A10</f>
        <v>-0.44416</v>
      </c>
      <c r="U10" s="2" t="n">
        <f aca="false">(E10-$B10)*$A10</f>
        <v>-0.11544</v>
      </c>
      <c r="V10" s="2" t="n">
        <f aca="false">(F10-$B10)*$A10</f>
        <v>-0.45384</v>
      </c>
      <c r="W10" s="2" t="n">
        <f aca="false">(G10-$B10)*$A10</f>
        <v>-0.123999999999999</v>
      </c>
      <c r="X10" s="2" t="n">
        <f aca="false">(H10-$B10)*$A10</f>
        <v>-0.0868800000000007</v>
      </c>
      <c r="Y10" s="2" t="n">
        <f aca="false">(I10-$B10)*$A10</f>
        <v>-0.251359999999998</v>
      </c>
      <c r="Z10" s="2" t="n">
        <f aca="false">(J10-$B10)*$A10</f>
        <v>-0.0516000000000005</v>
      </c>
      <c r="AA10" s="2" t="n">
        <f aca="false">(K10-$B10)*$A10</f>
        <v>0.236799999999999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R11" s="2"/>
      <c r="S11" s="2" t="n">
        <f aca="false">(C11-$B11)*$A11</f>
        <v>-0.16344</v>
      </c>
      <c r="T11" s="2" t="n">
        <f aca="false">(D11-$B11)*$A11</f>
        <v>-0.36702</v>
      </c>
      <c r="U11" s="2" t="n">
        <f aca="false">(E11-$B11)*$A11</f>
        <v>-0.0967500000000003</v>
      </c>
      <c r="V11" s="2" t="n">
        <f aca="false">(F11-$B11)*$A11</f>
        <v>-0.40059</v>
      </c>
      <c r="W11" s="2" t="n">
        <f aca="false">(G11-$B11)*$A11</f>
        <v>-0.07839</v>
      </c>
      <c r="X11" s="2" t="n">
        <f aca="false">(H11-$B11)*$A11</f>
        <v>-0.08145</v>
      </c>
      <c r="Y11" s="2" t="n">
        <f aca="false">(I11-$B11)*$A11</f>
        <v>-0.244800000000001</v>
      </c>
      <c r="Z11" s="2" t="n">
        <f aca="false">(J11-$B11)*$A11</f>
        <v>-0.0584999999999996</v>
      </c>
      <c r="AA11" s="2" t="n">
        <f aca="false">(K11-$B11)*$A11</f>
        <v>0.1062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R12" s="2"/>
      <c r="S12" s="2" t="n">
        <f aca="false">(C12-$B12)*$A12</f>
        <v>-0.160800000000001</v>
      </c>
      <c r="T12" s="2" t="n">
        <f aca="false">(D12-$B12)*$A12</f>
        <v>-0.245500000000001</v>
      </c>
      <c r="U12" s="2" t="n">
        <f aca="false">(E12-$B12)*$A12</f>
        <v>0.027299999999999</v>
      </c>
      <c r="V12" s="2" t="n">
        <f aca="false">(F12-$B12)*$A12</f>
        <v>-0.324900000000001</v>
      </c>
      <c r="W12" s="2" t="n">
        <f aca="false">(G12-$B12)*$A12</f>
        <v>-0.0900999999999996</v>
      </c>
      <c r="X12" s="2" t="n">
        <f aca="false">(H12-$B12)*$A12</f>
        <v>-0.0317999999999996</v>
      </c>
      <c r="Y12" s="2" t="n">
        <f aca="false">(I12-$B12)*$A12</f>
        <v>-0.2125</v>
      </c>
      <c r="Z12" s="2" t="n">
        <f aca="false">(J12-$B12)*$A12</f>
        <v>-0.0175000000000014</v>
      </c>
      <c r="AA12" s="2" t="n">
        <f aca="false">(K12-$B12)*$A12</f>
        <v>0.00110000000000055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R13" s="2"/>
      <c r="S13" s="2" t="n">
        <f aca="false">(C13-$B13)*$A13</f>
        <v>-0.0948199999999984</v>
      </c>
      <c r="T13" s="2" t="n">
        <f aca="false">(D13-$B13)*$A13</f>
        <v>-0.150149999999999</v>
      </c>
      <c r="U13" s="2" t="n">
        <f aca="false">(E13-$B13)*$A13</f>
        <v>0.0915200000000012</v>
      </c>
      <c r="V13" s="2" t="n">
        <f aca="false">(F13-$B13)*$A13</f>
        <v>-0.23452</v>
      </c>
      <c r="W13" s="2" t="n">
        <f aca="false">(G13-$B13)*$A13</f>
        <v>-0.0541200000000004</v>
      </c>
      <c r="X13" s="2" t="n">
        <f aca="false">(H13-$B13)*$A13</f>
        <v>0.0167199999999996</v>
      </c>
      <c r="Y13" s="2" t="n">
        <f aca="false">(I13-$B13)*$A13</f>
        <v>-0.168409999999999</v>
      </c>
      <c r="Z13" s="2" t="n">
        <f aca="false">(J13-$B13)*$A13</f>
        <v>0.00374000000000008</v>
      </c>
      <c r="AA13" s="2" t="n">
        <f aca="false">(K13-$B13)*$A13</f>
        <v>0.00967999999999991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R14" s="2"/>
      <c r="S14" s="2" t="n">
        <f aca="false">(C14-$B14)*$A14</f>
        <v>-0.092244</v>
      </c>
      <c r="T14" s="2" t="n">
        <f aca="false">(D14-$B14)*$A14</f>
        <v>-0.0797519999999992</v>
      </c>
      <c r="U14" s="2" t="n">
        <f aca="false">(E14-$B14)*$A14</f>
        <v>0.0830520000000008</v>
      </c>
      <c r="V14" s="2" t="n">
        <f aca="false">(F14-$B14)*$A14</f>
        <v>-0.176639999999999</v>
      </c>
      <c r="W14" s="2" t="n">
        <f aca="false">(G14-$B14)*$A14</f>
        <v>-0.0310679999999994</v>
      </c>
      <c r="X14" s="2" t="n">
        <f aca="false">(H14-$B14)*$A14</f>
        <v>0.0447240000000004</v>
      </c>
      <c r="Y14" s="2" t="n">
        <f aca="false">(I14-$B14)*$A14</f>
        <v>-0.133152</v>
      </c>
      <c r="Z14" s="2" t="n">
        <f aca="false">(J14-$B14)*$A14</f>
        <v>0.0115920000000003</v>
      </c>
      <c r="AA14" s="2" t="n">
        <f aca="false">(K14-$B14)*$A14</f>
        <v>-0.0377279999999991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R15" s="2"/>
      <c r="S15" s="2" t="n">
        <f aca="false">(C15-$B15)*$A15</f>
        <v>-0.0339950000000004</v>
      </c>
      <c r="T15" s="2" t="n">
        <f aca="false">(D15-$B15)*$A15</f>
        <v>-0.0630370000000013</v>
      </c>
      <c r="U15" s="2" t="n">
        <f aca="false">(E15-$B15)*$A15</f>
        <v>0.0949519999999997</v>
      </c>
      <c r="V15" s="2" t="n">
        <f aca="false">(F15-$B15)*$A15</f>
        <v>-0.113035</v>
      </c>
      <c r="W15" s="2" t="n">
        <f aca="false">(G15-$B15)*$A15</f>
        <v>-0.0543140000000002</v>
      </c>
      <c r="X15" s="2" t="n">
        <f aca="false">(H15-$B15)*$A15</f>
        <v>0.0660919999999997</v>
      </c>
      <c r="Y15" s="2" t="n">
        <f aca="false">(I15-$B15)*$A15</f>
        <v>-0.117325000000001</v>
      </c>
      <c r="Z15" s="2" t="n">
        <f aca="false">(J15-$B15)*$A15</f>
        <v>0.0197729999999999</v>
      </c>
      <c r="AA15" s="2" t="n">
        <f aca="false">(K15-$B15)*$A15</f>
        <v>-0.023322000000001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R16" s="2"/>
      <c r="S16" s="2" t="n">
        <f aca="false">(C16-$B16)*$A16</f>
        <v>-0.0247240000000006</v>
      </c>
      <c r="T16" s="2" t="n">
        <f aca="false">(D16-$B16)*$A16</f>
        <v>-0.0263200000000007</v>
      </c>
      <c r="U16" s="2" t="n">
        <f aca="false">(E16-$B16)*$A16</f>
        <v>0.074186</v>
      </c>
      <c r="V16" s="2" t="n">
        <f aca="false">(F16-$B16)*$A16</f>
        <v>-0.0600600000000002</v>
      </c>
      <c r="W16" s="2" t="n">
        <f aca="false">(G16-$B16)*$A16</f>
        <v>-0.0637140000000004</v>
      </c>
      <c r="X16" s="2" t="n">
        <f aca="false">(H16-$B16)*$A16</f>
        <v>0.0581279999999998</v>
      </c>
      <c r="Y16" s="2" t="n">
        <f aca="false">(I16-$B16)*$A16</f>
        <v>-0.102704</v>
      </c>
      <c r="Z16" s="2" t="n">
        <f aca="false">(J16-$B16)*$A16</f>
        <v>0.031514</v>
      </c>
      <c r="AA16" s="2" t="n">
        <f aca="false">(K16-$B16)*$A16</f>
        <v>-0.039592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R17" s="2"/>
      <c r="S17" s="2" t="n">
        <f aca="false">(C17-$B17)*$A17</f>
        <v>-0.00459000000000043</v>
      </c>
      <c r="T17" s="2" t="n">
        <f aca="false">(D17-$B17)*$A17</f>
        <v>-0.0112500000000004</v>
      </c>
      <c r="U17" s="2" t="n">
        <f aca="false">(E17-$B17)*$A17</f>
        <v>0.0721650000000002</v>
      </c>
      <c r="V17" s="2" t="n">
        <f aca="false">(F17-$B17)*$A17</f>
        <v>-0.0381299999999998</v>
      </c>
      <c r="W17" s="2" t="n">
        <f aca="false">(G17-$B17)*$A17</f>
        <v>-0.0532199999999999</v>
      </c>
      <c r="X17" s="2" t="n">
        <f aca="false">(H17-$B17)*$A17</f>
        <v>0.0587399999999996</v>
      </c>
      <c r="Y17" s="2" t="n">
        <f aca="false">(I17-$B17)*$A17</f>
        <v>-0.0845850000000001</v>
      </c>
      <c r="Z17" s="2" t="n">
        <f aca="false">(J17-$B17)*$A17</f>
        <v>0.0464099999999998</v>
      </c>
      <c r="AA17" s="2" t="n">
        <f aca="false">(K17-$B17)*$A17</f>
        <v>-0.0148199999999998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R18" s="2"/>
      <c r="S18" s="2" t="n">
        <f aca="false">(C18-$B18)*$A18</f>
        <v>0.0200640000000001</v>
      </c>
      <c r="T18" s="2" t="n">
        <f aca="false">(D18-$B18)*$A18</f>
        <v>0.016032</v>
      </c>
      <c r="U18" s="2" t="n">
        <f aca="false">(E18-$B18)*$A18</f>
        <v>0.0716959999999998</v>
      </c>
      <c r="V18" s="2" t="n">
        <f aca="false">(F18-$B18)*$A18</f>
        <v>0.0117119999999997</v>
      </c>
      <c r="W18" s="2" t="n">
        <f aca="false">(G18-$B18)*$A18</f>
        <v>-0.0352480000000002</v>
      </c>
      <c r="X18" s="2" t="n">
        <f aca="false">(H18-$B18)*$A18</f>
        <v>0.0640320000000001</v>
      </c>
      <c r="Y18" s="2" t="n">
        <f aca="false">(I18-$B18)*$A18</f>
        <v>-0.0528960000000001</v>
      </c>
      <c r="Z18" s="2" t="n">
        <f aca="false">(J18-$B18)*$A18</f>
        <v>0.0539039999999997</v>
      </c>
      <c r="AA18" s="2" t="n">
        <f aca="false">(K18-$B18)*$A18</f>
        <v>0.0171999999999999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R19" s="2"/>
      <c r="S19" s="2" t="n">
        <f aca="false">(C19-$B19)*$A19</f>
        <v>0.0220659999999999</v>
      </c>
      <c r="T19" s="2" t="n">
        <f aca="false">(D19-$B19)*$A19</f>
        <v>0.023562</v>
      </c>
      <c r="U19" s="2" t="n">
        <f aca="false">(E19-$B19)*$A19</f>
        <v>0.04981</v>
      </c>
      <c r="V19" s="2" t="n">
        <f aca="false">(F19-$B19)*$A19</f>
        <v>0.00547400000000005</v>
      </c>
      <c r="W19" s="2" t="n">
        <f aca="false">(G19-$B19)*$A19</f>
        <v>-0.0345950000000002</v>
      </c>
      <c r="X19" s="2" t="n">
        <f aca="false">(H19-$B19)*$A19</f>
        <v>0.0439959999999999</v>
      </c>
      <c r="Y19" s="2" t="n">
        <f aca="false">(I19-$B19)*$A19</f>
        <v>-0.0269450000000001</v>
      </c>
      <c r="Z19" s="2" t="n">
        <f aca="false">(J19-$B19)*$A19</f>
        <v>0.0567459999999999</v>
      </c>
      <c r="AA19" s="2" t="n">
        <f aca="false">(K19-$B19)*$A19</f>
        <v>0.0232729999999999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R20" s="2"/>
      <c r="S20" s="2" t="n">
        <f aca="false">(C20-$B20)*$A20</f>
        <v>0.0172566000000001</v>
      </c>
      <c r="T20" s="2" t="n">
        <f aca="false">(D20-$B20)*$A20</f>
        <v>0.0301410000000002</v>
      </c>
      <c r="U20" s="2" t="n">
        <f aca="false">(E20-$B20)*$A20</f>
        <v>0.0501479999999999</v>
      </c>
      <c r="V20" s="2" t="n">
        <f aca="false">(F20-$B20)*$A20</f>
        <v>0.00568260000000004</v>
      </c>
      <c r="W20" s="2" t="n">
        <f aca="false">(G20-$B20)*$A20</f>
        <v>-0.0215226</v>
      </c>
      <c r="X20" s="2" t="n">
        <f aca="false">(H20-$B20)*$A20</f>
        <v>0.0352602</v>
      </c>
      <c r="Y20" s="2" t="n">
        <f aca="false">(I20-$B20)*$A20</f>
        <v>-0.0113202</v>
      </c>
      <c r="Z20" s="2" t="n">
        <f aca="false">(J20-$B20)*$A20</f>
        <v>0.0537642</v>
      </c>
      <c r="AA20" s="2" t="n">
        <f aca="false">(K20-$B20)*$A20</f>
        <v>0.0397493999999999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R21" s="2"/>
      <c r="S21" s="2" t="n">
        <f aca="false">(C21-$B21)*$A21</f>
        <v>0.0170581999999999</v>
      </c>
      <c r="T21" s="2" t="n">
        <f aca="false">(D21-$B21)*$A21</f>
        <v>0.0326952</v>
      </c>
      <c r="U21" s="2" t="n">
        <f aca="false">(E21-$B21)*$A21</f>
        <v>0.0496755</v>
      </c>
      <c r="V21" s="2" t="n">
        <f aca="false">(F21-$B21)*$A21</f>
        <v>0.0135678999999999</v>
      </c>
      <c r="W21" s="2" t="n">
        <f aca="false">(G21-$B21)*$A21</f>
        <v>-0.0120612000000001</v>
      </c>
      <c r="X21" s="2" t="n">
        <f aca="false">(H21-$B21)*$A21</f>
        <v>0.0307743</v>
      </c>
      <c r="Y21" s="2" t="n">
        <f aca="false">(I21-$B21)*$A21</f>
        <v>0.000968999999999914</v>
      </c>
      <c r="Z21" s="2" t="n">
        <f aca="false">(J21-$B21)*$A21</f>
        <v>0.0455145</v>
      </c>
      <c r="AA21" s="2" t="n">
        <f aca="false">(K21-$B21)*$A21</f>
        <v>0.0389538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R22" s="2"/>
      <c r="S22" s="2" t="n">
        <f aca="false">(C22-$B22)*$A22</f>
        <v>0.011638</v>
      </c>
      <c r="T22" s="2" t="n">
        <f aca="false">(D22-$B22)*$A22</f>
        <v>0.037446</v>
      </c>
      <c r="U22" s="2" t="n">
        <f aca="false">(E22-$B22)*$A22</f>
        <v>0.045824</v>
      </c>
      <c r="V22" s="2" t="n">
        <f aca="false">(F22-$B22)*$A22</f>
        <v>0.010834</v>
      </c>
      <c r="W22" s="2" t="n">
        <f aca="false">(G22-$B22)*$A22</f>
        <v>-0.0100040000000001</v>
      </c>
      <c r="X22" s="2" t="n">
        <f aca="false">(H22-$B22)*$A22</f>
        <v>0.020032</v>
      </c>
      <c r="Y22" s="2" t="n">
        <f aca="false">(I22-$B22)*$A22</f>
        <v>0.01524</v>
      </c>
      <c r="Z22" s="2" t="n">
        <f aca="false">(J22-$B22)*$A22</f>
        <v>0.038202</v>
      </c>
      <c r="AA22" s="2" t="n">
        <f aca="false">(K22-$B22)*$A22</f>
        <v>0.039782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R23" s="2"/>
      <c r="S23" s="2" t="n">
        <f aca="false">(C23-$B23)*$A23</f>
        <v>0.0115563</v>
      </c>
      <c r="T23" s="2" t="n">
        <f aca="false">(D23-$B23)*$A23</f>
        <v>0.0373947</v>
      </c>
      <c r="U23" s="2" t="n">
        <f aca="false">(E23-$B23)*$A23</f>
        <v>0.0433167</v>
      </c>
      <c r="V23" s="2" t="n">
        <f aca="false">(F23-$B23)*$A23</f>
        <v>0.0120183</v>
      </c>
      <c r="W23" s="2" t="n">
        <f aca="false">(G23-$B23)*$A23</f>
        <v>-0.0073605</v>
      </c>
      <c r="X23" s="2" t="n">
        <f aca="false">(H23-$B23)*$A23</f>
        <v>0.0164052</v>
      </c>
      <c r="Y23" s="2" t="n">
        <f aca="false">(I23-$B23)*$A23</f>
        <v>0.0170898</v>
      </c>
      <c r="Z23" s="2" t="n">
        <f aca="false">(J23-$B23)*$A23</f>
        <v>0.0341208</v>
      </c>
      <c r="AA23" s="2" t="n">
        <f aca="false">(K23-$B23)*$A23</f>
        <v>0.034272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R24" s="2"/>
      <c r="S24" s="2" t="n">
        <f aca="false">(C24-$B24)*$A24</f>
        <v>0.00245828</v>
      </c>
      <c r="T24" s="2" t="n">
        <f aca="false">(D24-$B24)*$A24</f>
        <v>0.03347894</v>
      </c>
      <c r="U24" s="2" t="n">
        <f aca="false">(E24-$B24)*$A24</f>
        <v>0.0406725</v>
      </c>
      <c r="V24" s="2" t="n">
        <f aca="false">(F24-$B24)*$A24</f>
        <v>0.00899821999999999</v>
      </c>
      <c r="W24" s="2" t="n">
        <f aca="false">(G24-$B24)*$A24</f>
        <v>-0.00725736000000001</v>
      </c>
      <c r="X24" s="2" t="n">
        <f aca="false">(H24-$B24)*$A24</f>
        <v>0.01198076</v>
      </c>
      <c r="Y24" s="2" t="n">
        <f aca="false">(I24-$B24)*$A24</f>
        <v>0.01389674</v>
      </c>
      <c r="Z24" s="2" t="n">
        <f aca="false">(J24-$B24)*$A24</f>
        <v>0.02763794</v>
      </c>
      <c r="AA24" s="2" t="n">
        <f aca="false">(K24-$B24)*$A24</f>
        <v>0.02520474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R25" s="2"/>
      <c r="S25" s="2" t="n">
        <f aca="false">(C25-$B25)*$A25</f>
        <v>-0.000123970000000002</v>
      </c>
      <c r="T25" s="2" t="n">
        <f aca="false">(D25-$B25)*$A25</f>
        <v>0.02859498</v>
      </c>
      <c r="U25" s="2" t="n">
        <f aca="false">(E25-$B25)*$A25</f>
        <v>0.03631976</v>
      </c>
      <c r="V25" s="2" t="n">
        <f aca="false">(F25-$B25)*$A25</f>
        <v>0.00734297999999999</v>
      </c>
      <c r="W25" s="2" t="n">
        <f aca="false">(G25-$B25)*$A25</f>
        <v>-0.00459011</v>
      </c>
      <c r="X25" s="2" t="n">
        <f aca="false">(H25-$B25)*$A25</f>
        <v>0.00937893999999999</v>
      </c>
      <c r="Y25" s="2" t="n">
        <f aca="false">(I25-$B25)*$A25</f>
        <v>0.01327146</v>
      </c>
      <c r="Z25" s="2" t="n">
        <f aca="false">(J25-$B25)*$A25</f>
        <v>0.02223525</v>
      </c>
      <c r="AA25" s="2" t="n">
        <f aca="false">(K25-$B25)*$A25</f>
        <v>0.02075497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R26" s="2"/>
      <c r="S26" s="2" t="n">
        <f aca="false">(C26-$B26)*$A26</f>
        <v>-0.000278160000000003</v>
      </c>
      <c r="T26" s="2" t="n">
        <f aca="false">(D26-$B26)*$A26</f>
        <v>0.02619456</v>
      </c>
      <c r="U26" s="2" t="n">
        <f aca="false">(E26-$B26)*$A26</f>
        <v>0.0340524</v>
      </c>
      <c r="V26" s="2" t="n">
        <f aca="false">(F26-$B26)*$A26</f>
        <v>0.00725592</v>
      </c>
      <c r="W26" s="2" t="n">
        <f aca="false">(G26-$B26)*$A26</f>
        <v>-0.00285288</v>
      </c>
      <c r="X26" s="2" t="n">
        <f aca="false">(H26-$B26)*$A26</f>
        <v>0.0079716</v>
      </c>
      <c r="Y26" s="2" t="n">
        <f aca="false">(I26-$B26)*$A26</f>
        <v>0.01105344</v>
      </c>
      <c r="Z26" s="2" t="n">
        <f aca="false">(J26-$B26)*$A26</f>
        <v>0.01821288</v>
      </c>
      <c r="AA26" s="2" t="n">
        <f aca="false">(K26-$B26)*$A26</f>
        <v>0.0153684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R27" s="2"/>
      <c r="S27" s="2" t="n">
        <f aca="false">(C27-$B27)*$A27</f>
        <v>0.00101275</v>
      </c>
      <c r="T27" s="2" t="n">
        <f aca="false">(D27-$B27)*$A27</f>
        <v>0.02144875</v>
      </c>
      <c r="U27" s="2" t="n">
        <f aca="false">(E27-$B27)*$A27</f>
        <v>0.02891825</v>
      </c>
      <c r="V27" s="2" t="n">
        <f aca="false">(F27-$B27)*$A27</f>
        <v>0.007118</v>
      </c>
      <c r="W27" s="2" t="n">
        <f aca="false">(G27-$B27)*$A27</f>
        <v>-0.00115125</v>
      </c>
      <c r="X27" s="2" t="n">
        <f aca="false">(H27-$B27)*$A27</f>
        <v>0.00737925</v>
      </c>
      <c r="Y27" s="2" t="n">
        <f aca="false">(I27-$B27)*$A27</f>
        <v>0.008943</v>
      </c>
      <c r="Z27" s="2" t="n">
        <f aca="false">(J27-$B27)*$A27</f>
        <v>0.01625325</v>
      </c>
      <c r="AA27" s="2" t="n">
        <f aca="false">(K27-$B27)*$A27</f>
        <v>0.012264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R28" s="2"/>
      <c r="S28" s="2" t="n">
        <f aca="false">(C28-$B28)*$A28</f>
        <v>0.00157755</v>
      </c>
      <c r="T28" s="2" t="n">
        <f aca="false">(D28-$B28)*$A28</f>
        <v>0.01763437</v>
      </c>
      <c r="U28" s="2" t="n">
        <f aca="false">(E28-$B28)*$A28</f>
        <v>0.02443753</v>
      </c>
      <c r="V28" s="2" t="n">
        <f aca="false">(F28-$B28)*$A28</f>
        <v>0.00644462</v>
      </c>
      <c r="W28" s="2" t="n">
        <f aca="false">(G28-$B28)*$A28</f>
        <v>-0.00027443</v>
      </c>
      <c r="X28" s="2" t="n">
        <f aca="false">(H28-$B28)*$A28</f>
        <v>0.005950724</v>
      </c>
      <c r="Y28" s="2" t="n">
        <f aca="false">(I28-$B28)*$A28</f>
        <v>0.008002748</v>
      </c>
      <c r="Z28" s="2" t="n">
        <f aca="false">(J28-$B28)*$A28</f>
        <v>0.01274637</v>
      </c>
      <c r="AA28" s="2" t="n">
        <f aca="false">(K28-$B28)*$A28</f>
        <v>0.009684844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R29" s="2"/>
      <c r="S29" s="2" t="n">
        <f aca="false">(C29-$B29)*$A29</f>
        <v>0.001338984</v>
      </c>
      <c r="T29" s="2" t="n">
        <f aca="false">(D29-$B29)*$A29</f>
        <v>0.0142857</v>
      </c>
      <c r="U29" s="2" t="n">
        <f aca="false">(E29-$B29)*$A29</f>
        <v>0.018528669</v>
      </c>
      <c r="V29" s="2" t="n">
        <f aca="false">(F29-$B29)*$A29</f>
        <v>0.005074407</v>
      </c>
      <c r="W29" s="2" t="n">
        <f aca="false">(G29-$B29)*$A29</f>
        <v>0.000419445</v>
      </c>
      <c r="X29" s="2" t="n">
        <f aca="false">(H29-$B29)*$A29</f>
        <v>0.004677318</v>
      </c>
      <c r="Y29" s="2" t="n">
        <f aca="false">(I29-$B29)*$A29</f>
        <v>0.006125895</v>
      </c>
      <c r="Z29" s="2" t="n">
        <f aca="false">(J29-$B29)*$A29</f>
        <v>0.011315619</v>
      </c>
      <c r="AA29" s="2" t="n">
        <f aca="false">(K29-$B29)*$A29</f>
        <v>0.006877062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R30" s="2"/>
      <c r="S30" s="2" t="n">
        <f aca="false">(C30-$B30)*$A30</f>
        <v>0.00072422</v>
      </c>
      <c r="T30" s="2" t="n">
        <f aca="false">(D30-$B30)*$A30</f>
        <v>0.010194016</v>
      </c>
      <c r="U30" s="2" t="n">
        <f aca="false">(E30-$B30)*$A30</f>
        <v>0.0134568</v>
      </c>
      <c r="V30" s="2" t="n">
        <f aca="false">(F30-$B30)*$A30</f>
        <v>0.004420556</v>
      </c>
      <c r="W30" s="2" t="n">
        <f aca="false">(G30-$B30)*$A30</f>
        <v>0.000442568</v>
      </c>
      <c r="X30" s="2" t="n">
        <f aca="false">(H30-$B30)*$A30</f>
        <v>0.003038812</v>
      </c>
      <c r="Y30" s="2" t="n">
        <f aca="false">(I30-$B30)*$A30</f>
        <v>0.004110064</v>
      </c>
      <c r="Z30" s="2" t="n">
        <f aca="false">(J30-$B30)*$A30</f>
        <v>0.008207304</v>
      </c>
      <c r="AA30" s="2" t="n">
        <f aca="false">(K30-$B30)*$A30</f>
        <v>0.004472972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R31" s="2"/>
      <c r="S31" s="2" t="n">
        <f aca="false">(C31-$B31)*$A31</f>
        <v>0.0004224546</v>
      </c>
      <c r="T31" s="2" t="n">
        <f aca="false">(D31-$B31)*$A31</f>
        <v>0.0077666089</v>
      </c>
      <c r="U31" s="2" t="n">
        <f aca="false">(E31-$B31)*$A31</f>
        <v>0.0093405839</v>
      </c>
      <c r="V31" s="2" t="n">
        <f aca="false">(F31-$B31)*$A31</f>
        <v>0.0027568589</v>
      </c>
      <c r="W31" s="2" t="n">
        <f aca="false">(G31-$B31)*$A31</f>
        <v>0.0002131065</v>
      </c>
      <c r="X31" s="2" t="n">
        <f aca="false">(H31-$B31)*$A31</f>
        <v>0.0019549219</v>
      </c>
      <c r="Y31" s="2" t="n">
        <f aca="false">(I31-$B31)*$A31</f>
        <v>0.0025430129</v>
      </c>
      <c r="Z31" s="2" t="n">
        <f aca="false">(J31-$B31)*$A31</f>
        <v>0.0056391399</v>
      </c>
      <c r="AA31" s="2" t="n">
        <f aca="false">(K31-$B31)*$A31</f>
        <v>0.0025957349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R32" s="2"/>
      <c r="S32" s="2" t="n">
        <f aca="false">(C32-$B32)*$A32</f>
        <v>0.000166464</v>
      </c>
      <c r="T32" s="2" t="n">
        <f aca="false">(D32-$B32)*$A32</f>
        <v>0.006155628</v>
      </c>
      <c r="U32" s="2" t="n">
        <f aca="false">(E32-$B32)*$A32</f>
        <v>0.005732328</v>
      </c>
      <c r="V32" s="2" t="n">
        <f aca="false">(F32-$B32)*$A32</f>
        <v>0.001820751</v>
      </c>
      <c r="W32" s="2" t="n">
        <f aca="false">(G32-$B32)*$A32</f>
        <v>-9.56100000000003E-006</v>
      </c>
      <c r="X32" s="2" t="n">
        <f aca="false">(H32-$B32)*$A32</f>
        <v>0.00127425</v>
      </c>
      <c r="Y32" s="2" t="n">
        <f aca="false">(I32-$B32)*$A32</f>
        <v>0.001677987</v>
      </c>
      <c r="Z32" s="2" t="n">
        <f aca="false">(J32-$B32)*$A32</f>
        <v>0.004089708</v>
      </c>
      <c r="AA32" s="2" t="n">
        <f aca="false">(K32-$B32)*$A32</f>
        <v>0.001308519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R33" s="2"/>
      <c r="S33" s="2" t="n">
        <f aca="false">(C33-$B33)*$A33</f>
        <v>0.00026057453</v>
      </c>
      <c r="T33" s="2" t="n">
        <f aca="false">(D33-$B33)*$A33</f>
        <v>0.00373583883</v>
      </c>
      <c r="U33" s="2" t="n">
        <f aca="false">(E33-$B33)*$A33</f>
        <v>0.00339831083</v>
      </c>
      <c r="V33" s="2" t="n">
        <f aca="false">(F33-$B33)*$A33</f>
        <v>0.00099824123</v>
      </c>
      <c r="W33" s="2" t="n">
        <f aca="false">(G33-$B33)*$A33</f>
        <v>0.00012344107</v>
      </c>
      <c r="X33" s="2" t="n">
        <f aca="false">(H33-$B33)*$A33</f>
        <v>0.00087032283</v>
      </c>
      <c r="Y33" s="2" t="n">
        <f aca="false">(I33-$B33)*$A33</f>
        <v>0.00117204583</v>
      </c>
      <c r="Z33" s="2" t="n">
        <f aca="false">(J33-$B33)*$A33</f>
        <v>0.00315080683</v>
      </c>
      <c r="AA33" s="2" t="n">
        <f aca="false">(K33-$B33)*$A33</f>
        <v>0.00064196753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R34" s="2"/>
      <c r="S34" s="2" t="n">
        <f aca="false">(C34-$B34)*$A34</f>
        <v>0.000226427584</v>
      </c>
      <c r="T34" s="2" t="n">
        <f aca="false">(D34-$B34)*$A34</f>
        <v>0.002659775424</v>
      </c>
      <c r="U34" s="2" t="n">
        <f aca="false">(E34-$B34)*$A34</f>
        <v>0.001912745024</v>
      </c>
      <c r="V34" s="2" t="n">
        <f aca="false">(F34-$B34)*$A34</f>
        <v>0.000434165824</v>
      </c>
      <c r="W34" s="2" t="n">
        <f aca="false">(G34-$B34)*$A34</f>
        <v>3.1855744E-005</v>
      </c>
      <c r="X34" s="2" t="n">
        <f aca="false">(H34-$B34)*$A34</f>
        <v>0.000387442624</v>
      </c>
      <c r="Y34" s="2" t="n">
        <f aca="false">(I34-$B34)*$A34</f>
        <v>0.000779263424</v>
      </c>
      <c r="Z34" s="2" t="n">
        <f aca="false">(J34-$B34)*$A34</f>
        <v>0.001860805824</v>
      </c>
      <c r="AA34" s="2" t="n">
        <f aca="false">(K34-$B34)*$A34</f>
        <v>0.000355202624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R35" s="2"/>
      <c r="S35" s="2" t="n">
        <f aca="false">(C35-$B35)*$A35</f>
        <v>0.000155836923</v>
      </c>
      <c r="T35" s="2" t="n">
        <f aca="false">(D35-$B35)*$A35</f>
        <v>0.001850204103</v>
      </c>
      <c r="U35" s="2" t="n">
        <f aca="false">(E35-$B35)*$A35</f>
        <v>0.000953392803</v>
      </c>
      <c r="V35" s="2" t="n">
        <f aca="false">(F35-$B35)*$A35</f>
        <v>8.3174553E-005</v>
      </c>
      <c r="W35" s="2" t="n">
        <f aca="false">(G35-$B35)*$A35</f>
        <v>-1.6137297E-005</v>
      </c>
      <c r="X35" s="2" t="n">
        <f aca="false">(H35-$B35)*$A35</f>
        <v>0.000207771663</v>
      </c>
      <c r="Y35" s="2" t="n">
        <f aca="false">(I35-$B35)*$A35</f>
        <v>0.000475562703</v>
      </c>
      <c r="Z35" s="2" t="n">
        <f aca="false">(J35-$B35)*$A35</f>
        <v>0.000854660103</v>
      </c>
      <c r="AA35" s="2" t="n">
        <f aca="false">(K35-$B35)*$A35</f>
        <v>6.0512133E-005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R36" s="2"/>
      <c r="S36" s="2" t="n">
        <f aca="false">(C36-$B36)*$A36</f>
        <v>0.00012886204</v>
      </c>
      <c r="T36" s="2" t="n">
        <f aca="false">(D36-$B36)*$A36</f>
        <v>0.001070133</v>
      </c>
      <c r="U36" s="2" t="n">
        <f aca="false">(E36-$B36)*$A36</f>
        <v>0.0005587118</v>
      </c>
      <c r="V36" s="2" t="n">
        <f aca="false">(F36-$B36)*$A36</f>
        <v>0</v>
      </c>
      <c r="W36" s="2" t="n">
        <f aca="false">(G36-$B36)*$A36</f>
        <v>0</v>
      </c>
      <c r="X36" s="2" t="n">
        <f aca="false">(H36-$B36)*$A36</f>
        <v>6.591274E-005</v>
      </c>
      <c r="Y36" s="2" t="n">
        <f aca="false">(I36-$B36)*$A36</f>
        <v>0.00025329966</v>
      </c>
      <c r="Z36" s="2" t="n">
        <f aca="false">(J36-$B36)*$A36</f>
        <v>0.0004153644</v>
      </c>
      <c r="AA36" s="2" t="n">
        <f aca="false">(K36-$B36)*$A36</f>
        <v>0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S37" s="2" t="n">
        <f aca="false">(C37-$B37)*$A37</f>
        <v>3.316306E-005</v>
      </c>
      <c r="T37" s="2" t="n">
        <f aca="false">(D37-$B37)*$A37</f>
        <v>0.0005508055</v>
      </c>
      <c r="U37" s="2" t="n">
        <f aca="false">(E37-$B37)*$A37</f>
        <v>0.00022657215</v>
      </c>
      <c r="V37" s="2" t="n">
        <f aca="false">(F37-$B37)*$A37</f>
        <v>0</v>
      </c>
      <c r="W37" s="2" t="n">
        <f aca="false">(G37-$B37)*$A37</f>
        <v>0</v>
      </c>
      <c r="X37" s="2" t="n">
        <f aca="false">(H37-$B37)*$A37</f>
        <v>0</v>
      </c>
      <c r="Y37" s="2" t="n">
        <f aca="false">(I37-$B37)*$A37</f>
        <v>8.691655E-005</v>
      </c>
      <c r="Z37" s="2" t="n">
        <f aca="false">(J37-$B37)*$A37</f>
        <v>0.00017103205</v>
      </c>
      <c r="AA37" s="2" t="n">
        <f aca="false">(K37-$B37)*$A37</f>
        <v>0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S38" s="2" t="n">
        <f aca="false">(C38-$B38)*$A38</f>
        <v>0</v>
      </c>
      <c r="T38" s="2" t="n">
        <f aca="false">(D38-$B38)*$A38</f>
        <v>0.00019474884</v>
      </c>
      <c r="U38" s="2" t="n">
        <f aca="false">(E38-$B38)*$A38</f>
        <v>0.00017926596</v>
      </c>
      <c r="V38" s="2" t="n">
        <f aca="false">(F38-$B38)*$A38</f>
        <v>0</v>
      </c>
      <c r="W38" s="2" t="n">
        <f aca="false">(G38-$B38)*$A38</f>
        <v>0</v>
      </c>
      <c r="X38" s="2" t="n">
        <f aca="false">(H38-$B38)*$A38</f>
        <v>0</v>
      </c>
      <c r="Y38" s="2" t="n">
        <f aca="false">(I38-$B38)*$A38</f>
        <v>1.7879976E-005</v>
      </c>
      <c r="Z38" s="2" t="n">
        <f aca="false">(J38-$B38)*$A38</f>
        <v>8.795952E-005</v>
      </c>
      <c r="AA38" s="2" t="n">
        <f aca="false">(K38-$B38)*$A38</f>
        <v>0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S39" s="2" t="n">
        <f aca="false">(C39-$B39)*$A39</f>
        <v>0</v>
      </c>
      <c r="T39" s="2" t="n">
        <f aca="false">(D39-$B39)*$A39</f>
        <v>7.278492E-005</v>
      </c>
      <c r="U39" s="2" t="n">
        <f aca="false">(E39-$B39)*$A39</f>
        <v>7.369808E-005</v>
      </c>
      <c r="V39" s="2" t="n">
        <f aca="false">(F39-$B39)*$A39</f>
        <v>0</v>
      </c>
      <c r="W39" s="2" t="n">
        <f aca="false">(G39-$B39)*$A39</f>
        <v>0</v>
      </c>
      <c r="X39" s="2" t="n">
        <f aca="false">(H39-$B39)*$A39</f>
        <v>0</v>
      </c>
      <c r="Y39" s="2" t="n">
        <f aca="false">(I39-$B39)*$A39</f>
        <v>0</v>
      </c>
      <c r="Z39" s="2" t="n">
        <f aca="false">(J39-$B39)*$A39</f>
        <v>1.8080531E-005</v>
      </c>
      <c r="AA39" s="2" t="n">
        <f aca="false">(K39-$B39)*$A39</f>
        <v>0</v>
      </c>
    </row>
    <row r="40" customFormat="false" ht="13.8" hidden="false" customHeight="false" outlineLevel="0" collapsed="false">
      <c r="A40" s="1" t="n">
        <f aca="false">1+A39</f>
        <v>38</v>
      </c>
      <c r="S40" s="2" t="n">
        <f aca="false">(C40-$B40)*$A40</f>
        <v>0</v>
      </c>
      <c r="T40" s="2" t="n">
        <f aca="false">(D40-$B40)*$A40</f>
        <v>0</v>
      </c>
      <c r="U40" s="2" t="n">
        <f aca="false">(E40-$B40)*$A40</f>
        <v>0</v>
      </c>
      <c r="V40" s="2" t="n">
        <f aca="false">(F40-$B40)*$A40</f>
        <v>0</v>
      </c>
      <c r="W40" s="2" t="n">
        <f aca="false">(G40-$B40)*$A40</f>
        <v>0</v>
      </c>
      <c r="X40" s="2" t="n">
        <f aca="false">(H40-$B40)*$A40</f>
        <v>0</v>
      </c>
      <c r="Y40" s="2" t="n">
        <f aca="false">(I40-$B40)*$A40</f>
        <v>0</v>
      </c>
      <c r="Z40" s="2" t="n">
        <f aca="false">(J40-$B40)*$A40</f>
        <v>0</v>
      </c>
      <c r="AA40" s="2" t="n">
        <f aca="false">(K40-$B40)*$A40</f>
        <v>0</v>
      </c>
    </row>
    <row r="41" customFormat="false" ht="13.8" hidden="false" customHeight="false" outlineLevel="0" collapsed="false">
      <c r="A41" s="1" t="n">
        <f aca="false">1+A40</f>
        <v>39</v>
      </c>
      <c r="S41" s="2" t="n">
        <f aca="false">(C41-$B41)*$A41</f>
        <v>0</v>
      </c>
      <c r="T41" s="2" t="n">
        <f aca="false">(D41-$B41)*$A41</f>
        <v>0</v>
      </c>
      <c r="U41" s="2" t="n">
        <f aca="false">(E41-$B41)*$A41</f>
        <v>0</v>
      </c>
      <c r="V41" s="2" t="n">
        <f aca="false">(F41-$B41)*$A41</f>
        <v>0</v>
      </c>
      <c r="W41" s="2" t="n">
        <f aca="false">(G41-$B41)*$A41</f>
        <v>0</v>
      </c>
      <c r="X41" s="2" t="n">
        <f aca="false">(H41-$B41)*$A41</f>
        <v>0</v>
      </c>
      <c r="Y41" s="2" t="n">
        <f aca="false">(I41-$B41)*$A41</f>
        <v>0</v>
      </c>
      <c r="Z41" s="2" t="n">
        <f aca="false">(J41-$B41)*$A41</f>
        <v>0</v>
      </c>
      <c r="AA41" s="2" t="n">
        <f aca="false">(K41-$B41)*$A41</f>
        <v>0</v>
      </c>
    </row>
    <row r="42" customFormat="false" ht="13.8" hidden="false" customHeight="false" outlineLevel="0" collapsed="false">
      <c r="A42" s="1" t="n">
        <f aca="false">1+A41</f>
        <v>40</v>
      </c>
      <c r="S42" s="2" t="n">
        <f aca="false">(C42-$B42)*$A42</f>
        <v>0</v>
      </c>
      <c r="T42" s="2" t="n">
        <f aca="false">(D42-$B42)*$A42</f>
        <v>0</v>
      </c>
      <c r="U42" s="2" t="n">
        <f aca="false">(E42-$B42)*$A42</f>
        <v>0</v>
      </c>
      <c r="V42" s="2" t="n">
        <f aca="false">(F42-$B42)*$A42</f>
        <v>0</v>
      </c>
      <c r="W42" s="2" t="n">
        <f aca="false">(G42-$B42)*$A42</f>
        <v>0</v>
      </c>
      <c r="X42" s="2" t="n">
        <f aca="false">(H42-$B42)*$A42</f>
        <v>0</v>
      </c>
      <c r="Y42" s="2" t="n">
        <f aca="false">(I42-$B42)*$A42</f>
        <v>0</v>
      </c>
      <c r="Z42" s="2" t="n">
        <f aca="false">(J42-$B42)*$A42</f>
        <v>0</v>
      </c>
      <c r="AA42" s="2" t="n">
        <f aca="false">(K42-$B42)*$A42</f>
        <v>0</v>
      </c>
    </row>
    <row r="43" customFormat="false" ht="13.8" hidden="false" customHeight="false" outlineLevel="0" collapsed="false">
      <c r="A43" s="1" t="n">
        <f aca="false">1+A42</f>
        <v>41</v>
      </c>
      <c r="S43" s="2" t="n">
        <f aca="false">(C43-$B43)*$A43</f>
        <v>0</v>
      </c>
      <c r="T43" s="2" t="n">
        <f aca="false">(D43-$B43)*$A43</f>
        <v>0</v>
      </c>
      <c r="U43" s="2" t="n">
        <f aca="false">(E43-$B43)*$A43</f>
        <v>0</v>
      </c>
      <c r="V43" s="2" t="n">
        <f aca="false">(F43-$B43)*$A43</f>
        <v>0</v>
      </c>
      <c r="W43" s="2" t="n">
        <f aca="false">(G43-$B43)*$A43</f>
        <v>0</v>
      </c>
      <c r="X43" s="2" t="n">
        <f aca="false">(H43-$B43)*$A43</f>
        <v>0</v>
      </c>
      <c r="Y43" s="2" t="n">
        <f aca="false">(I43-$B43)*$A43</f>
        <v>0</v>
      </c>
      <c r="Z43" s="2" t="n">
        <f aca="false">(J43-$B43)*$A43</f>
        <v>0</v>
      </c>
      <c r="AA43" s="2" t="n">
        <f aca="false">(K43-$B43)*$A43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S44" s="2" t="n">
        <f aca="false">(C44-$B44)*$A44</f>
        <v>0</v>
      </c>
      <c r="T44" s="2" t="n">
        <f aca="false">(D44-$B44)*$A44</f>
        <v>0</v>
      </c>
      <c r="U44" s="2" t="n">
        <f aca="false">(E44-$B44)*$A44</f>
        <v>0</v>
      </c>
      <c r="V44" s="2" t="n">
        <f aca="false">(F44-$B44)*$A44</f>
        <v>0</v>
      </c>
      <c r="W44" s="2" t="n">
        <f aca="false">(G44-$B44)*$A44</f>
        <v>0</v>
      </c>
      <c r="X44" s="2" t="n">
        <f aca="false">(H44-$B44)*$A44</f>
        <v>0</v>
      </c>
      <c r="Y44" s="2" t="n">
        <f aca="false">(I44-$B44)*$A44</f>
        <v>0</v>
      </c>
      <c r="Z44" s="2" t="n">
        <f aca="false">(J44-$B44)*$A44</f>
        <v>0</v>
      </c>
      <c r="AA44" s="2" t="n">
        <f aca="false">(K44-$B44)*$A44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S45" s="2" t="n">
        <f aca="false">(C45-$B45)*$A45</f>
        <v>0</v>
      </c>
      <c r="T45" s="2" t="n">
        <f aca="false">(D45-$B45)*$A45</f>
        <v>0</v>
      </c>
      <c r="U45" s="2" t="n">
        <f aca="false">(E45-$B45)*$A45</f>
        <v>0</v>
      </c>
      <c r="V45" s="2" t="n">
        <f aca="false">(F45-$B45)*$A45</f>
        <v>0</v>
      </c>
      <c r="W45" s="2" t="n">
        <f aca="false">(G45-$B45)*$A45</f>
        <v>0</v>
      </c>
      <c r="X45" s="2" t="n">
        <f aca="false">(H45-$B45)*$A45</f>
        <v>0</v>
      </c>
      <c r="Y45" s="2" t="n">
        <f aca="false">(I45-$B45)*$A45</f>
        <v>0</v>
      </c>
      <c r="Z45" s="2" t="n">
        <f aca="false">(J45-$B45)*$A45</f>
        <v>0</v>
      </c>
      <c r="AA45" s="2" t="n">
        <f aca="false">(K45-$B45)*$A45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S46" s="2" t="n">
        <f aca="false">(C46-$B46)*$A46</f>
        <v>0</v>
      </c>
      <c r="T46" s="2" t="n">
        <f aca="false">(D46-$B46)*$A46</f>
        <v>0</v>
      </c>
      <c r="U46" s="2" t="n">
        <f aca="false">(E46-$B46)*$A46</f>
        <v>0</v>
      </c>
      <c r="V46" s="2" t="n">
        <f aca="false">(F46-$B46)*$A46</f>
        <v>0</v>
      </c>
      <c r="W46" s="2" t="n">
        <f aca="false">(G46-$B46)*$A46</f>
        <v>0</v>
      </c>
      <c r="X46" s="2" t="n">
        <f aca="false">(H46-$B46)*$A46</f>
        <v>0</v>
      </c>
      <c r="Y46" s="2" t="n">
        <f aca="false">(I46-$B46)*$A46</f>
        <v>0</v>
      </c>
      <c r="Z46" s="2" t="n">
        <f aca="false">(J46-$B46)*$A46</f>
        <v>0</v>
      </c>
      <c r="AA46" s="2" t="n">
        <f aca="false">(K46-$B46)*$A46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S47" s="2" t="n">
        <f aca="false">(C47-$B47)*$A47</f>
        <v>0</v>
      </c>
      <c r="T47" s="2" t="n">
        <f aca="false">(D47-$B47)*$A47</f>
        <v>0</v>
      </c>
      <c r="U47" s="2" t="n">
        <f aca="false">(E47-$B47)*$A47</f>
        <v>0</v>
      </c>
      <c r="V47" s="2" t="n">
        <f aca="false">(F47-$B47)*$A47</f>
        <v>0</v>
      </c>
      <c r="W47" s="2" t="n">
        <f aca="false">(G47-$B47)*$A47</f>
        <v>0</v>
      </c>
      <c r="X47" s="2" t="n">
        <f aca="false">(H47-$B47)*$A47</f>
        <v>0</v>
      </c>
      <c r="Y47" s="2" t="n">
        <f aca="false">(I47-$B47)*$A47</f>
        <v>0</v>
      </c>
      <c r="Z47" s="2" t="n">
        <f aca="false">(J47-$B47)*$A47</f>
        <v>0</v>
      </c>
      <c r="AA47" s="2" t="n">
        <f aca="false">(K47-$B47)*$A47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S48" s="2" t="n">
        <f aca="false">(C48-$B48)*$A48</f>
        <v>0</v>
      </c>
      <c r="T48" s="2" t="n">
        <f aca="false">(D48-$B48)*$A48</f>
        <v>0</v>
      </c>
      <c r="U48" s="2" t="n">
        <f aca="false">(E48-$B48)*$A48</f>
        <v>0</v>
      </c>
      <c r="V48" s="2" t="n">
        <f aca="false">(F48-$B48)*$A48</f>
        <v>0</v>
      </c>
      <c r="W48" s="2" t="n">
        <f aca="false">(G48-$B48)*$A48</f>
        <v>0</v>
      </c>
      <c r="X48" s="2" t="n">
        <f aca="false">(H48-$B48)*$A48</f>
        <v>0</v>
      </c>
      <c r="Y48" s="2" t="n">
        <f aca="false">(I48-$B48)*$A48</f>
        <v>0</v>
      </c>
      <c r="Z48" s="2" t="n">
        <f aca="false">(J48-$B48)*$A48</f>
        <v>0</v>
      </c>
      <c r="AA48" s="2" t="n">
        <f aca="false">(K48-$B48)*$A48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S49" s="2" t="n">
        <f aca="false">(C49-$B49)*$A49</f>
        <v>0</v>
      </c>
      <c r="T49" s="2" t="n">
        <f aca="false">(D49-$B49)*$A49</f>
        <v>0</v>
      </c>
      <c r="U49" s="2" t="n">
        <f aca="false">(E49-$B49)*$A49</f>
        <v>0</v>
      </c>
      <c r="V49" s="2" t="n">
        <f aca="false">(F49-$B49)*$A49</f>
        <v>0</v>
      </c>
      <c r="W49" s="2" t="n">
        <f aca="false">(G49-$B49)*$A49</f>
        <v>0</v>
      </c>
      <c r="X49" s="2" t="n">
        <f aca="false">(H49-$B49)*$A49</f>
        <v>0</v>
      </c>
      <c r="Y49" s="2" t="n">
        <f aca="false">(I49-$B49)*$A49</f>
        <v>0</v>
      </c>
      <c r="Z49" s="2" t="n">
        <f aca="false">(J49-$B49)*$A49</f>
        <v>0</v>
      </c>
      <c r="AA49" s="2" t="n">
        <f aca="false">(K49-$B49)*$A49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S50" s="2" t="n">
        <f aca="false">(C50-$B50)*$A50</f>
        <v>0</v>
      </c>
      <c r="T50" s="2" t="n">
        <f aca="false">(D50-$B50)*$A50</f>
        <v>0</v>
      </c>
      <c r="U50" s="2" t="n">
        <f aca="false">(E50-$B50)*$A50</f>
        <v>0</v>
      </c>
      <c r="V50" s="2" t="n">
        <f aca="false">(F50-$B50)*$A50</f>
        <v>0</v>
      </c>
      <c r="W50" s="2" t="n">
        <f aca="false">(G50-$B50)*$A50</f>
        <v>0</v>
      </c>
      <c r="X50" s="2" t="n">
        <f aca="false">(H50-$B50)*$A50</f>
        <v>0</v>
      </c>
      <c r="Y50" s="2" t="n">
        <f aca="false">(I50-$B50)*$A50</f>
        <v>0</v>
      </c>
      <c r="Z50" s="2" t="n">
        <f aca="false">(J50-$B50)*$A50</f>
        <v>0</v>
      </c>
      <c r="AA50" s="2" t="n">
        <f aca="false">(K50-$B50)*$A50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S51" s="2" t="n">
        <f aca="false">(C51-$B51)*$A51</f>
        <v>0</v>
      </c>
      <c r="T51" s="2" t="n">
        <f aca="false">(D51-$B51)*$A51</f>
        <v>0</v>
      </c>
      <c r="U51" s="2" t="n">
        <f aca="false">(E51-$B51)*$A51</f>
        <v>0</v>
      </c>
      <c r="V51" s="2" t="n">
        <f aca="false">(F51-$B51)*$A51</f>
        <v>0</v>
      </c>
      <c r="W51" s="2" t="n">
        <f aca="false">(G51-$B51)*$A51</f>
        <v>0</v>
      </c>
      <c r="X51" s="2" t="n">
        <f aca="false">(H51-$B51)*$A51</f>
        <v>0</v>
      </c>
      <c r="Y51" s="2" t="n">
        <f aca="false">(I51-$B51)*$A51</f>
        <v>0</v>
      </c>
      <c r="Z51" s="2" t="n">
        <f aca="false">(J51-$B51)*$A51</f>
        <v>0</v>
      </c>
      <c r="AA51" s="2" t="n">
        <f aca="false">(K51-$B51)*$A51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S52" s="2" t="n">
        <f aca="false">(C52-$B52)*$A52</f>
        <v>0</v>
      </c>
      <c r="T52" s="2" t="n">
        <f aca="false">(D52-$B52)*$A52</f>
        <v>0</v>
      </c>
      <c r="U52" s="2" t="n">
        <f aca="false">(E52-$B52)*$A52</f>
        <v>0</v>
      </c>
      <c r="V52" s="2" t="n">
        <f aca="false">(F52-$B52)*$A52</f>
        <v>0</v>
      </c>
      <c r="W52" s="2" t="n">
        <f aca="false">(G52-$B52)*$A52</f>
        <v>0</v>
      </c>
      <c r="X52" s="2" t="n">
        <f aca="false">(H52-$B52)*$A52</f>
        <v>0</v>
      </c>
      <c r="Y52" s="2" t="n">
        <f aca="false">(I52-$B52)*$A52</f>
        <v>0</v>
      </c>
      <c r="Z52" s="2" t="n">
        <f aca="false">(J52-$B52)*$A52</f>
        <v>0</v>
      </c>
      <c r="AA52" s="2" t="n">
        <f aca="false">(K52-$B52)*$A52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S53" s="2" t="n">
        <f aca="false">(C53-$B53)*$A53</f>
        <v>0</v>
      </c>
      <c r="T53" s="2" t="n">
        <f aca="false">(D53-$B53)*$A53</f>
        <v>0</v>
      </c>
      <c r="U53" s="2" t="n">
        <f aca="false">(E53-$B53)*$A53</f>
        <v>0</v>
      </c>
      <c r="V53" s="2" t="n">
        <f aca="false">(F53-$B53)*$A53</f>
        <v>0</v>
      </c>
      <c r="W53" s="2" t="n">
        <f aca="false">(G53-$B53)*$A53</f>
        <v>0</v>
      </c>
      <c r="X53" s="2" t="n">
        <f aca="false">(H53-$B53)*$A53</f>
        <v>0</v>
      </c>
      <c r="Y53" s="2" t="n">
        <f aca="false">(I53-$B53)*$A53</f>
        <v>0</v>
      </c>
      <c r="Z53" s="2" t="n">
        <f aca="false">(J53-$B53)*$A53</f>
        <v>0</v>
      </c>
      <c r="AA53" s="2" t="n">
        <f aca="false">(K53-$B53)*$A53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S54" s="2" t="n">
        <f aca="false">(C54-$B54)*$A54</f>
        <v>0</v>
      </c>
      <c r="T54" s="2" t="n">
        <f aca="false">(D54-$B54)*$A54</f>
        <v>0</v>
      </c>
      <c r="U54" s="2" t="n">
        <f aca="false">(E54-$B54)*$A54</f>
        <v>0</v>
      </c>
      <c r="V54" s="2" t="n">
        <f aca="false">(F54-$B54)*$A54</f>
        <v>0</v>
      </c>
      <c r="W54" s="2" t="n">
        <f aca="false">(G54-$B54)*$A54</f>
        <v>0</v>
      </c>
      <c r="X54" s="2" t="n">
        <f aca="false">(H54-$B54)*$A54</f>
        <v>0</v>
      </c>
      <c r="Y54" s="2" t="n">
        <f aca="false">(I54-$B54)*$A54</f>
        <v>0</v>
      </c>
      <c r="Z54" s="2" t="n">
        <f aca="false">(J54-$B54)*$A54</f>
        <v>0</v>
      </c>
      <c r="AA54" s="2" t="n">
        <f aca="false">(K54-$B54)*$A54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S55" s="2" t="n">
        <f aca="false">(C55-$B55)*$A55</f>
        <v>0</v>
      </c>
      <c r="T55" s="2" t="n">
        <f aca="false">(D55-$B55)*$A55</f>
        <v>0</v>
      </c>
      <c r="U55" s="2" t="n">
        <f aca="false">(E55-$B55)*$A55</f>
        <v>0</v>
      </c>
      <c r="V55" s="2" t="n">
        <f aca="false">(F55-$B55)*$A55</f>
        <v>0</v>
      </c>
      <c r="W55" s="2" t="n">
        <f aca="false">(G55-$B55)*$A55</f>
        <v>0</v>
      </c>
      <c r="X55" s="2" t="n">
        <f aca="false">(H55-$B55)*$A55</f>
        <v>0</v>
      </c>
      <c r="Y55" s="2" t="n">
        <f aca="false">(I55-$B55)*$A55</f>
        <v>0</v>
      </c>
      <c r="Z55" s="2" t="n">
        <f aca="false">(J55-$B55)*$A55</f>
        <v>0</v>
      </c>
      <c r="AA55" s="2" t="n">
        <f aca="false">(K55-$B55)*$A55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S56" s="2" t="n">
        <f aca="false">(C56-$B56)*$A56</f>
        <v>0</v>
      </c>
      <c r="T56" s="2" t="n">
        <f aca="false">(D56-$B56)*$A56</f>
        <v>0</v>
      </c>
      <c r="U56" s="2" t="n">
        <f aca="false">(E56-$B56)*$A56</f>
        <v>0</v>
      </c>
      <c r="V56" s="2" t="n">
        <f aca="false">(F56-$B56)*$A56</f>
        <v>0</v>
      </c>
      <c r="W56" s="2" t="n">
        <f aca="false">(G56-$B56)*$A56</f>
        <v>0</v>
      </c>
      <c r="X56" s="2" t="n">
        <f aca="false">(H56-$B56)*$A56</f>
        <v>0</v>
      </c>
      <c r="Y56" s="2" t="n">
        <f aca="false">(I56-$B56)*$A56</f>
        <v>0</v>
      </c>
      <c r="Z56" s="2" t="n">
        <f aca="false">(J56-$B56)*$A56</f>
        <v>0</v>
      </c>
      <c r="AA56" s="2" t="n">
        <f aca="false">(K56-$B56)*$A56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S57" s="2" t="n">
        <f aca="false">(C57-$B57)*$A57</f>
        <v>0</v>
      </c>
      <c r="T57" s="2" t="n">
        <f aca="false">(D57-$B57)*$A57</f>
        <v>0</v>
      </c>
      <c r="U57" s="2" t="n">
        <f aca="false">(E57-$B57)*$A57</f>
        <v>0</v>
      </c>
      <c r="V57" s="2" t="n">
        <f aca="false">(F57-$B57)*$A57</f>
        <v>0</v>
      </c>
      <c r="W57" s="2" t="n">
        <f aca="false">(G57-$B57)*$A57</f>
        <v>0</v>
      </c>
      <c r="X57" s="2" t="n">
        <f aca="false">(H57-$B57)*$A57</f>
        <v>0</v>
      </c>
      <c r="Y57" s="2" t="n">
        <f aca="false">(I57-$B57)*$A57</f>
        <v>0</v>
      </c>
      <c r="Z57" s="2" t="n">
        <f aca="false">(J57-$B57)*$A57</f>
        <v>0</v>
      </c>
      <c r="AA57" s="2" t="n">
        <f aca="false">(K57-$B57)*$A57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S58" s="2" t="n">
        <f aca="false">(C58-$B58)*$A58</f>
        <v>0</v>
      </c>
      <c r="T58" s="2" t="n">
        <f aca="false">(D58-$B58)*$A58</f>
        <v>0</v>
      </c>
      <c r="U58" s="2" t="n">
        <f aca="false">(E58-$B58)*$A58</f>
        <v>0</v>
      </c>
      <c r="V58" s="2" t="n">
        <f aca="false">(F58-$B58)*$A58</f>
        <v>0</v>
      </c>
      <c r="W58" s="2" t="n">
        <f aca="false">(G58-$B58)*$A58</f>
        <v>0</v>
      </c>
      <c r="X58" s="2" t="n">
        <f aca="false">(H58-$B58)*$A58</f>
        <v>0</v>
      </c>
      <c r="Y58" s="2" t="n">
        <f aca="false">(I58-$B58)*$A58</f>
        <v>0</v>
      </c>
      <c r="Z58" s="2" t="n">
        <f aca="false">(J58-$B58)*$A58</f>
        <v>0</v>
      </c>
      <c r="AA58" s="2" t="n">
        <f aca="false">(K58-$B58)*$A58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S59" s="2" t="n">
        <f aca="false">(C59-$B59)*$A59</f>
        <v>0</v>
      </c>
      <c r="T59" s="2" t="n">
        <f aca="false">(D59-$B59)*$A59</f>
        <v>0</v>
      </c>
      <c r="U59" s="2" t="n">
        <f aca="false">(E59-$B59)*$A59</f>
        <v>0</v>
      </c>
      <c r="V59" s="2" t="n">
        <f aca="false">(F59-$B59)*$A59</f>
        <v>0</v>
      </c>
      <c r="W59" s="2" t="n">
        <f aca="false">(G59-$B59)*$A59</f>
        <v>0</v>
      </c>
      <c r="X59" s="2" t="n">
        <f aca="false">(H59-$B59)*$A59</f>
        <v>0</v>
      </c>
      <c r="Y59" s="2" t="n">
        <f aca="false">(I59-$B59)*$A59</f>
        <v>0</v>
      </c>
      <c r="Z59" s="2" t="n">
        <f aca="false">(J59-$B59)*$A59</f>
        <v>0</v>
      </c>
      <c r="AA59" s="2" t="n">
        <f aca="false">(K59-$B59)*$A59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S60" s="2" t="n">
        <f aca="false">(C60-$B60)*$A60</f>
        <v>0</v>
      </c>
      <c r="T60" s="2" t="n">
        <f aca="false">(D60-$B60)*$A60</f>
        <v>0</v>
      </c>
      <c r="U60" s="2" t="n">
        <f aca="false">(E60-$B60)*$A60</f>
        <v>0</v>
      </c>
      <c r="V60" s="2" t="n">
        <f aca="false">(F60-$B60)*$A60</f>
        <v>0</v>
      </c>
      <c r="W60" s="2" t="n">
        <f aca="false">(G60-$B60)*$A60</f>
        <v>0</v>
      </c>
      <c r="X60" s="2" t="n">
        <f aca="false">(H60-$B60)*$A60</f>
        <v>0</v>
      </c>
      <c r="Y60" s="2" t="n">
        <f aca="false">(I60-$B60)*$A60</f>
        <v>0</v>
      </c>
      <c r="Z60" s="2" t="n">
        <f aca="false">(J60-$B60)*$A60</f>
        <v>0</v>
      </c>
      <c r="AA60" s="2" t="n">
        <f aca="false">(K60-$B60)*$A60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S61" s="2" t="n">
        <f aca="false">(C61-$B61)*$A61</f>
        <v>0</v>
      </c>
      <c r="T61" s="2" t="n">
        <f aca="false">(D61-$B61)*$A61</f>
        <v>0</v>
      </c>
      <c r="U61" s="2" t="n">
        <f aca="false">(E61-$B61)*$A61</f>
        <v>0</v>
      </c>
      <c r="V61" s="2" t="n">
        <f aca="false">(F61-$B61)*$A61</f>
        <v>0</v>
      </c>
      <c r="W61" s="2" t="n">
        <f aca="false">(G61-$B61)*$A61</f>
        <v>0</v>
      </c>
      <c r="X61" s="2" t="n">
        <f aca="false">(H61-$B61)*$A61</f>
        <v>0</v>
      </c>
      <c r="Y61" s="2" t="n">
        <f aca="false">(I61-$B61)*$A61</f>
        <v>0</v>
      </c>
      <c r="Z61" s="2" t="n">
        <f aca="false">(J61-$B61)*$A61</f>
        <v>0</v>
      </c>
      <c r="AA61" s="2" t="n">
        <f aca="false">(K61-$B61)*$A61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S62" s="2" t="n">
        <f aca="false">(C62-$B62)*$A62</f>
        <v>0</v>
      </c>
      <c r="T62" s="2" t="n">
        <f aca="false">(D62-$B62)*$A62</f>
        <v>0</v>
      </c>
      <c r="U62" s="2" t="n">
        <f aca="false">(E62-$B62)*$A62</f>
        <v>0</v>
      </c>
      <c r="V62" s="2" t="n">
        <f aca="false">(F62-$B62)*$A62</f>
        <v>0</v>
      </c>
      <c r="W62" s="2" t="n">
        <f aca="false">(G62-$B62)*$A62</f>
        <v>0</v>
      </c>
      <c r="X62" s="2" t="n">
        <f aca="false">(H62-$B62)*$A62</f>
        <v>0</v>
      </c>
      <c r="Y62" s="2" t="n">
        <f aca="false">(I62-$B62)*$A62</f>
        <v>0</v>
      </c>
      <c r="Z62" s="2" t="n">
        <f aca="false">(J62-$B62)*$A62</f>
        <v>0</v>
      </c>
      <c r="AA62" s="2" t="n">
        <f aca="false">(K62-$B62)*$A62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S63" s="2" t="n">
        <f aca="false">(C63-$B63)*$A63</f>
        <v>0</v>
      </c>
      <c r="T63" s="2" t="n">
        <f aca="false">(D63-$B63)*$A63</f>
        <v>0</v>
      </c>
      <c r="U63" s="2" t="n">
        <f aca="false">(E63-$B63)*$A63</f>
        <v>0</v>
      </c>
      <c r="V63" s="2" t="n">
        <f aca="false">(F63-$B63)*$A63</f>
        <v>0</v>
      </c>
      <c r="W63" s="2" t="n">
        <f aca="false">(G63-$B63)*$A63</f>
        <v>0</v>
      </c>
      <c r="X63" s="2" t="n">
        <f aca="false">(H63-$B63)*$A63</f>
        <v>0</v>
      </c>
      <c r="Y63" s="2" t="n">
        <f aca="false">(I63-$B63)*$A63</f>
        <v>0</v>
      </c>
      <c r="Z63" s="2" t="n">
        <f aca="false">(J63-$B63)*$A63</f>
        <v>0</v>
      </c>
      <c r="AA63" s="2" t="n">
        <f aca="false">(K63-$B63)*$A63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S64" s="2" t="n">
        <f aca="false">(C64-$B64)*$A64</f>
        <v>0</v>
      </c>
      <c r="T64" s="2" t="n">
        <f aca="false">(D64-$B64)*$A64</f>
        <v>0</v>
      </c>
      <c r="U64" s="2" t="n">
        <f aca="false">(E64-$B64)*$A64</f>
        <v>0</v>
      </c>
      <c r="V64" s="2" t="n">
        <f aca="false">(F64-$B64)*$A64</f>
        <v>0</v>
      </c>
      <c r="W64" s="2" t="n">
        <f aca="false">(G64-$B64)*$A64</f>
        <v>0</v>
      </c>
      <c r="X64" s="2" t="n">
        <f aca="false">(H64-$B64)*$A64</f>
        <v>0</v>
      </c>
      <c r="Y64" s="2" t="n">
        <f aca="false">(I64-$B64)*$A64</f>
        <v>0</v>
      </c>
      <c r="Z64" s="2" t="n">
        <f aca="false">(J64-$B64)*$A64</f>
        <v>0</v>
      </c>
      <c r="AA64" s="2" t="n">
        <f aca="false">(K64-$B64)*$A64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S65" s="2" t="n">
        <f aca="false">(C65-$B65)*$A65</f>
        <v>0</v>
      </c>
      <c r="T65" s="2" t="n">
        <f aca="false">(D65-$B65)*$A65</f>
        <v>0</v>
      </c>
      <c r="U65" s="2" t="n">
        <f aca="false">(E65-$B65)*$A65</f>
        <v>0</v>
      </c>
      <c r="V65" s="2" t="n">
        <f aca="false">(F65-$B65)*$A65</f>
        <v>0</v>
      </c>
      <c r="W65" s="2" t="n">
        <f aca="false">(G65-$B65)*$A65</f>
        <v>0</v>
      </c>
      <c r="X65" s="2" t="n">
        <f aca="false">(H65-$B65)*$A65</f>
        <v>0</v>
      </c>
      <c r="Y65" s="2" t="n">
        <f aca="false">(I65-$B65)*$A65</f>
        <v>0</v>
      </c>
      <c r="Z65" s="2" t="n">
        <f aca="false">(J65-$B65)*$A65</f>
        <v>0</v>
      </c>
      <c r="AA65" s="2" t="n">
        <f aca="false">(K65-$B65)*$A65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1" sqref="M2:M65 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9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1" sqref="M2:M65 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7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M2:M65 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1" sqref="M2:M65 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M2:M65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M2:M65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M2:M65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M2:M65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M2:M65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M2:M65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M2:M65 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2026-07-24T22:48:39Z</dcterms:modified>
  <cp:revision>217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