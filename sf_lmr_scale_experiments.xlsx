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<sst xmlns="http://schemas.openxmlformats.org/spreadsheetml/2006/main" count="1921" uniqueCount="330">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</sst>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depth_stats_ltc_new3!$AM$1</c:f>
              <c:strCache>
                <c:ptCount val="1"/>
                <c:pt idx="0">
                  <c:v>w-10ic+1=-3,02192274234853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depth_stats_ltc_new3!$AL$1</c:f>
              <c:strCache>
                <c:ptCount val="1"/>
                <c:pt idx="0">
                  <c:v>w+10pcap-3=-3,02192274234853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depth_stats_ltc_new3!$AJ$1</c:f>
              <c:strCache>
                <c:ptCount val="1"/>
                <c:pt idx="0">
                  <c:v>w-14cap+1=-3,02192274234853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depth_stats_ltc_new3!$AK$1</c:f>
              <c:strCache>
                <c:ptCount val="1"/>
                <c:pt idx="0">
                  <c:v>w-9gc+1=-3,02192274234853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depth_stats_ltc_new3!$AO$1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depth_stats_ltc_new3!$AV$1</c:f>
              <c:strCache>
                <c:ptCount val="1"/>
                <c:pt idx="0">
                  <c:v>w-d=-3,02192274234853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depth_stats_ltc_new3!$AX$1</c:f>
              <c:strCache>
                <c:ptCount val="1"/>
                <c:pt idx="0">
                  <c:v>w+(ss+1)-&gt;cuttoffCnt=-3,02192274234853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depth_stats_ltc_new3!$AS$1</c:f>
              <c:strCache>
                <c:ptCount val="1"/>
                <c:pt idx="0">
                  <c:v>w-2p=-3,02192274234853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depth_stats_ltc_new3!$AR$1</c:f>
              <c:strCache>
                <c:ptCount val="1"/>
                <c:pt idx="0">
                  <c:v>w-p=-3,02192274234853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depth_stats_ltc_new3!$AW$1</c:f>
              <c:strCache>
                <c:ptCount val="1"/>
                <c:pt idx="0">
                  <c:v>w-d+7=-3,02192274234853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depth_stats_ltc_new3!$AY$1</c:f>
              <c:strCache>
                <c:ptCount val="1"/>
                <c:pt idx="0">
                  <c:v>w+5=-3,02192274234853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depth_stats_ltc_new3!$AT$1</c:f>
              <c:strCache>
                <c:ptCount val="1"/>
                <c:pt idx="0">
                  <c:v>w2=-3,02192274234853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depth_stats_ltc_new3!$AQ$1</c:f>
              <c:strCache>
                <c:ptCount val="1"/>
                <c:pt idx="0">
                  <c:v>no_scale=-3,02192274234853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depth_stats_ltc_new3!$AP$1</c:f>
              <c:strCache>
                <c:ptCount val="1"/>
                <c:pt idx="0">
                  <c:v>w+4p=-3,02192274234853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depth_stats_ltc_new3!$AN$1</c:f>
              <c:strCache>
                <c:ptCount val="1"/>
                <c:pt idx="0">
                  <c:v>w+3p=-3,02192274234853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depth_stats_ltc_new3!$AU$1</c:f>
              <c:strCache>
                <c:ptCount val="1"/>
                <c:pt idx="0">
                  <c:v>w+p-14=-3,02192274234853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49019670"/>
        <c:axId val="98706735"/>
      </c:scatterChart>
      <c:valAx>
        <c:axId val="4901967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706735"/>
        <c:crosses val="autoZero"/>
        <c:crossBetween val="midCat"/>
      </c:valAx>
      <c:valAx>
        <c:axId val="987067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901967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depth_stats_stc_new3!$AO$1</c:f>
              <c:strCache>
                <c:ptCount val="1"/>
                <c:pt idx="0">
                  <c:v>r+653=-2,62367299066932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depth_stats_stc_new3!$AS$1</c:f>
              <c:strCache>
                <c:ptCount val="1"/>
                <c:pt idx="0">
                  <c:v>w-2p=-2,62367299066932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depth_stats_stc_new3!$AR$1</c:f>
              <c:strCache>
                <c:ptCount val="1"/>
                <c:pt idx="0">
                  <c:v>w-p=-2,62367299066932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depth_stats_stc_new3!$AT$1</c:f>
              <c:strCache>
                <c:ptCount val="1"/>
                <c:pt idx="0">
                  <c:v>w2=-2,62367299066932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depth_stats_stc_new3!$AQ$1</c:f>
              <c:strCache>
                <c:ptCount val="1"/>
                <c:pt idx="0">
                  <c:v>no_scale=-2,62367299066932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depth_stats_stc_new3!$AP$1</c:f>
              <c:strCache>
                <c:ptCount val="1"/>
                <c:pt idx="0">
                  <c:v>w+4p=-2,62367299066932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depth_stats_stc_new3!$AN$1</c:f>
              <c:strCache>
                <c:ptCount val="1"/>
                <c:pt idx="0">
                  <c:v>w+3p=-2,62367299066932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depth_stats_stc_new3!$AU$1</c:f>
              <c:strCache>
                <c:ptCount val="1"/>
                <c:pt idx="0">
                  <c:v>w+p-14=-2,62367299066932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58924087"/>
        <c:axId val="60301347"/>
      </c:scatterChart>
      <c:valAx>
        <c:axId val="5892408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0301347"/>
        <c:crosses val="autoZero"/>
        <c:crossBetween val="midCat"/>
      </c:valAx>
      <c:valAx>
        <c:axId val="6030134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892408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66003640"/>
        <c:axId val="64556075"/>
      </c:scatterChart>
      <c:valAx>
        <c:axId val="660036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4556075"/>
        <c:crosses val="autoZero"/>
        <c:crossBetween val="midCat"/>
      </c:valAx>
      <c:valAx>
        <c:axId val="645560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600364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3827841"/>
        <c:axId val="20958256"/>
      </c:scatterChart>
      <c:valAx>
        <c:axId val="382784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0958256"/>
        <c:crosses val="autoZero"/>
        <c:crossBetween val="midCat"/>
      </c:valAx>
      <c:valAx>
        <c:axId val="2095825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82784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699635051462"/>
          <c:y val="0.0346113862899774"/>
          <c:w val="0.874154262516915"/>
          <c:h val="0.66287531339815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7933086"/>
        <c:axId val="66282166"/>
      </c:scatterChart>
      <c:valAx>
        <c:axId val="5793308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6282166"/>
        <c:crosses val="autoZero"/>
        <c:crossBetween val="midCat"/>
      </c:valAx>
      <c:valAx>
        <c:axId val="6628216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793308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335487036886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13035145"/>
        <c:axId val="48496871"/>
      </c:scatterChart>
      <c:valAx>
        <c:axId val="1303514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8496871"/>
        <c:crosses val="autoZero"/>
        <c:crossBetween val="midCat"/>
      </c:valAx>
      <c:valAx>
        <c:axId val="484968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30351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81938577"/>
        <c:axId val="77552923"/>
      </c:scatterChart>
      <c:valAx>
        <c:axId val="8193857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7552923"/>
        <c:crosses val="autoZero"/>
        <c:crossBetween val="midCat"/>
      </c:valAx>
      <c:valAx>
        <c:axId val="7755292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193857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42435996"/>
        <c:axId val="48561011"/>
      </c:scatterChart>
      <c:valAx>
        <c:axId val="4243599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8561011"/>
        <c:crosses val="autoZero"/>
        <c:crossBetween val="midCat"/>
      </c:valAx>
      <c:valAx>
        <c:axId val="485610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43599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1193781"/>
        <c:axId val="97054245"/>
      </c:scatterChart>
      <c:valAx>
        <c:axId val="119378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7054245"/>
        <c:crosses val="autoZero"/>
        <c:crossBetween val="midCat"/>
      </c:valAx>
      <c:valAx>
        <c:axId val="9705424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19378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84609467"/>
        <c:axId val="3049325"/>
      </c:scatterChart>
      <c:valAx>
        <c:axId val="8460946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49325"/>
        <c:crosses val="autoZero"/>
        <c:crossBetween val="midCat"/>
      </c:valAx>
      <c:valAx>
        <c:axId val="30493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460946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57710034"/>
        <c:axId val="40773644"/>
      </c:scatterChart>
      <c:valAx>
        <c:axId val="5771003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773644"/>
        <c:crosses val="autoZero"/>
        <c:crossBetween val="midCat"/>
      </c:valAx>
      <c:valAx>
        <c:axId val="407736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71003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12022482"/>
        <c:axId val="95426852"/>
      </c:scatterChart>
      <c:valAx>
        <c:axId val="1202248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426852"/>
        <c:crosses val="autoZero"/>
        <c:crossBetween val="midCat"/>
      </c:valAx>
      <c:valAx>
        <c:axId val="954268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202248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30134519"/>
        <c:axId val="83019414"/>
      </c:scatterChart>
      <c:valAx>
        <c:axId val="3013451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3019414"/>
        <c:crosses val="autoZero"/>
        <c:crossBetween val="midCat"/>
      </c:valAx>
      <c:valAx>
        <c:axId val="8301941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13451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21020391"/>
        <c:axId val="71299409"/>
      </c:scatterChart>
      <c:valAx>
        <c:axId val="2102039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1299409"/>
        <c:crosses val="autoZero"/>
        <c:crossBetween val="midCat"/>
      </c:valAx>
      <c:valAx>
        <c:axId val="712994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102039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94023505876"/>
          <c:y val="0.0400489487150962"/>
          <c:w val="0.873655913978495"/>
          <c:h val="0.959506062965847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61048781"/>
        <c:axId val="89122233"/>
      </c:scatterChart>
      <c:valAx>
        <c:axId val="610487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122233"/>
        <c:crossesAt val="0"/>
        <c:crossBetween val="midCat"/>
      </c:valAx>
      <c:valAx>
        <c:axId val="8912223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04878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30357526"/>
        <c:axId val="79810237"/>
      </c:scatterChart>
      <c:valAx>
        <c:axId val="303575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810237"/>
        <c:crossesAt val="0"/>
        <c:crossBetween val="midCat"/>
      </c:valAx>
      <c:valAx>
        <c:axId val="7981023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35752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95757607"/>
        <c:axId val="30014889"/>
      </c:scatterChart>
      <c:valAx>
        <c:axId val="957576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14889"/>
        <c:crossesAt val="0"/>
        <c:crossBetween val="midCat"/>
      </c:valAx>
      <c:valAx>
        <c:axId val="3001488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75760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5856904"/>
        <c:axId val="92439008"/>
      </c:scatterChart>
      <c:valAx>
        <c:axId val="58569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439008"/>
        <c:crossesAt val="0"/>
        <c:crossBetween val="midCat"/>
      </c:valAx>
      <c:valAx>
        <c:axId val="9243900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5690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78911039"/>
        <c:axId val="36324132"/>
      </c:scatterChart>
      <c:valAx>
        <c:axId val="789110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324132"/>
        <c:crossesAt val="0"/>
        <c:crossBetween val="midCat"/>
      </c:valAx>
      <c:valAx>
        <c:axId val="3632413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91103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22355588897"/>
          <c:y val="0.0400534045393859"/>
          <c:w val="0.778069517379345"/>
          <c:h val="0.959501557632399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67833547"/>
        <c:axId val="7164647"/>
      </c:scatterChart>
      <c:valAx>
        <c:axId val="678335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64647"/>
        <c:crossesAt val="0"/>
        <c:crossBetween val="midCat"/>
      </c:valAx>
      <c:valAx>
        <c:axId val="716464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83354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12636826"/>
        <c:axId val="99468328"/>
      </c:scatterChart>
      <c:valAx>
        <c:axId val="126368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468328"/>
        <c:crossesAt val="0"/>
        <c:crossBetween val="midCat"/>
      </c:valAx>
      <c:valAx>
        <c:axId val="9946832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63682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639720</xdr:colOff>
      <xdr:row>0</xdr:row>
      <xdr:rowOff>134280</xdr:rowOff>
    </xdr:from>
    <xdr:to>
      <xdr:col>76</xdr:col>
      <xdr:colOff>527400</xdr:colOff>
      <xdr:row>38</xdr:row>
      <xdr:rowOff>110880</xdr:rowOff>
    </xdr:to>
    <xdr:graphicFrame>
      <xdr:nvGraphicFramePr>
        <xdr:cNvPr id="1" name=""/>
        <xdr:cNvGraphicFramePr/>
      </xdr:nvGraphicFramePr>
      <xdr:xfrm>
        <a:off x="5586300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639360</xdr:colOff>
      <xdr:row>0</xdr:row>
      <xdr:rowOff>134280</xdr:rowOff>
    </xdr:from>
    <xdr:to>
      <xdr:col>76</xdr:col>
      <xdr:colOff>527040</xdr:colOff>
      <xdr:row>38</xdr:row>
      <xdr:rowOff>110880</xdr:rowOff>
    </xdr:to>
    <xdr:graphicFrame>
      <xdr:nvGraphicFramePr>
        <xdr:cNvPr id="2" name=""/>
        <xdr:cNvGraphicFramePr/>
      </xdr:nvGraphicFramePr>
      <xdr:xfrm>
        <a:off x="5586264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310320</xdr:colOff>
      <xdr:row>38</xdr:row>
      <xdr:rowOff>110880</xdr:rowOff>
    </xdr:to>
    <xdr:graphicFrame>
      <xdr:nvGraphicFramePr>
        <xdr:cNvPr id="3" name=""/>
        <xdr:cNvGraphicFramePr/>
      </xdr:nvGraphicFramePr>
      <xdr:xfrm>
        <a:off x="5586192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587880</xdr:colOff>
      <xdr:row>38</xdr:row>
      <xdr:rowOff>110880</xdr:rowOff>
    </xdr:to>
    <xdr:graphicFrame>
      <xdr:nvGraphicFramePr>
        <xdr:cNvPr id="4" name=""/>
        <xdr:cNvGraphicFramePr/>
      </xdr:nvGraphicFramePr>
      <xdr:xfrm>
        <a:off x="5586264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628920</xdr:colOff>
      <xdr:row>34</xdr:row>
      <xdr:rowOff>159120</xdr:rowOff>
    </xdr:to>
    <xdr:graphicFrame>
      <xdr:nvGraphicFramePr>
        <xdr:cNvPr id="5" name=""/>
        <xdr:cNvGraphicFramePr/>
      </xdr:nvGraphicFramePr>
      <xdr:xfrm>
        <a:off x="40653000" y="231120"/>
        <a:ext cx="8778960" cy="588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11520</xdr:colOff>
      <xdr:row>38</xdr:row>
      <xdr:rowOff>110880</xdr:rowOff>
    </xdr:to>
    <xdr:graphicFrame>
      <xdr:nvGraphicFramePr>
        <xdr:cNvPr id="6" name=""/>
        <xdr:cNvGraphicFramePr/>
      </xdr:nvGraphicFramePr>
      <xdr:xfrm>
        <a:off x="5586300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217800</xdr:colOff>
      <xdr:row>18</xdr:row>
      <xdr:rowOff>6480</xdr:rowOff>
    </xdr:to>
    <xdr:graphicFrame>
      <xdr:nvGraphicFramePr>
        <xdr:cNvPr id="7" name="Diagramm 2"/>
        <xdr:cNvGraphicFramePr/>
      </xdr:nvGraphicFramePr>
      <xdr:xfrm>
        <a:off x="18891360" y="174600"/>
        <a:ext cx="5342040" cy="326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220680</xdr:colOff>
      <xdr:row>34</xdr:row>
      <xdr:rowOff>180720</xdr:rowOff>
    </xdr:to>
    <xdr:graphicFrame>
      <xdr:nvGraphicFramePr>
        <xdr:cNvPr id="8" name="Diagramm 3"/>
        <xdr:cNvGraphicFramePr/>
      </xdr:nvGraphicFramePr>
      <xdr:xfrm>
        <a:off x="18903600" y="3520800"/>
        <a:ext cx="5332680" cy="313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8640</xdr:colOff>
      <xdr:row>16</xdr:row>
      <xdr:rowOff>91440</xdr:rowOff>
    </xdr:to>
    <xdr:graphicFrame>
      <xdr:nvGraphicFramePr>
        <xdr:cNvPr id="9" name="Diagramm 2"/>
        <xdr:cNvGraphicFramePr/>
      </xdr:nvGraphicFramePr>
      <xdr:xfrm>
        <a:off x="39332880" y="116640"/>
        <a:ext cx="5175360" cy="30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52920</xdr:colOff>
      <xdr:row>33</xdr:row>
      <xdr:rowOff>110880</xdr:rowOff>
    </xdr:to>
    <xdr:graphicFrame>
      <xdr:nvGraphicFramePr>
        <xdr:cNvPr id="10" name="Diagramm 3"/>
        <xdr:cNvGraphicFramePr/>
      </xdr:nvGraphicFramePr>
      <xdr:xfrm>
        <a:off x="39324600" y="3232080"/>
        <a:ext cx="522792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188640</xdr:colOff>
      <xdr:row>18</xdr:row>
      <xdr:rowOff>168120</xdr:rowOff>
    </xdr:to>
    <xdr:graphicFrame>
      <xdr:nvGraphicFramePr>
        <xdr:cNvPr id="11" name="Diagramm 2"/>
        <xdr:cNvGraphicFramePr/>
      </xdr:nvGraphicFramePr>
      <xdr:xfrm>
        <a:off x="10677960" y="61920"/>
        <a:ext cx="5342040" cy="326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189000</xdr:colOff>
      <xdr:row>38</xdr:row>
      <xdr:rowOff>82440</xdr:rowOff>
    </xdr:to>
    <xdr:graphicFrame>
      <xdr:nvGraphicFramePr>
        <xdr:cNvPr id="12" name="Diagramm 3"/>
        <xdr:cNvGraphicFramePr/>
      </xdr:nvGraphicFramePr>
      <xdr:xfrm>
        <a:off x="10687680" y="3605400"/>
        <a:ext cx="5332680" cy="313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27000</xdr:colOff>
      <xdr:row>17</xdr:row>
      <xdr:rowOff>124560</xdr:rowOff>
    </xdr:to>
    <xdr:graphicFrame>
      <xdr:nvGraphicFramePr>
        <xdr:cNvPr id="13" name="Diagramm 2"/>
        <xdr:cNvGraphicFramePr/>
      </xdr:nvGraphicFramePr>
      <xdr:xfrm>
        <a:off x="10683000" y="81000"/>
        <a:ext cx="5175360" cy="30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103320</xdr:colOff>
      <xdr:row>37</xdr:row>
      <xdr:rowOff>96480</xdr:rowOff>
    </xdr:to>
    <xdr:graphicFrame>
      <xdr:nvGraphicFramePr>
        <xdr:cNvPr id="14" name="Diagramm 3"/>
        <xdr:cNvGraphicFramePr/>
      </xdr:nvGraphicFramePr>
      <xdr:xfrm>
        <a:off x="10706760" y="3415680"/>
        <a:ext cx="522792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537840</xdr:colOff>
      <xdr:row>19</xdr:row>
      <xdr:rowOff>145800</xdr:rowOff>
    </xdr:to>
    <xdr:graphicFrame>
      <xdr:nvGraphicFramePr>
        <xdr:cNvPr id="15" name="Diagramm 1"/>
        <xdr:cNvGraphicFramePr/>
      </xdr:nvGraphicFramePr>
      <xdr:xfrm>
        <a:off x="4326120" y="240120"/>
        <a:ext cx="575820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702360</xdr:colOff>
      <xdr:row>22</xdr:row>
      <xdr:rowOff>122400</xdr:rowOff>
    </xdr:to>
    <xdr:graphicFrame>
      <xdr:nvGraphicFramePr>
        <xdr:cNvPr id="16" name="Diagramm 1"/>
        <xdr:cNvGraphicFramePr/>
      </xdr:nvGraphicFramePr>
      <xdr:xfrm>
        <a:off x="1713240" y="360"/>
        <a:ext cx="9794160" cy="39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702360</xdr:colOff>
      <xdr:row>22</xdr:row>
      <xdr:rowOff>122400</xdr:rowOff>
    </xdr:to>
    <xdr:graphicFrame>
      <xdr:nvGraphicFramePr>
        <xdr:cNvPr id="17" name="Diagramm 1"/>
        <xdr:cNvGraphicFramePr/>
      </xdr:nvGraphicFramePr>
      <xdr:xfrm>
        <a:off x="1713240" y="360"/>
        <a:ext cx="9794160" cy="39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264600</xdr:colOff>
      <xdr:row>129</xdr:row>
      <xdr:rowOff>132840</xdr:rowOff>
    </xdr:to>
    <xdr:graphicFrame>
      <xdr:nvGraphicFramePr>
        <xdr:cNvPr id="18" name="Diagramm 1"/>
        <xdr:cNvGraphicFramePr/>
      </xdr:nvGraphicFramePr>
      <xdr:xfrm>
        <a:off x="2215800" y="19506240"/>
        <a:ext cx="575820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421560</xdr:colOff>
      <xdr:row>20</xdr:row>
      <xdr:rowOff>68760</xdr:rowOff>
    </xdr:to>
    <xdr:graphicFrame>
      <xdr:nvGraphicFramePr>
        <xdr:cNvPr id="19" name="Diagramm 2"/>
        <xdr:cNvGraphicFramePr/>
      </xdr:nvGraphicFramePr>
      <xdr:xfrm>
        <a:off x="16316280" y="331560"/>
        <a:ext cx="5758200" cy="324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2160</xdr:colOff>
      <xdr:row>78</xdr:row>
      <xdr:rowOff>81360</xdr:rowOff>
    </xdr:to>
    <xdr:graphicFrame>
      <xdr:nvGraphicFramePr>
        <xdr:cNvPr id="20" name="Diagramm 3"/>
        <xdr:cNvGraphicFramePr/>
      </xdr:nvGraphicFramePr>
      <xdr:xfrm>
        <a:off x="16639920" y="10516320"/>
        <a:ext cx="575820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228240</xdr:colOff>
      <xdr:row>18</xdr:row>
      <xdr:rowOff>119520</xdr:rowOff>
    </xdr:to>
    <xdr:graphicFrame>
      <xdr:nvGraphicFramePr>
        <xdr:cNvPr id="21" name="Diagramm 1"/>
        <xdr:cNvGraphicFramePr/>
      </xdr:nvGraphicFramePr>
      <xdr:xfrm>
        <a:off x="5729760" y="3600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1" sqref="AM:AM G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w-14cap+1=-3,02192274234853</v>
      </c>
      <c r="E1" s="1" t="str">
        <f aca="false">"w-9gc+1="&amp; SUMPRODUCT($A2:$A65,E2:E65)/100-SUMPRODUCT($A2:$A65,$B2:$B65)/100</f>
        <v>w-9gc+1=-3,02192274234853</v>
      </c>
      <c r="F1" s="1" t="str">
        <f aca="false">"w+10pcap-3="&amp; SUMPRODUCT($A2:$A65,F2:F65)/100-SUMPRODUCT($A2:$A65,$B2:$B65)/100</f>
        <v>w+10pcap-3=-3,02192274234853</v>
      </c>
      <c r="G1" s="1" t="str">
        <f aca="false">"w-10ic+1="&amp; SUMPRODUCT($A2:$A65,G2:G65)/100-SUMPRODUCT($A2:$A65,$B2:$B65)/100</f>
        <v>w-10ic+1=-3,02192274234853</v>
      </c>
      <c r="H1" s="1" t="str">
        <f aca="false">"w+3p="&amp; SUMPRODUCT($A2:$A65,H2:H65)/100-SUMPRODUCT($A2:$A65,$B2:$B65)/100</f>
        <v>w+3p=-3,02192274234853</v>
      </c>
      <c r="I1" s="1" t="str">
        <f aca="false">"r+653="&amp; SUMPRODUCT($A2:$A65,I2:I65)/100-SUMPRODUCT($A2:$A65,$B2:$B65)/100</f>
        <v>r+653=-3,02192274234853</v>
      </c>
      <c r="J1" s="1" t="str">
        <f aca="false">"w+4p="&amp; SUMPRODUCT($A2:$A65,J2:J65)/100-SUMPRODUCT($A2:$A65,$B2:$B65)/100</f>
        <v>w+4p=-3,02192274234853</v>
      </c>
      <c r="K1" s="1" t="str">
        <f aca="false">"no_scale="&amp; SUMPRODUCT($A2:$A65,K2:K65)/100-SUMPRODUCT($A2:$A65,$B2:$B65)/100</f>
        <v>no_scale=-3,02192274234853</v>
      </c>
      <c r="L1" s="1" t="str">
        <f aca="false">"w-p="&amp; SUMPRODUCT($A2:$A65,L2:L65)/100-SUMPRODUCT($A2:$A65,$B2:$B65)/100</f>
        <v>w-p=-3,02192274234853</v>
      </c>
      <c r="M1" s="1" t="str">
        <f aca="false">"w-2p="&amp; SUMPRODUCT($A2:$A65,M2:M65)/100-SUMPRODUCT($A2:$A65,$B2:$B65)/100</f>
        <v>w-2p=-3,02192274234853</v>
      </c>
      <c r="N1" s="1" t="str">
        <f aca="false">"w2="&amp; SUMPRODUCT($A2:$A65,N2:N65)/100-SUMPRODUCT($A2:$A65,$B2:$B65)/100</f>
        <v>w2=-3,02192274234853</v>
      </c>
      <c r="O1" s="1" t="str">
        <f aca="false">"w+p-14="&amp; SUMPRODUCT($A2:$A65,O2:O65)/100-SUMPRODUCT($A2:$A65,$B2:$B65)/100</f>
        <v>w+p-14=-3,02192274234853</v>
      </c>
      <c r="P1" s="1" t="str">
        <f aca="false">"w-d="&amp; SUMPRODUCT($A2:$A65,P2:P65)/100-SUMPRODUCT($A2:$A65,$B2:$B65)/100</f>
        <v>w-d=-3,02192274234853</v>
      </c>
      <c r="Q1" s="1" t="str">
        <f aca="false">"w-d+7="&amp; SUMPRODUCT($A2:$A65,Q2:Q65)/100-SUMPRODUCT($A2:$A65,$B2:$B65)/100</f>
        <v>w-d+7=-3,02192274234853</v>
      </c>
      <c r="R1" s="1" t="str">
        <f aca="false">"w+(ss+1)-&gt;cuttoffCnt="&amp; SUMPRODUCT($A2:$A65,R2:R65)/100-SUMPRODUCT($A2:$A65,$B2:$B65)/100</f>
        <v>w+(ss+1)-&gt;cuttoffCnt=-3,02192274234853</v>
      </c>
      <c r="S1" s="1" t="str">
        <f aca="false">"w+5="&amp; SUMPRODUCT($A2:$A65,S2:S65)/100-SUMPRODUCT($A2:$A65,$B2:$B65)/100</f>
        <v>w+5=-3,02192274234853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w-14cap+1=-3,02192274234853</v>
      </c>
      <c r="AK1" s="1" t="str">
        <f aca="false">E1</f>
        <v>w-9gc+1=-3,02192274234853</v>
      </c>
      <c r="AL1" s="1" t="str">
        <f aca="false">F1</f>
        <v>w+10pcap-3=-3,02192274234853</v>
      </c>
      <c r="AM1" s="1" t="str">
        <f aca="false">G1</f>
        <v>w-10ic+1=-3,02192274234853</v>
      </c>
      <c r="AN1" s="1" t="str">
        <f aca="false">H1</f>
        <v>w+3p=-3,02192274234853</v>
      </c>
      <c r="AO1" s="1" t="str">
        <f aca="false">I1</f>
        <v>r+653=-3,02192274234853</v>
      </c>
      <c r="AP1" s="1" t="str">
        <f aca="false">J1</f>
        <v>w+4p=-3,02192274234853</v>
      </c>
      <c r="AQ1" s="1" t="str">
        <f aca="false">K1</f>
        <v>no_scale=-3,02192274234853</v>
      </c>
      <c r="AR1" s="1" t="str">
        <f aca="false">L1</f>
        <v>w-p=-3,02192274234853</v>
      </c>
      <c r="AS1" s="1" t="str">
        <f aca="false">M1</f>
        <v>w-2p=-3,02192274234853</v>
      </c>
      <c r="AT1" s="1" t="str">
        <f aca="false">N1</f>
        <v>w2=-3,02192274234853</v>
      </c>
      <c r="AU1" s="1" t="str">
        <f aca="false">O1</f>
        <v>w+p-14=-3,02192274234853</v>
      </c>
      <c r="AV1" s="1" t="str">
        <f aca="false">P1</f>
        <v>w-d=-3,02192274234853</v>
      </c>
      <c r="AW1" s="1" t="str">
        <f aca="false">Q1</f>
        <v>w-d+7=-3,02192274234853</v>
      </c>
      <c r="AX1" s="1" t="str">
        <f aca="false">R1</f>
        <v>w+(ss+1)-&gt;cuttoffCnt=-3,02192274234853</v>
      </c>
      <c r="AY1" s="1" t="str">
        <f aca="false">S1</f>
        <v>w+5=-3,02192274234853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AA2" s="1" t="n">
        <v>24.6099</v>
      </c>
      <c r="AC2" s="1" t="n">
        <v>28.2531</v>
      </c>
      <c r="AH2" s="2"/>
      <c r="AI2" s="2" t="n">
        <f aca="false">(C2-$B2)*$A2</f>
        <v>-0</v>
      </c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-0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AA3" s="1" t="n">
        <v>23.4504</v>
      </c>
      <c r="AC3" s="1" t="n">
        <v>28.8466</v>
      </c>
      <c r="AH3" s="2"/>
      <c r="AI3" s="2" t="n">
        <f aca="false">(C3-$B3)*$A3</f>
        <v>1.8137</v>
      </c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-2.6409</v>
      </c>
      <c r="BH3" s="2"/>
      <c r="BI3" s="2" t="n">
        <f aca="false">(AC3-$B3)*$A3</f>
        <v>2.7553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AA4" s="1" t="n">
        <v>8.70378</v>
      </c>
      <c r="AC4" s="1" t="n">
        <v>8.4092</v>
      </c>
      <c r="AH4" s="2"/>
      <c r="AI4" s="2" t="n">
        <f aca="false">(C4-$B4)*$A4</f>
        <v>-0.594839999999998</v>
      </c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0.0338400000000014</v>
      </c>
      <c r="BH4" s="2"/>
      <c r="BI4" s="2" t="n">
        <f aca="false">(AC4-$B4)*$A4</f>
        <v>-0.555319999999998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AA5" s="1" t="n">
        <v>8.53919</v>
      </c>
      <c r="AC5" s="1" t="n">
        <v>7.55211</v>
      </c>
      <c r="AH5" s="2"/>
      <c r="AI5" s="2" t="n">
        <f aca="false">(C5-$B5)*$A5</f>
        <v>-1.64157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0.939629999999999</v>
      </c>
      <c r="BH5" s="2"/>
      <c r="BI5" s="2" t="n">
        <f aca="false">(AC5-$B5)*$A5</f>
        <v>-2.02161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AA6" s="1" t="n">
        <v>6.95282</v>
      </c>
      <c r="AC6" s="1" t="n">
        <v>6.08196</v>
      </c>
      <c r="AH6" s="2"/>
      <c r="AI6" s="2" t="n">
        <f aca="false">(C6-$B6)*$A6</f>
        <v>-1.52672</v>
      </c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1.11496</v>
      </c>
      <c r="BH6" s="2"/>
      <c r="BI6" s="2" t="n">
        <f aca="false">(AC6-$B6)*$A6</f>
        <v>-2.36848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AA7" s="1" t="n">
        <v>4.93546</v>
      </c>
      <c r="AC7" s="1" t="n">
        <v>4.46265</v>
      </c>
      <c r="AH7" s="2"/>
      <c r="AI7" s="2" t="n">
        <f aca="false">(C7-$B7)*$A7</f>
        <v>0.0312000000000001</v>
      </c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0.503100000000001</v>
      </c>
      <c r="BH7" s="2"/>
      <c r="BI7" s="2" t="n">
        <f aca="false">(AC7-$B7)*$A7</f>
        <v>-1.86095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AA8" s="1" t="n">
        <v>3.69119</v>
      </c>
      <c r="AC8" s="1" t="n">
        <v>3.41921</v>
      </c>
      <c r="AH8" s="2"/>
      <c r="AI8" s="2" t="n">
        <f aca="false">(C8-$B8)*$A8</f>
        <v>0.64872</v>
      </c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0.181200000000001</v>
      </c>
      <c r="BH8" s="2"/>
      <c r="BI8" s="2" t="n">
        <f aca="false">(AC8-$B8)*$A8</f>
        <v>-1.45068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AA9" s="1" t="n">
        <v>3.19219</v>
      </c>
      <c r="AC9" s="1" t="n">
        <v>2.80489</v>
      </c>
      <c r="AH9" s="2"/>
      <c r="AI9" s="2" t="n">
        <f aca="false">(C9-$B9)*$A9</f>
        <v>0.837900000000003</v>
      </c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1.17229</v>
      </c>
      <c r="BH9" s="2"/>
      <c r="BI9" s="2" t="n">
        <f aca="false">(AC9-$B9)*$A9</f>
        <v>-1.53881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AA10" s="1" t="n">
        <v>3.08121</v>
      </c>
      <c r="AC10" s="1" t="n">
        <v>2.36256</v>
      </c>
      <c r="AH10" s="2"/>
      <c r="AI10" s="2" t="n">
        <f aca="false">(C10-$B10)*$A10</f>
        <v>-0.26296</v>
      </c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3.3172</v>
      </c>
      <c r="BH10" s="2"/>
      <c r="BI10" s="2" t="n">
        <f aca="false">(AC10-$B10)*$A10</f>
        <v>-2.432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AA11" s="1" t="n">
        <v>3.01351</v>
      </c>
      <c r="AC11" s="1" t="n">
        <v>1.91055</v>
      </c>
      <c r="AH11" s="2"/>
      <c r="AI11" s="2" t="n">
        <f aca="false">(C11-$B11)*$A11</f>
        <v>-1.28151</v>
      </c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6.25869</v>
      </c>
      <c r="BH11" s="2"/>
      <c r="BI11" s="2" t="n">
        <f aca="false">(AC11-$B11)*$A11</f>
        <v>-3.66795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AA12" s="1" t="n">
        <v>2.66565</v>
      </c>
      <c r="AC12" s="1" t="n">
        <v>1.50761</v>
      </c>
      <c r="AH12" s="2"/>
      <c r="AI12" s="2" t="n">
        <f aca="false">(C12-$B12)*$A12</f>
        <v>-1.7308</v>
      </c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7.4413</v>
      </c>
      <c r="BH12" s="2"/>
      <c r="BI12" s="2" t="n">
        <f aca="false">(AC12-$B12)*$A12</f>
        <v>-4.1391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AA13" s="1" t="n">
        <v>2.29795</v>
      </c>
      <c r="AC13" s="1" t="n">
        <v>1.15815</v>
      </c>
      <c r="AH13" s="2"/>
      <c r="AI13" s="2" t="n">
        <f aca="false">(C13-$B13)*$A13</f>
        <v>-1.78926</v>
      </c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8.19346</v>
      </c>
      <c r="BH13" s="2"/>
      <c r="BI13" s="2" t="n">
        <f aca="false">(AC13-$B13)*$A13</f>
        <v>-4.34434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AA14" s="1" t="n">
        <v>1.69233</v>
      </c>
      <c r="AC14" s="1" t="n">
        <v>0.875223</v>
      </c>
      <c r="AH14" s="2"/>
      <c r="AI14" s="2" t="n">
        <f aca="false">(C14-$B14)*$A14</f>
        <v>-1.13016</v>
      </c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6.08388</v>
      </c>
      <c r="BH14" s="2"/>
      <c r="BI14" s="2" t="n">
        <f aca="false">(AC14-$B14)*$A14</f>
        <v>-3.721404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AA15" s="1" t="n">
        <v>1.1062</v>
      </c>
      <c r="AC15" s="1" t="n">
        <v>0.645085</v>
      </c>
      <c r="AH15" s="2"/>
      <c r="AI15" s="2" t="n">
        <f aca="false">(C15-$B15)*$A15</f>
        <v>-0.351286000000001</v>
      </c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3.168048</v>
      </c>
      <c r="BH15" s="2"/>
      <c r="BI15" s="2" t="n">
        <f aca="false">(AC15-$B15)*$A15</f>
        <v>-2.826447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AA16" s="1" t="n">
        <v>0.687208</v>
      </c>
      <c r="AC16" s="1" t="n">
        <v>0.473422</v>
      </c>
      <c r="AH16" s="2"/>
      <c r="AI16" s="2" t="n">
        <f aca="false">(C16-$B16)*$A16</f>
        <v>0.191589999999999</v>
      </c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0.972944</v>
      </c>
      <c r="BH16" s="2"/>
      <c r="BI16" s="2" t="n">
        <f aca="false">(AC16-$B16)*$A16</f>
        <v>-2.02006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AA17" s="1" t="n">
        <v>0.425032</v>
      </c>
      <c r="AC17" s="1" t="n">
        <v>0.344251</v>
      </c>
      <c r="AH17" s="2"/>
      <c r="AI17" s="2" t="n">
        <f aca="false">(C17-$B17)*$A17</f>
        <v>0.432855</v>
      </c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-0.247094999999999</v>
      </c>
      <c r="BH17" s="2"/>
      <c r="BI17" s="2" t="n">
        <f aca="false">(AC17-$B17)*$A17</f>
        <v>-1.45881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AA18" s="1" t="n">
        <v>0.280083</v>
      </c>
      <c r="AC18" s="1" t="n">
        <v>0.250198</v>
      </c>
      <c r="AH18" s="2"/>
      <c r="AI18" s="2" t="n">
        <f aca="false">(C18-$B18)*$A18</f>
        <v>0.432224</v>
      </c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-0.63272</v>
      </c>
      <c r="BH18" s="2"/>
      <c r="BI18" s="2" t="n">
        <f aca="false">(AC18-$B18)*$A18</f>
        <v>-1.11088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AA19" s="1" t="n">
        <v>0.19418</v>
      </c>
      <c r="AC19" s="1" t="n">
        <v>0.181378</v>
      </c>
      <c r="AH19" s="2"/>
      <c r="AI19" s="2" t="n">
        <f aca="false">(C19-$B19)*$A19</f>
        <v>0.353396</v>
      </c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-0.649553</v>
      </c>
      <c r="BH19" s="2"/>
      <c r="BI19" s="2" t="n">
        <f aca="false">(AC19-$B19)*$A19</f>
        <v>-0.867187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AA20" s="1" t="n">
        <v>0.13796</v>
      </c>
      <c r="AC20" s="1" t="n">
        <v>0.130553</v>
      </c>
      <c r="AH20" s="2"/>
      <c r="AI20" s="2" t="n">
        <f aca="false">(C20-$B20)*$A20</f>
        <v>0.25101</v>
      </c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-0.538398</v>
      </c>
      <c r="BH20" s="2"/>
      <c r="BI20" s="2" t="n">
        <f aca="false">(AC20-$B20)*$A20</f>
        <v>-0.671724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AA21" s="1" t="n">
        <v>0.0981427</v>
      </c>
      <c r="AC21" s="1" t="n">
        <v>0.0936554</v>
      </c>
      <c r="AH21" s="2"/>
      <c r="AI21" s="2" t="n">
        <f aca="false">(C21-$B21)*$A21</f>
        <v>0.149093</v>
      </c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-0.4317427</v>
      </c>
      <c r="BH21" s="2"/>
      <c r="BI21" s="2" t="n">
        <f aca="false">(AC21-$B21)*$A21</f>
        <v>-0.5170014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AA22" s="1" t="n">
        <v>0.0700277</v>
      </c>
      <c r="AC22" s="1" t="n">
        <v>0.0671239</v>
      </c>
      <c r="AH22" s="2"/>
      <c r="AI22" s="2" t="n">
        <f aca="false">(C22-$B22)*$A22</f>
        <v>0.0647479999999998</v>
      </c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-0.333798</v>
      </c>
      <c r="BH22" s="2"/>
      <c r="BI22" s="2" t="n">
        <f aca="false">(AC22-$B22)*$A22</f>
        <v>-0.391874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AA23" s="1" t="n">
        <v>0.0501656</v>
      </c>
      <c r="AC23" s="1" t="n">
        <v>0.0482146</v>
      </c>
      <c r="AH23" s="2"/>
      <c r="AI23" s="2" t="n">
        <f aca="false">(C23-$B23)*$A23</f>
        <v>0.00412860000000011</v>
      </c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-0.2504565</v>
      </c>
      <c r="BH23" s="2"/>
      <c r="BI23" s="2" t="n">
        <f aca="false">(AC23-$B23)*$A23</f>
        <v>-0.2914275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AA24" s="1" t="n">
        <v>0.0360731</v>
      </c>
      <c r="AC24" s="1" t="n">
        <v>0.0347246</v>
      </c>
      <c r="AH24" s="2"/>
      <c r="AI24" s="2" t="n">
        <f aca="false">(C24-$B24)*$A24</f>
        <v>-0.0376596</v>
      </c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-0.1805628</v>
      </c>
      <c r="BH24" s="2"/>
      <c r="BI24" s="2" t="n">
        <f aca="false">(AC24-$B24)*$A24</f>
        <v>-0.2102298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AA25" s="1" t="n">
        <v>0.0259232</v>
      </c>
      <c r="AC25" s="1" t="n">
        <v>0.0250213</v>
      </c>
      <c r="AH25" s="2"/>
      <c r="AI25" s="2" t="n">
        <f aca="false">(C25-$B25)*$A25</f>
        <v>-0.0631741</v>
      </c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-0.1257939</v>
      </c>
      <c r="BH25" s="2"/>
      <c r="BI25" s="2" t="n">
        <f aca="false">(AC25-$B25)*$A25</f>
        <v>-0.1465376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AA26" s="1" t="n">
        <v>0.0187631</v>
      </c>
      <c r="AC26" s="1" t="n">
        <v>0.0181275</v>
      </c>
      <c r="AH26" s="2"/>
      <c r="AI26" s="2" t="n">
        <f aca="false">(C26-$B26)*$A26</f>
        <v>-0.0711024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-0.0800279999999999</v>
      </c>
      <c r="BH26" s="2"/>
      <c r="BI26" s="2" t="n">
        <f aca="false">(AC26-$B26)*$A26</f>
        <v>-0.0952823999999999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AA27" s="1" t="n">
        <v>0.0135647</v>
      </c>
      <c r="AC27" s="1" t="n">
        <v>0.01314</v>
      </c>
      <c r="AH27" s="2"/>
      <c r="AI27" s="2" t="n">
        <f aca="false">(C27-$B27)*$A27</f>
        <v>-0.066205</v>
      </c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-0.044515</v>
      </c>
      <c r="BH27" s="2"/>
      <c r="BI27" s="2" t="n">
        <f aca="false">(AC27-$B27)*$A27</f>
        <v>-0.0551325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AA28" s="1" t="n">
        <v>0.00979747</v>
      </c>
      <c r="AC28" s="1" t="n">
        <v>0.00953385</v>
      </c>
      <c r="AH28" s="2"/>
      <c r="AI28" s="2" t="n">
        <f aca="false">(C28-$B28)*$A28</f>
        <v>-0.05647694</v>
      </c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-0.01787058</v>
      </c>
      <c r="BH28" s="2"/>
      <c r="BI28" s="2" t="n">
        <f aca="false">(AC28-$B28)*$A28</f>
        <v>-0.0247247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AA29" s="1" t="n">
        <v>0.00701591</v>
      </c>
      <c r="AC29" s="1" t="n">
        <v>0.00686415</v>
      </c>
      <c r="AH29" s="2"/>
      <c r="AI29" s="2" t="n">
        <f aca="false">(C29-$B29)*$A29</f>
        <v>-0.04352724</v>
      </c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0.000557280000000016</v>
      </c>
      <c r="BH29" s="2"/>
      <c r="BI29" s="2" t="n">
        <f aca="false">(AC29-$B29)*$A29</f>
        <v>-0.00354023999999998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0.00493821</v>
      </c>
      <c r="AB30" s="3"/>
      <c r="AC30" s="3" t="n">
        <v>0.00488482</v>
      </c>
      <c r="AD30" s="3"/>
      <c r="AE30" s="3"/>
      <c r="AF30" s="3"/>
      <c r="AG30" s="3"/>
      <c r="AH30" s="2"/>
      <c r="AI30" s="2" t="n">
        <f aca="false">(C30-$B30)*$A30</f>
        <v>-0.0314468</v>
      </c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0.01051988</v>
      </c>
      <c r="BH30" s="2"/>
      <c r="BI30" s="2" t="n">
        <f aca="false">(AC30-$B30)*$A30</f>
        <v>0.00902496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G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0.00342302</v>
      </c>
      <c r="AB31" s="3"/>
      <c r="AC31" s="3" t="n">
        <v>0.00342391</v>
      </c>
      <c r="AD31" s="3"/>
      <c r="AE31" s="3"/>
      <c r="AF31" s="3"/>
      <c r="AG31" s="3"/>
      <c r="AH31" s="2"/>
      <c r="AI31" s="2" t="n">
        <f aca="false">(C31-$B31)*$A31</f>
        <v>-0.02153946</v>
      </c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0.01512524</v>
      </c>
      <c r="BH31" s="2"/>
      <c r="BI31" s="2" t="n">
        <f aca="false">(AC31-$B31)*$A31</f>
        <v>0.01515105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F32" s="3"/>
      <c r="G32" s="3"/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0.0022736</v>
      </c>
      <c r="AB32" s="3"/>
      <c r="AC32" s="3" t="n">
        <v>0.00233545</v>
      </c>
      <c r="AD32" s="3"/>
      <c r="AE32" s="3"/>
      <c r="AF32" s="3"/>
      <c r="AG32" s="3"/>
      <c r="AH32" s="2"/>
      <c r="AI32" s="2" t="n">
        <f aca="false">(C32-$B32)*$A32</f>
        <v>-0.0131475</v>
      </c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0.0149718</v>
      </c>
      <c r="BH32" s="2"/>
      <c r="BI32" s="2" t="n">
        <f aca="false">(AC32-$B32)*$A32</f>
        <v>0.0168273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F33" s="3"/>
      <c r="G33" s="3"/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0.00146299</v>
      </c>
      <c r="AB33" s="3"/>
      <c r="AC33" s="3" t="n">
        <v>0.00156129</v>
      </c>
      <c r="AD33" s="3"/>
      <c r="AE33" s="3"/>
      <c r="AF33" s="3"/>
      <c r="AG33" s="3"/>
      <c r="AH33" s="2"/>
      <c r="AI33" s="2" t="n">
        <f aca="false">(C33-$B33)*$A33</f>
        <v>-0.007812775</v>
      </c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0.01224748</v>
      </c>
      <c r="BH33" s="2"/>
      <c r="BI33" s="2" t="n">
        <f aca="false">(AC33-$B33)*$A33</f>
        <v>0.01529478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3"/>
      <c r="E34" s="3"/>
      <c r="F34" s="3"/>
      <c r="G34" s="3"/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0.000906238</v>
      </c>
      <c r="AB34" s="3"/>
      <c r="AC34" s="3" t="n">
        <v>0.00101847</v>
      </c>
      <c r="AD34" s="3"/>
      <c r="AE34" s="3"/>
      <c r="AF34" s="3"/>
      <c r="AG34" s="3"/>
      <c r="AH34" s="2"/>
      <c r="AI34" s="2" t="n">
        <f aca="false">(C34-$B34)*$A34</f>
        <v>-0.003629248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0.009215232</v>
      </c>
      <c r="BH34" s="2"/>
      <c r="BI34" s="2" t="n">
        <f aca="false">(AC34-$B34)*$A34</f>
        <v>0.012806656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3"/>
      <c r="E35" s="3"/>
      <c r="F35" s="3"/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0.000543615</v>
      </c>
      <c r="AB35" s="3"/>
      <c r="AC35" s="3" t="n">
        <v>0.000643706</v>
      </c>
      <c r="AD35" s="3"/>
      <c r="AE35" s="3"/>
      <c r="AF35" s="3"/>
      <c r="AG35" s="3"/>
      <c r="AH35" s="2"/>
      <c r="AI35" s="2" t="n">
        <f aca="false">(C35-$B35)*$A35</f>
        <v>-0.001655907</v>
      </c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0.006284124</v>
      </c>
      <c r="BH35" s="2"/>
      <c r="BI35" s="2" t="n">
        <f aca="false">(AC35-$B35)*$A35</f>
        <v>0.009587127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3"/>
      <c r="E36" s="3"/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0.000322042</v>
      </c>
      <c r="AB36" s="3"/>
      <c r="AC36" s="3" t="n">
        <v>0.000402005</v>
      </c>
      <c r="AD36" s="3"/>
      <c r="AE36" s="3"/>
      <c r="AF36" s="3"/>
      <c r="AG36" s="3"/>
      <c r="AH36" s="2"/>
      <c r="AI36" s="2" t="n">
        <f aca="false">(C36-$B36)*$A36</f>
        <v>-0.000393074</v>
      </c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0.004230518</v>
      </c>
      <c r="BH36" s="2"/>
      <c r="BI36" s="2" t="n">
        <f aca="false">(AC36-$B36)*$A36</f>
        <v>0.00694926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3"/>
      <c r="E37" s="3"/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0.000183455</v>
      </c>
      <c r="AB37" s="3"/>
      <c r="AC37" s="3" t="n">
        <v>0.000245468</v>
      </c>
      <c r="AD37" s="3"/>
      <c r="AE37" s="3"/>
      <c r="AF37" s="3"/>
      <c r="AG37" s="3"/>
      <c r="AI37" s="2" t="n">
        <f aca="false">(C37-$B37)*$A37</f>
        <v>0.00017969</v>
      </c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0.002524585</v>
      </c>
      <c r="BH37" s="2"/>
      <c r="BI37" s="2" t="n">
        <f aca="false">(AC37-$B37)*$A37</f>
        <v>0.00469504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6.25999E-005</v>
      </c>
      <c r="C38" s="3" t="n">
        <v>6.91443E-005</v>
      </c>
      <c r="D38" s="3"/>
      <c r="E38" s="3"/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0.000102626</v>
      </c>
      <c r="AB38" s="3"/>
      <c r="AC38" s="3" t="n">
        <v>0.000146621</v>
      </c>
      <c r="AD38" s="3"/>
      <c r="AE38" s="3"/>
      <c r="AF38" s="3"/>
      <c r="AG38" s="3"/>
      <c r="AI38" s="2" t="n">
        <f aca="false">(C38-$B38)*$A38</f>
        <v>0.0002355984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0.0014409396</v>
      </c>
      <c r="BH38" s="2"/>
      <c r="BI38" s="2" t="n">
        <f aca="false">(AC38-$B38)*$A38</f>
        <v>0.0030247596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3.24829E-005</v>
      </c>
      <c r="C39" s="3" t="n">
        <v>3.88796E-005</v>
      </c>
      <c r="D39" s="3"/>
      <c r="E39" s="3"/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5.88649E-005</v>
      </c>
      <c r="AB39" s="3"/>
      <c r="AC39" s="3" t="n">
        <v>8.33052E-005</v>
      </c>
      <c r="AD39" s="3"/>
      <c r="AE39" s="3"/>
      <c r="AF39" s="3"/>
      <c r="AG39" s="3"/>
      <c r="AI39" s="2" t="n">
        <f aca="false">(C39-$B39)*$A39</f>
        <v>0.0002366779</v>
      </c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0.000976134</v>
      </c>
      <c r="BH39" s="2"/>
      <c r="BI39" s="2" t="n">
        <f aca="false">(AC39-$B39)*$A39</f>
        <v>0.0018804251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1.75203E-005</v>
      </c>
      <c r="C40" s="3" t="n">
        <v>2.24167E-005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3.40797E-005</v>
      </c>
      <c r="AB40" s="3"/>
      <c r="AC40" s="3" t="n">
        <v>4.66761E-005</v>
      </c>
      <c r="AD40" s="3"/>
      <c r="AE40" s="3"/>
      <c r="AF40" s="3"/>
      <c r="AG40" s="3"/>
      <c r="AI40" s="2" t="n">
        <f aca="false">(C40-$B40)*$A40</f>
        <v>0.0001860632</v>
      </c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0.0006292572</v>
      </c>
      <c r="BH40" s="2"/>
      <c r="BI40" s="2" t="n">
        <f aca="false">(AC40-$B40)*$A40</f>
        <v>0.0011079204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9.78323E-006</v>
      </c>
      <c r="C41" s="3" t="n">
        <v>1.38018E-005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1.79804E-005</v>
      </c>
      <c r="AB41" s="3"/>
      <c r="AC41" s="3" t="n">
        <v>2.61114E-005</v>
      </c>
      <c r="AD41" s="3"/>
      <c r="AE41" s="3"/>
      <c r="AF41" s="3"/>
      <c r="AG41" s="3"/>
      <c r="AI41" s="2" t="n">
        <f aca="false">(C41-$B41)*$A41</f>
        <v>0.00015672423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0.00031968963</v>
      </c>
      <c r="BH41" s="2"/>
      <c r="BI41" s="2" t="n">
        <f aca="false">(AC41-$B41)*$A41</f>
        <v>0.00063679863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5.97864E-006</v>
      </c>
      <c r="C42" s="3" t="n">
        <v>7.75788E-006</v>
      </c>
      <c r="M42" s="3"/>
      <c r="W42" s="3"/>
      <c r="X42" s="3"/>
      <c r="Y42" s="3"/>
      <c r="Z42" s="3"/>
      <c r="AA42" s="3" t="n">
        <v>9.95835E-006</v>
      </c>
      <c r="AB42" s="3"/>
      <c r="AC42" s="3" t="n">
        <v>1.25847E-005</v>
      </c>
      <c r="AD42" s="3"/>
      <c r="AE42" s="3"/>
      <c r="AF42" s="3"/>
      <c r="AG42" s="3"/>
      <c r="AI42" s="2" t="n">
        <f aca="false">(C42-$B42)*$A42</f>
        <v>7.11696E-005</v>
      </c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0.0001591884</v>
      </c>
      <c r="BH42" s="2"/>
      <c r="BI42" s="2" t="n">
        <f aca="false">(AC42-$B42)*$A42</f>
        <v>0.0002642424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3.48488E-006</v>
      </c>
      <c r="C43" s="3" t="n">
        <v>4.10446E-006</v>
      </c>
      <c r="M43" s="3"/>
      <c r="W43" s="3"/>
      <c r="X43" s="3"/>
      <c r="Y43" s="3"/>
      <c r="Z43" s="3"/>
      <c r="AA43" s="3" t="n">
        <v>6.11332E-006</v>
      </c>
      <c r="AB43" s="3"/>
      <c r="AC43" s="3" t="n">
        <v>6.85489E-006</v>
      </c>
      <c r="AD43" s="3"/>
      <c r="AE43" s="3"/>
      <c r="AF43" s="3"/>
      <c r="AG43" s="3"/>
      <c r="AI43" s="2" t="n">
        <f aca="false">(C43-$B43)*$A43</f>
        <v>2.540278E-005</v>
      </c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0.00010776604</v>
      </c>
      <c r="BH43" s="2"/>
      <c r="BI43" s="2" t="n">
        <f aca="false">(AC43-$B43)*$A43</f>
        <v>0.00013817041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1.59857E-006</v>
      </c>
      <c r="C44" s="3" t="n">
        <v>2.16499E-006</v>
      </c>
      <c r="W44" s="3"/>
      <c r="X44" s="3"/>
      <c r="Y44" s="3"/>
      <c r="Z44" s="3"/>
      <c r="AA44" s="3" t="n">
        <v>2.90452E-006</v>
      </c>
      <c r="AB44" s="3"/>
      <c r="AC44" s="3" t="n">
        <v>3.21814E-006</v>
      </c>
      <c r="AD44" s="3"/>
      <c r="AE44" s="3"/>
      <c r="AF44" s="3"/>
      <c r="AG44" s="3"/>
      <c r="AI44" s="2" t="n">
        <f aca="false">(C44-$B44)*$A44</f>
        <v>2.378964E-005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5.48499E-005</v>
      </c>
      <c r="BH44" s="2"/>
      <c r="BI44" s="2" t="n">
        <f aca="false">(AC44-$B44)*$A44</f>
        <v>6.802194E-005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1.18294E-006</v>
      </c>
      <c r="C45" s="3" t="n">
        <v>9.02079E-007</v>
      </c>
      <c r="W45" s="3"/>
      <c r="X45" s="3"/>
      <c r="Y45" s="3"/>
      <c r="Z45" s="3"/>
      <c r="AA45" s="3" t="n">
        <v>1.85336E-006</v>
      </c>
      <c r="AB45" s="3"/>
      <c r="AC45" s="3" t="n">
        <v>1.8053E-006</v>
      </c>
      <c r="AD45" s="3"/>
      <c r="AE45" s="3"/>
      <c r="AF45" s="3"/>
      <c r="AG45" s="3"/>
      <c r="AI45" s="2" t="n">
        <f aca="false">(C45-$B45)*$A45</f>
        <v>-1.2077023E-005</v>
      </c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2.882806E-005</v>
      </c>
      <c r="BH45" s="2"/>
      <c r="BI45" s="2" t="n">
        <f aca="false">(AC45-$B45)*$A45</f>
        <v>2.676148E-005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7.35341E-007</v>
      </c>
      <c r="C46" s="3" t="n">
        <v>4.05935E-007</v>
      </c>
      <c r="W46" s="3"/>
      <c r="X46" s="3"/>
      <c r="Y46" s="3"/>
      <c r="Z46" s="3"/>
      <c r="AA46" s="3" t="n">
        <v>7.74538E-007</v>
      </c>
      <c r="AB46" s="3"/>
      <c r="AC46" s="3" t="n">
        <v>8.63402E-007</v>
      </c>
      <c r="AD46" s="3"/>
      <c r="AE46" s="3"/>
      <c r="AF46" s="3"/>
      <c r="AG46" s="3"/>
      <c r="AI46" s="2" t="n">
        <f aca="false">(C46-$B46)*$A46</f>
        <v>-1.4493864E-005</v>
      </c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1.724668E-006</v>
      </c>
      <c r="BH46" s="2"/>
      <c r="BI46" s="2" t="n">
        <f aca="false">(AC46-$B46)*$A46</f>
        <v>5.634684E-006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2.55771E-007</v>
      </c>
      <c r="C47" s="3" t="n">
        <v>2.2552E-007</v>
      </c>
      <c r="W47" s="3"/>
      <c r="X47" s="3"/>
      <c r="Y47" s="3"/>
      <c r="Z47" s="3"/>
      <c r="AA47" s="3" t="n">
        <v>4.42593E-007</v>
      </c>
      <c r="AB47" s="3"/>
      <c r="AC47" s="3" t="n">
        <v>4.70947E-007</v>
      </c>
      <c r="AD47" s="3"/>
      <c r="AE47" s="3"/>
      <c r="AF47" s="3"/>
      <c r="AG47" s="3"/>
      <c r="AI47" s="2" t="n">
        <f aca="false">(C47-$B47)*$A47</f>
        <v>-1.361295E-006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8.40699E-006</v>
      </c>
      <c r="BH47" s="2"/>
      <c r="BI47" s="2" t="n">
        <f aca="false">(AC47-$B47)*$A47</f>
        <v>9.68292E-006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B48" s="3" t="n">
        <v>9.5914E-008</v>
      </c>
      <c r="W48" s="3"/>
      <c r="X48" s="3"/>
      <c r="Y48" s="3"/>
      <c r="Z48" s="3"/>
      <c r="AA48" s="3" t="n">
        <v>1.93635E-007</v>
      </c>
      <c r="AB48" s="3"/>
      <c r="AC48" s="3" t="n">
        <v>2.35473E-007</v>
      </c>
      <c r="AD48" s="3"/>
      <c r="AE48" s="3"/>
      <c r="AF48" s="3"/>
      <c r="AG48" s="3"/>
      <c r="AI48" s="2" t="n">
        <f aca="false">(C48-$B48)*$A48</f>
        <v>-4.412044E-006</v>
      </c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4.495166E-006</v>
      </c>
      <c r="BH48" s="2"/>
      <c r="BI48" s="2" t="n">
        <f aca="false">(AC48-$B48)*$A48</f>
        <v>6.419714E-006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 t="n">
        <v>5.53242E-008</v>
      </c>
      <c r="AB49" s="3"/>
      <c r="AC49" s="3" t="n">
        <v>1.30819E-007</v>
      </c>
      <c r="AD49" s="3"/>
      <c r="AE49" s="3"/>
      <c r="AF49" s="3"/>
      <c r="AG49" s="3"/>
      <c r="AI49" s="2" t="n">
        <f aca="false">(C49-$B49)*$A49</f>
        <v>0</v>
      </c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2.6002374E-006</v>
      </c>
      <c r="BH49" s="2"/>
      <c r="BI49" s="2" t="n">
        <f aca="false">(AC49-$B49)*$A49</f>
        <v>6.148493E-006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 t="n">
        <v>2.61637E-008</v>
      </c>
      <c r="AD50" s="3"/>
      <c r="AE50" s="3"/>
      <c r="AF50" s="3"/>
      <c r="AG50" s="3"/>
      <c r="AI50" s="2" t="n">
        <f aca="false">(C50-$B50)*$A50</f>
        <v>0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1.2558576E-006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 t="n">
        <v>2.61637E-008</v>
      </c>
      <c r="AD51" s="3"/>
      <c r="AE51" s="3"/>
      <c r="AF51" s="3"/>
      <c r="AG51" s="3"/>
      <c r="AI51" s="2" t="n">
        <f aca="false">(C51-$B51)*$A51</f>
        <v>0</v>
      </c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1.2820213E-006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M1" colorId="64" zoomScale="100" zoomScaleNormal="100" zoomScalePageLayoutView="100" workbookViewId="0">
      <selection pane="topLeft" activeCell="AM1" activeCellId="0" sqref="AM:AM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"w+3p="&amp; SUMPRODUCT($A2:$A65,H2:H65)/100-SUMPRODUCT($A2:$A65,$B2:$B65)/100</f>
        <v>w+3p=-2,62367299066932</v>
      </c>
      <c r="I1" s="1" t="str">
        <f aca="false">"r+653="&amp; SUMPRODUCT($A2:$A65,I2:I65)/100-SUMPRODUCT($A2:$A65,$B2:$B65)/100</f>
        <v>r+653=-2,62367299066932</v>
      </c>
      <c r="J1" s="1" t="str">
        <f aca="false">"w+4p="&amp; SUMPRODUCT($A2:$A65,J2:J65)/100-SUMPRODUCT($A2:$A65,$B2:$B65)/100</f>
        <v>w+4p=-2,62367299066932</v>
      </c>
      <c r="K1" s="1" t="str">
        <f aca="false">"no_scale="&amp; SUMPRODUCT($A2:$A65,K2:K65)/100-SUMPRODUCT($A2:$A65,$B2:$B65)/100</f>
        <v>no_scale=-2,62367299066932</v>
      </c>
      <c r="L1" s="1" t="str">
        <f aca="false">"w-p="&amp; SUMPRODUCT($A2:$A65,L2:L65)/100-SUMPRODUCT($A2:$A65,$B2:$B65)/100</f>
        <v>w-p=-2,62367299066932</v>
      </c>
      <c r="M1" s="1" t="str">
        <f aca="false">"w-2p="&amp; SUMPRODUCT($A2:$A65,M2:M65)/100-SUMPRODUCT($A2:$A65,$B2:$B65)/100</f>
        <v>w-2p=-2,62367299066932</v>
      </c>
      <c r="N1" s="1" t="str">
        <f aca="false">"w2="&amp; SUMPRODUCT($A2:$A65,N2:N65)/100-SUMPRODUCT($A2:$A65,$B2:$B65)/100</f>
        <v>w2=-2,62367299066932</v>
      </c>
      <c r="O1" s="1" t="str">
        <f aca="false">"w+p-14="&amp; SUMPRODUCT($A2:$A65,O2:O65)/100-SUMPRODUCT($A2:$A65,$B2:$B65)/100</f>
        <v>w+p-14=-2,62367299066932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w+3p=-2,62367299066932</v>
      </c>
      <c r="AO1" s="1" t="str">
        <f aca="false">I1</f>
        <v>r+653=-2,62367299066932</v>
      </c>
      <c r="AP1" s="1" t="str">
        <f aca="false">J1</f>
        <v>w+4p=-2,62367299066932</v>
      </c>
      <c r="AQ1" s="1" t="str">
        <f aca="false">K1</f>
        <v>no_scale=-2,62367299066932</v>
      </c>
      <c r="AR1" s="1" t="str">
        <f aca="false">L1</f>
        <v>w-p=-2,62367299066932</v>
      </c>
      <c r="AS1" s="1" t="str">
        <f aca="false">M1</f>
        <v>w-2p=-2,62367299066932</v>
      </c>
      <c r="AT1" s="1" t="str">
        <f aca="false">N1</f>
        <v>w2=-2,62367299066932</v>
      </c>
      <c r="AU1" s="1" t="str">
        <f aca="false">O1</f>
        <v>w+p-14=-2,62367299066932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-0</v>
      </c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 t="n">
        <f aca="false">(D3-$B3)*$A3</f>
        <v>-0.128800000000002</v>
      </c>
      <c r="AK3" s="2" t="n">
        <f aca="false">(E3-$B3)*$A3</f>
        <v>-0.0329000000000015</v>
      </c>
      <c r="AL3" s="2" t="n">
        <f aca="false">(F3-$B3)*$A3</f>
        <v>0.0172999999999988</v>
      </c>
      <c r="AM3" s="2" t="n">
        <f aca="false">(G3-$B3)*$A3</f>
        <v>-0.0872999999999991</v>
      </c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 t="n">
        <f aca="false">(D4-$B4)*$A4</f>
        <v>-0.0497399999999999</v>
      </c>
      <c r="AK4" s="2" t="n">
        <f aca="false">(E4-$B4)*$A4</f>
        <v>-0.00952000000000197</v>
      </c>
      <c r="AL4" s="2" t="n">
        <f aca="false">(F4-$B4)*$A4</f>
        <v>-0.0583200000000019</v>
      </c>
      <c r="AM4" s="2" t="n">
        <f aca="false">(G4-$B4)*$A4</f>
        <v>-0.0564</v>
      </c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 t="n">
        <f aca="false">(D5-$B5)*$A5</f>
        <v>-0.0672599999999983</v>
      </c>
      <c r="AK5" s="2" t="n">
        <f aca="false">(E5-$B5)*$A5</f>
        <v>-0.0384900000000004</v>
      </c>
      <c r="AL5" s="2" t="n">
        <f aca="false">(F5-$B5)*$A5</f>
        <v>-0.12063</v>
      </c>
      <c r="AM5" s="2" t="n">
        <f aca="false">(G5-$B5)*$A5</f>
        <v>-0.0544799999999999</v>
      </c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 t="n">
        <f aca="false">(D6-$B6)*$A6</f>
        <v>-0.0350399999999986</v>
      </c>
      <c r="AK6" s="2" t="n">
        <f aca="false">(E6-$B6)*$A6</f>
        <v>-0.0317599999999985</v>
      </c>
      <c r="AL6" s="2" t="n">
        <f aca="false">(F6-$B6)*$A6</f>
        <v>-0.0815200000000012</v>
      </c>
      <c r="AM6" s="2" t="n">
        <f aca="false">(G6-$B6)*$A6</f>
        <v>-0.0397600000000011</v>
      </c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 t="n">
        <f aca="false">(D7-$B7)*$A7</f>
        <v>-0.00579999999999803</v>
      </c>
      <c r="AK7" s="2" t="n">
        <f aca="false">(E7-$B7)*$A7</f>
        <v>-0.0726000000000004</v>
      </c>
      <c r="AL7" s="2" t="n">
        <f aca="false">(F7-$B7)*$A7</f>
        <v>-0.0544499999999992</v>
      </c>
      <c r="AM7" s="2" t="n">
        <f aca="false">(G7-$B7)*$A7</f>
        <v>-0.0445499999999965</v>
      </c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 t="n">
        <f aca="false">(D8-$B8)*$A8</f>
        <v>0.0386999999999977</v>
      </c>
      <c r="AK8" s="2" t="n">
        <f aca="false">(E8-$B8)*$A8</f>
        <v>-0.0468000000000002</v>
      </c>
      <c r="AL8" s="2" t="n">
        <f aca="false">(F8-$B8)*$A8</f>
        <v>-0.0234000000000014</v>
      </c>
      <c r="AM8" s="2" t="n">
        <f aca="false">(G8-$B8)*$A8</f>
        <v>0.0494399999999988</v>
      </c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 t="n">
        <f aca="false">(D9-$B9)*$A9</f>
        <v>0.041580000000002</v>
      </c>
      <c r="AK9" s="2" t="n">
        <f aca="false">(E9-$B9)*$A9</f>
        <v>-0.0723799999999986</v>
      </c>
      <c r="AL9" s="2" t="n">
        <f aca="false">(F9-$B9)*$A9</f>
        <v>-0.0266000000000002</v>
      </c>
      <c r="AM9" s="2" t="n">
        <f aca="false">(G9-$B9)*$A9</f>
        <v>0.0510300000000017</v>
      </c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 t="n">
        <f aca="false">(D10-$B10)*$A10</f>
        <v>0.0361599999999989</v>
      </c>
      <c r="AK10" s="2" t="n">
        <f aca="false">(E10-$B10)*$A10</f>
        <v>-0.11232</v>
      </c>
      <c r="AL10" s="2" t="n">
        <f aca="false">(F10-$B10)*$A10</f>
        <v>-0.0811200000000021</v>
      </c>
      <c r="AM10" s="2" t="n">
        <f aca="false">(G10-$B10)*$A10</f>
        <v>0.0843199999999982</v>
      </c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 t="n">
        <f aca="false">(D11-$B11)*$A11</f>
        <v>0.0883799999999995</v>
      </c>
      <c r="AK11" s="2" t="n">
        <f aca="false">(E11-$B11)*$A11</f>
        <v>-0.11223</v>
      </c>
      <c r="AL11" s="2" t="n">
        <f aca="false">(F11-$B11)*$A11</f>
        <v>-0.0401399999999992</v>
      </c>
      <c r="AM11" s="2" t="n">
        <f aca="false">(G11-$B11)*$A11</f>
        <v>0.168839999999999</v>
      </c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 t="n">
        <f aca="false">(D12-$B12)*$A12</f>
        <v>0.169299999999999</v>
      </c>
      <c r="AK12" s="2" t="n">
        <f aca="false">(E12-$B12)*$A12</f>
        <v>-0.0866000000000011</v>
      </c>
      <c r="AL12" s="2" t="n">
        <f aca="false">(F12-$B12)*$A12</f>
        <v>0.0170999999999988</v>
      </c>
      <c r="AM12" s="2" t="n">
        <f aca="false">(G12-$B12)*$A12</f>
        <v>0.2186</v>
      </c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 t="n">
        <f aca="false">(D13-$B13)*$A13</f>
        <v>0.19019</v>
      </c>
      <c r="AK13" s="2" t="n">
        <f aca="false">(E13-$B13)*$A13</f>
        <v>-0.0873400000000006</v>
      </c>
      <c r="AL13" s="2" t="n">
        <f aca="false">(F13-$B13)*$A13</f>
        <v>0.033330000000001</v>
      </c>
      <c r="AM13" s="2" t="n">
        <f aca="false">(G13-$B13)*$A13</f>
        <v>0.241450000000002</v>
      </c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 t="n">
        <f aca="false">(D14-$B14)*$A14</f>
        <v>0.149592000000001</v>
      </c>
      <c r="AK14" s="2" t="n">
        <f aca="false">(E14-$B14)*$A14</f>
        <v>-0.100223999999999</v>
      </c>
      <c r="AL14" s="2" t="n">
        <f aca="false">(F14-$B14)*$A14</f>
        <v>-0.0104399999999991</v>
      </c>
      <c r="AM14" s="2" t="n">
        <f aca="false">(G14-$B14)*$A14</f>
        <v>0.256584</v>
      </c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 t="n">
        <f aca="false">(D15-$B15)*$A15</f>
        <v>0.0852799999999987</v>
      </c>
      <c r="AK15" s="2" t="n">
        <f aca="false">(E15-$B15)*$A15</f>
        <v>-0.0828360000000006</v>
      </c>
      <c r="AL15" s="2" t="n">
        <f aca="false">(F15-$B15)*$A15</f>
        <v>-0.029146000000001</v>
      </c>
      <c r="AM15" s="2" t="n">
        <f aca="false">(G15-$B15)*$A15</f>
        <v>0.251211999999999</v>
      </c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 t="n">
        <f aca="false">(D16-$B16)*$A16</f>
        <v>0.0430920000000004</v>
      </c>
      <c r="AK16" s="2" t="n">
        <f aca="false">(E16-$B16)*$A16</f>
        <v>-0.106988</v>
      </c>
      <c r="AL16" s="2" t="n">
        <f aca="false">(F16-$B16)*$A16</f>
        <v>-0.0462279999999996</v>
      </c>
      <c r="AM16" s="2" t="n">
        <f aca="false">(G16-$B16)*$A16</f>
        <v>0.239106</v>
      </c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 t="n">
        <f aca="false">(D17-$B17)*$A17</f>
        <v>0.0254699999999997</v>
      </c>
      <c r="AK17" s="2" t="n">
        <f aca="false">(E17-$B17)*$A17</f>
        <v>-0.10488</v>
      </c>
      <c r="AL17" s="2" t="n">
        <f aca="false">(F17-$B17)*$A17</f>
        <v>-0.0463950000000002</v>
      </c>
      <c r="AM17" s="2" t="n">
        <f aca="false">(G17-$B17)*$A17</f>
        <v>0.22278</v>
      </c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 t="n">
        <f aca="false">(D18-$B18)*$A18</f>
        <v>-0.0064160000000002</v>
      </c>
      <c r="AK18" s="2" t="n">
        <f aca="false">(E18-$B18)*$A18</f>
        <v>-0.101392</v>
      </c>
      <c r="AL18" s="2" t="n">
        <f aca="false">(F18-$B18)*$A18</f>
        <v>-0.0611839999999999</v>
      </c>
      <c r="AM18" s="2" t="n">
        <f aca="false">(G18-$B18)*$A18</f>
        <v>0.18824</v>
      </c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 t="n">
        <f aca="false">(D19-$B19)*$A19</f>
        <v>-0.0277099999999999</v>
      </c>
      <c r="AK19" s="2" t="n">
        <f aca="false">(E19-$B19)*$A19</f>
        <v>-0.103156</v>
      </c>
      <c r="AL19" s="2" t="n">
        <f aca="false">(F19-$B19)*$A19</f>
        <v>-0.0666229999999999</v>
      </c>
      <c r="AM19" s="2" t="n">
        <f aca="false">(G19-$B19)*$A19</f>
        <v>0.178857</v>
      </c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 t="n">
        <f aca="false">(D20-$B20)*$A20</f>
        <v>-0.0359532000000002</v>
      </c>
      <c r="AK20" s="2" t="n">
        <f aca="false">(E20-$B20)*$A20</f>
        <v>-0.0990756</v>
      </c>
      <c r="AL20" s="2" t="n">
        <f aca="false">(F20-$B20)*$A20</f>
        <v>-0.0698526</v>
      </c>
      <c r="AM20" s="2" t="n">
        <f aca="false">(G20-$B20)*$A20</f>
        <v>0.139626</v>
      </c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 t="n">
        <f aca="false">(D21-$B21)*$A21</f>
        <v>-0.0437322999999999</v>
      </c>
      <c r="AK21" s="2" t="n">
        <f aca="false">(E21-$B21)*$A21</f>
        <v>-0.0858439</v>
      </c>
      <c r="AL21" s="2" t="n">
        <f aca="false">(F21-$B21)*$A21</f>
        <v>-0.0644518</v>
      </c>
      <c r="AM21" s="2" t="n">
        <f aca="false">(G21-$B21)*$A21</f>
        <v>0.1137036</v>
      </c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 t="n">
        <f aca="false">(D22-$B22)*$A22</f>
        <v>-0.044084</v>
      </c>
      <c r="AK22" s="2" t="n">
        <f aca="false">(E22-$B22)*$A22</f>
        <v>-0.082008</v>
      </c>
      <c r="AL22" s="2" t="n">
        <f aca="false">(F22-$B22)*$A22</f>
        <v>-0.054516</v>
      </c>
      <c r="AM22" s="2" t="n">
        <f aca="false">(G22-$B22)*$A22</f>
        <v>0.088122</v>
      </c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 t="n">
        <f aca="false">(D23-$B23)*$A23</f>
        <v>-0.0368781</v>
      </c>
      <c r="AK23" s="2" t="n">
        <f aca="false">(E23-$B23)*$A23</f>
        <v>-0.0771288</v>
      </c>
      <c r="AL23" s="2" t="n">
        <f aca="false">(F23-$B23)*$A23</f>
        <v>-0.048405</v>
      </c>
      <c r="AM23" s="2" t="n">
        <f aca="false">(G23-$B23)*$A23</f>
        <v>0.065478</v>
      </c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 t="n">
        <f aca="false">(D24-$B24)*$A24</f>
        <v>-0.03366792</v>
      </c>
      <c r="AK24" s="2" t="n">
        <f aca="false">(E24-$B24)*$A24</f>
        <v>-0.06667496</v>
      </c>
      <c r="AL24" s="2" t="n">
        <f aca="false">(F24-$B24)*$A24</f>
        <v>-0.04174654</v>
      </c>
      <c r="AM24" s="2" t="n">
        <f aca="false">(G24-$B24)*$A24</f>
        <v>0.0470162</v>
      </c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 t="n">
        <f aca="false">(D25-$B25)*$A25</f>
        <v>-0.0262614</v>
      </c>
      <c r="AK25" s="2" t="n">
        <f aca="false">(E25-$B25)*$A25</f>
        <v>-0.05725252</v>
      </c>
      <c r="AL25" s="2" t="n">
        <f aca="false">(F25-$B25)*$A25</f>
        <v>-0.03677769</v>
      </c>
      <c r="AM25" s="2" t="n">
        <f aca="false">(G25-$B25)*$A25</f>
        <v>0.03313058</v>
      </c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 t="n">
        <f aca="false">(D26-$B26)*$A26</f>
        <v>-0.01893888</v>
      </c>
      <c r="AK26" s="2" t="n">
        <f aca="false">(E26-$B26)*$A26</f>
        <v>-0.0439272</v>
      </c>
      <c r="AL26" s="2" t="n">
        <f aca="false">(F26-$B26)*$A26</f>
        <v>-0.02759472</v>
      </c>
      <c r="AM26" s="2" t="n">
        <f aca="false">(G26-$B26)*$A26</f>
        <v>0.02671152</v>
      </c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 t="n">
        <f aca="false">(D27-$B27)*$A27</f>
        <v>-0.0143725</v>
      </c>
      <c r="AK27" s="2" t="n">
        <f aca="false">(E27-$B27)*$A27</f>
        <v>-0.03617575</v>
      </c>
      <c r="AL27" s="2" t="n">
        <f aca="false">(F27-$B27)*$A27</f>
        <v>-0.0235</v>
      </c>
      <c r="AM27" s="2" t="n">
        <f aca="false">(G27-$B27)*$A27</f>
        <v>0.015438</v>
      </c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 t="n">
        <f aca="false">(D28-$B28)*$A28</f>
        <v>-0.00941538</v>
      </c>
      <c r="AK28" s="2" t="n">
        <f aca="false">(E28-$B28)*$A28</f>
        <v>-0.027054378</v>
      </c>
      <c r="AL28" s="2" t="n">
        <f aca="false">(F28-$B28)*$A28</f>
        <v>-0.01862328</v>
      </c>
      <c r="AM28" s="2" t="n">
        <f aca="false">(G28-$B28)*$A28</f>
        <v>0.01203072</v>
      </c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 t="n">
        <f aca="false">(D29-$B29)*$A29</f>
        <v>-0.006529977</v>
      </c>
      <c r="AK29" s="2" t="n">
        <f aca="false">(E29-$B29)*$A29</f>
        <v>-0.022135653</v>
      </c>
      <c r="AL29" s="2" t="n">
        <f aca="false">(F29-$B29)*$A29</f>
        <v>-0.016319043</v>
      </c>
      <c r="AM29" s="2" t="n">
        <f aca="false">(G29-$B29)*$A29</f>
        <v>0.00575289</v>
      </c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 t="n">
        <f aca="false">(D30-$B30)*$A30</f>
        <v>-0.005495868</v>
      </c>
      <c r="AK30" s="2" t="n">
        <f aca="false">(E30-$B30)*$A30</f>
        <v>-0.017024924</v>
      </c>
      <c r="AL30" s="2" t="n">
        <f aca="false">(F30-$B30)*$A30</f>
        <v>-0.014299152</v>
      </c>
      <c r="AM30" s="2" t="n">
        <f aca="false">(G30-$B30)*$A30</f>
        <v>0.001752828</v>
      </c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D31" s="1" t="n">
        <v>0.000423736</v>
      </c>
      <c r="E31" s="1" t="n">
        <v>0.000111372</v>
      </c>
      <c r="F31" s="1" t="n">
        <v>0.000178163</v>
      </c>
      <c r="G31" s="3" t="n">
        <v>0.000614421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 t="n">
        <f aca="false">(D31-$B31)*$A31</f>
        <v>-0.003951685</v>
      </c>
      <c r="AK31" s="2" t="n">
        <f aca="false">(E31-$B31)*$A31</f>
        <v>-0.013010241</v>
      </c>
      <c r="AL31" s="2" t="n">
        <f aca="false">(F31-$B31)*$A31</f>
        <v>-0.011073302</v>
      </c>
      <c r="AM31" s="2" t="n">
        <f aca="false">(G31-$B31)*$A31</f>
        <v>0.00157818</v>
      </c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D32" s="1" t="n">
        <v>0.000260302</v>
      </c>
      <c r="E32" s="3" t="n">
        <v>6.28865E-005</v>
      </c>
      <c r="F32" s="3" t="n">
        <v>8.73639E-005</v>
      </c>
      <c r="G32" s="3" t="n">
        <v>0.000402201</v>
      </c>
      <c r="H32" s="3"/>
      <c r="I32" s="3"/>
      <c r="K32" s="3"/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 t="n">
        <f aca="false">(D32-$B32)*$A32</f>
        <v>-0.00432102</v>
      </c>
      <c r="AK32" s="2" t="n">
        <f aca="false">(E32-$B32)*$A32</f>
        <v>-0.010243485</v>
      </c>
      <c r="AL32" s="2" t="n">
        <f aca="false">(F32-$B32)*$A32</f>
        <v>-0.009509163</v>
      </c>
      <c r="AM32" s="2" t="n">
        <f aca="false">(G32-$B32)*$A32</f>
        <v>-6.40500000000002E-005</v>
      </c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D33" s="1" t="n">
        <v>0.000170885</v>
      </c>
      <c r="E33" s="3" t="n">
        <v>2.78429E-005</v>
      </c>
      <c r="F33" s="3" t="n">
        <v>4.80992E-005</v>
      </c>
      <c r="G33" s="3" t="n">
        <v>0.000276513</v>
      </c>
      <c r="H33" s="3"/>
      <c r="I33" s="3"/>
      <c r="K33" s="3"/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 t="n">
        <f aca="false">(D33-$B33)*$A33</f>
        <v>-0.003003218</v>
      </c>
      <c r="AK33" s="2" t="n">
        <f aca="false">(E33-$B33)*$A33</f>
        <v>-0.0074375231</v>
      </c>
      <c r="AL33" s="2" t="n">
        <f aca="false">(F33-$B33)*$A33</f>
        <v>-0.0068095778</v>
      </c>
      <c r="AM33" s="2" t="n">
        <f aca="false">(G33-$B33)*$A33</f>
        <v>0.000271249999999999</v>
      </c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 t="n">
        <v>0.000121706</v>
      </c>
      <c r="E34" s="3" t="n">
        <v>1.39214E-005</v>
      </c>
      <c r="F34" s="3" t="n">
        <v>2.20864E-005</v>
      </c>
      <c r="G34" s="3" t="n">
        <v>0.000201101</v>
      </c>
      <c r="H34" s="3"/>
      <c r="I34" s="3"/>
      <c r="J34" s="3"/>
      <c r="K34" s="3"/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 t="n">
        <f aca="false">(D34-$B34)*$A34</f>
        <v>-0.002449472</v>
      </c>
      <c r="AK34" s="2" t="n">
        <f aca="false">(E34-$B34)*$A34</f>
        <v>-0.0058985792</v>
      </c>
      <c r="AL34" s="2" t="n">
        <f aca="false">(F34-$B34)*$A34</f>
        <v>-0.0056372992</v>
      </c>
      <c r="AM34" s="2" t="n">
        <f aca="false">(G34-$B34)*$A34</f>
        <v>9.1168E-005</v>
      </c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 t="n">
        <v>7.55075E-005</v>
      </c>
      <c r="E35" s="3" t="n">
        <v>7.6808E-006</v>
      </c>
      <c r="F35" s="3" t="n">
        <v>1.0307E-005</v>
      </c>
      <c r="G35" s="1" t="n">
        <v>0.000142124</v>
      </c>
      <c r="H35" s="3"/>
      <c r="I35" s="3"/>
      <c r="J35" s="3"/>
      <c r="K35" s="3"/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 t="n">
        <f aca="false">(D35-$B35)*$A35</f>
        <v>-0.0016274775</v>
      </c>
      <c r="AK35" s="2" t="n">
        <f aca="false">(E35-$B35)*$A35</f>
        <v>-0.0038657586</v>
      </c>
      <c r="AL35" s="2" t="n">
        <f aca="false">(F35-$B35)*$A35</f>
        <v>-0.003779094</v>
      </c>
      <c r="AM35" s="2" t="n">
        <f aca="false">(G35-$B35)*$A35</f>
        <v>0.000570867</v>
      </c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 t="n">
        <v>5.31533E-005</v>
      </c>
      <c r="E36" s="3" t="n">
        <v>1.9202E-006</v>
      </c>
      <c r="F36" s="3" t="n">
        <v>3.43566E-006</v>
      </c>
      <c r="G36" s="3" t="n">
        <v>8.8465E-005</v>
      </c>
      <c r="H36" s="3"/>
      <c r="I36" s="3"/>
      <c r="J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 t="n">
        <f aca="false">(D36-$B36)*$A36</f>
        <v>-0.0014881766</v>
      </c>
      <c r="AK36" s="2" t="n">
        <f aca="false">(E36-$B36)*$A36</f>
        <v>-0.003230102</v>
      </c>
      <c r="AL36" s="2" t="n">
        <f aca="false">(F36-$B36)*$A36</f>
        <v>-0.00317857636</v>
      </c>
      <c r="AM36" s="2" t="n">
        <f aca="false">(G36-$B36)*$A36</f>
        <v>-0.0002875788</v>
      </c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 t="n">
        <v>4.12311E-005</v>
      </c>
      <c r="E37" s="3" t="n">
        <v>4.8005E-007</v>
      </c>
      <c r="F37" s="3" t="n">
        <v>4.90808E-007</v>
      </c>
      <c r="G37" s="3" t="n">
        <v>6.23605E-005</v>
      </c>
      <c r="I37" s="3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 t="n">
        <f aca="false">(D37-$B37)*$A37</f>
        <v>-0.0009041165</v>
      </c>
      <c r="AK37" s="2" t="n">
        <f aca="false">(E37-$B37)*$A37</f>
        <v>-0.00233040325</v>
      </c>
      <c r="AL37" s="2" t="n">
        <f aca="false">(F37-$B37)*$A37</f>
        <v>-0.00233002672</v>
      </c>
      <c r="AM37" s="2" t="n">
        <f aca="false">(G37-$B37)*$A37</f>
        <v>-0.0001645875</v>
      </c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 t="n">
        <v>2.43412E-005</v>
      </c>
      <c r="E38" s="3" t="n">
        <v>4.8005E-007</v>
      </c>
      <c r="G38" s="3" t="n">
        <v>3.19054E-005</v>
      </c>
      <c r="I38" s="3"/>
      <c r="J38" s="3"/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 t="n">
        <f aca="false">(D38-$B38)*$A38</f>
        <v>-0.0007802244</v>
      </c>
      <c r="AK38" s="2" t="n">
        <f aca="false">(E38-$B38)*$A38</f>
        <v>-0.0016392258</v>
      </c>
      <c r="AL38" s="2" t="n">
        <f aca="false">(F38-$B38)*$A38</f>
        <v>-0.0016565076</v>
      </c>
      <c r="AM38" s="2" t="n">
        <f aca="false">(G38-$B38)*$A38</f>
        <v>-0.0005079132</v>
      </c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 t="n">
        <v>1.2419E-005</v>
      </c>
      <c r="E39" s="3"/>
      <c r="G39" s="3" t="n">
        <v>1.11185E-005</v>
      </c>
      <c r="J39" s="3"/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 t="n">
        <f aca="false">(D39-$B39)*$A39</f>
        <v>-0.0005004287</v>
      </c>
      <c r="AK39" s="2" t="n">
        <f aca="false">(E39-$B39)*$A39</f>
        <v>-0.0009599317</v>
      </c>
      <c r="AL39" s="2" t="n">
        <f aca="false">(F39-$B39)*$A39</f>
        <v>-0.0009599317</v>
      </c>
      <c r="AM39" s="2" t="n">
        <f aca="false">(G39-$B39)*$A39</f>
        <v>-0.0005485472</v>
      </c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D40" s="3" t="n">
        <v>8.94168E-006</v>
      </c>
      <c r="G40" s="3" t="n">
        <v>2.90049E-006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 t="n">
        <f aca="false">(D40-$B40)*$A40</f>
        <v>-0.00036706936</v>
      </c>
      <c r="AK40" s="2" t="n">
        <f aca="false">(E40-$B40)*$A40</f>
        <v>-0.0007068532</v>
      </c>
      <c r="AL40" s="2" t="n">
        <f aca="false">(F40-$B40)*$A40</f>
        <v>-0.0007068532</v>
      </c>
      <c r="AM40" s="2" t="n">
        <f aca="false">(G40-$B40)*$A40</f>
        <v>-0.00059663458</v>
      </c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D41" s="3" t="n">
        <v>2.98056E-006</v>
      </c>
      <c r="G41" s="3" t="n">
        <v>4.83415E-007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 t="n">
        <f aca="false">(D41-$B41)*$A41</f>
        <v>-0.00028466646</v>
      </c>
      <c r="AK41" s="2" t="n">
        <f aca="false">(E41-$B41)*$A41</f>
        <v>-0.0004009083</v>
      </c>
      <c r="AL41" s="2" t="n">
        <f aca="false">(F41-$B41)*$A41</f>
        <v>-0.0004009083</v>
      </c>
      <c r="AM41" s="2" t="n">
        <f aca="false">(G41-$B41)*$A41</f>
        <v>-0.000382055115</v>
      </c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D42" s="3" t="n">
        <v>9.9352E-007</v>
      </c>
      <c r="M42" s="3"/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 t="n">
        <f aca="false">(D42-$B42)*$A42</f>
        <v>-0.0002148052</v>
      </c>
      <c r="AK42" s="2" t="n">
        <f aca="false">(E42-$B42)*$A42</f>
        <v>-0.000254546</v>
      </c>
      <c r="AL42" s="2" t="n">
        <f aca="false">(F42-$B42)*$A42</f>
        <v>-0.000254546</v>
      </c>
      <c r="AM42" s="2" t="n">
        <f aca="false">(G42-$B42)*$A42</f>
        <v>-0.000254546</v>
      </c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D43" s="3" t="n">
        <v>9.9352E-007</v>
      </c>
      <c r="M43" s="3"/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 t="n">
        <f aca="false">(D43-$B43)*$A43</f>
        <v>-7.968555E-005</v>
      </c>
      <c r="AK43" s="2" t="n">
        <f aca="false">(E43-$B43)*$A43</f>
        <v>-0.00012041987</v>
      </c>
      <c r="AL43" s="2" t="n">
        <f aca="false">(F43-$B43)*$A43</f>
        <v>-0.00012041987</v>
      </c>
      <c r="AM43" s="2" t="n">
        <f aca="false">(G43-$B43)*$A43</f>
        <v>-0.00012041987</v>
      </c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 t="n">
        <f aca="false">(D44-$B44)*$A44</f>
        <v>-2.0559462E-005</v>
      </c>
      <c r="AK44" s="2" t="n">
        <f aca="false">(E44-$B44)*$A44</f>
        <v>-2.0559462E-005</v>
      </c>
      <c r="AL44" s="2" t="n">
        <f aca="false">(F44-$B44)*$A44</f>
        <v>-2.0559462E-005</v>
      </c>
      <c r="AM44" s="2" t="n">
        <f aca="false">(G44-$B44)*$A44</f>
        <v>-2.0559462E-005</v>
      </c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1" sqref="AM:AM 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1" sqref="AM:AM 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1" sqref="AM:AM 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1" sqref="AM:AM 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1" sqref="AM:AM 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1" sqref="AM:AM 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AM:AM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AM:AM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M:AM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2026-07-26T18:23:08Z</dcterms:modified>
  <cp:revision>466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