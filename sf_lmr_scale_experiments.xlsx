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style8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style13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chart15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th_stats_ltc_new2" sheetId="1" state="visible" r:id="rId3"/>
    <sheet name="depth_stats_stc_new2" sheetId="2" state="visible" r:id="rId4"/>
    <sheet name="depth_stats_ltc_new" sheetId="3" state="visible" r:id="rId5"/>
    <sheet name="depth_stats_stc_new" sheetId="4" state="visible" r:id="rId6"/>
    <sheet name="depth_stats_ltc" sheetId="5" state="visible" r:id="rId7"/>
    <sheet name="depth_stats_stc" sheetId="6" state="visible" r:id="rId8"/>
    <sheet name="Tabelle4" sheetId="7" state="visible" r:id="rId9"/>
    <sheet name="Tabelle1" sheetId="8" state="visible" r:id="rId10"/>
    <sheet name="allnode" sheetId="9" state="visible" r:id="rId11"/>
    <sheet name="!pvnode" sheetId="10" state="visible" r:id="rId12"/>
    <sheet name="Tabelle5" sheetId="11" state="visible" r:id="rId13"/>
    <sheet name="Tabelle6" sheetId="12" state="visible" r:id="rId14"/>
    <sheet name="Tabelle7" sheetId="13" state="visible" r:id="rId15"/>
  </sheets>
  <definedNames>
    <definedName function="false" hidden="false" localSheetId="6" name="Verbindung1" vbProcedure="false">Tabelle4!$B$2:$C$202</definedName>
    <definedName function="false" hidden="false" localSheetId="6" name="Verbindung2" vbProcedure="false">Tabelle4!$B$2:$C$202</definedName>
    <definedName function="false" hidden="false" localSheetId="11" name="Verbindung2" vbProcedure="false">Tabelle6!$A$2:$B$244</definedName>
    <definedName function="false" hidden="false" localSheetId="11" name="Verbindung3" vbProcedure="false">Tabelle6!$A$2:$B$244</definedName>
    <definedName function="false" hidden="false" localSheetId="11" name="Verbindung4" vbProcedure="false">Tabelle6!$D$2:$E$244</definedName>
    <definedName function="false" hidden="false" localSheetId="11" name="Verbindung5" vbProcedure="false">Tabelle6!$G$2:$H$262</definedName>
    <definedName function="false" hidden="false" localSheetId="11" name="Verbindung6" vbProcedure="false">Tabelle6!$J$2:$K$262</definedName>
    <definedName function="false" hidden="false" localSheetId="11" name="Verbindung7" vbProcedure="false">Tabelle6!$M$2:$N$262</definedName>
    <definedName function="false" hidden="false" localSheetId="11" name="Verbindung8" vbProcedure="false">Tabelle6!$P$2:$Q$262</definedName>
    <definedName function="false" hidden="false" localSheetId="11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<sst xmlns="http://schemas.openxmlformats.org/spreadsheetml/2006/main" count="1917" uniqueCount="330">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</sst>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A5A5A5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08000"/>
      <rgbColor rgb="FF800080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900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5046699"/>
        <c:axId val="32394341"/>
      </c:scatterChart>
      <c:valAx>
        <c:axId val="504669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2394341"/>
        <c:crosses val="autoZero"/>
        <c:crossBetween val="midCat"/>
      </c:valAx>
      <c:valAx>
        <c:axId val="3239434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04669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22568735"/>
        <c:axId val="29449163"/>
      </c:scatterChart>
      <c:valAx>
        <c:axId val="2256873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9449163"/>
        <c:crosses val="autoZero"/>
        <c:crossBetween val="midCat"/>
      </c:valAx>
      <c:valAx>
        <c:axId val="2944916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56873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14988517"/>
        <c:axId val="78834203"/>
      </c:scatterChart>
      <c:valAx>
        <c:axId val="1498851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8834203"/>
        <c:crosses val="autoZero"/>
        <c:crossBetween val="midCat"/>
      </c:valAx>
      <c:valAx>
        <c:axId val="788342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498851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14122589"/>
        <c:axId val="66783707"/>
      </c:scatterChart>
      <c:valAx>
        <c:axId val="1412258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6783707"/>
        <c:crosses val="autoZero"/>
        <c:crossBetween val="midCat"/>
      </c:valAx>
      <c:valAx>
        <c:axId val="6678370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412258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86202041"/>
        <c:axId val="9998697"/>
      </c:scatterChart>
      <c:valAx>
        <c:axId val="8620204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998697"/>
        <c:crosses val="autoZero"/>
        <c:crossBetween val="midCat"/>
      </c:valAx>
      <c:valAx>
        <c:axId val="999869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620204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69520700"/>
        <c:axId val="81919311"/>
      </c:scatterChart>
      <c:valAx>
        <c:axId val="6952070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1919311"/>
        <c:crosses val="autoZero"/>
        <c:crossBetween val="midCat"/>
      </c:valAx>
      <c:valAx>
        <c:axId val="8191931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52070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89817129"/>
        <c:axId val="44481647"/>
      </c:scatterChart>
      <c:valAx>
        <c:axId val="8981712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4481647"/>
        <c:crosses val="autoZero"/>
        <c:crossBetween val="midCat"/>
      </c:valAx>
      <c:valAx>
        <c:axId val="4448164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981712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88828524"/>
        <c:axId val="27523687"/>
      </c:scatterChart>
      <c:valAx>
        <c:axId val="8882852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7523687"/>
        <c:crosses val="autoZero"/>
        <c:crossBetween val="midCat"/>
      </c:valAx>
      <c:valAx>
        <c:axId val="275236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882852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78259782473"/>
          <c:y val="0.04004004004004"/>
          <c:w val="0.873796724590574"/>
          <c:h val="0.959737515293071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93619495"/>
        <c:axId val="78884318"/>
      </c:scatterChart>
      <c:valAx>
        <c:axId val="936194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884318"/>
        <c:crossesAt val="0"/>
        <c:crossBetween val="midCat"/>
      </c:valAx>
      <c:valAx>
        <c:axId val="7888431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61949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49159658"/>
        <c:axId val="10031697"/>
      </c:scatterChart>
      <c:valAx>
        <c:axId val="491596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031697"/>
        <c:crossesAt val="0"/>
        <c:crossBetween val="midCat"/>
      </c:valAx>
      <c:valAx>
        <c:axId val="1003169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15965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51154673"/>
        <c:axId val="46773096"/>
      </c:scatterChart>
      <c:valAx>
        <c:axId val="511546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773096"/>
        <c:crossesAt val="0"/>
        <c:crossBetween val="midCat"/>
      </c:valAx>
      <c:valAx>
        <c:axId val="4677309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15467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55418638"/>
        <c:axId val="47135224"/>
      </c:scatterChart>
      <c:valAx>
        <c:axId val="554186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135224"/>
        <c:crossesAt val="0"/>
        <c:crossBetween val="midCat"/>
      </c:valAx>
      <c:valAx>
        <c:axId val="4713522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41863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71200094"/>
        <c:axId val="70470846"/>
      </c:scatterChart>
      <c:valAx>
        <c:axId val="712000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470846"/>
        <c:crossesAt val="0"/>
        <c:crossBetween val="midCat"/>
      </c:valAx>
      <c:valAx>
        <c:axId val="7047084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20009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398674834354"/>
          <c:y val="0.0400444938820912"/>
          <c:w val="0.778222277784723"/>
          <c:h val="0.959733036707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15326177"/>
        <c:axId val="11261203"/>
      </c:scatterChart>
      <c:valAx>
        <c:axId val="153261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261203"/>
        <c:crossesAt val="0"/>
        <c:crossBetween val="midCat"/>
      </c:valAx>
      <c:valAx>
        <c:axId val="1126120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32617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89020290"/>
        <c:axId val="3402116"/>
      </c:scatterChart>
      <c:valAx>
        <c:axId val="890202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02116"/>
        <c:crossesAt val="0"/>
        <c:crossBetween val="midCat"/>
      </c:valAx>
      <c:valAx>
        <c:axId val="340211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02029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218160</xdr:colOff>
      <xdr:row>18</xdr:row>
      <xdr:rowOff>7200</xdr:rowOff>
    </xdr:to>
    <xdr:graphicFrame>
      <xdr:nvGraphicFramePr>
        <xdr:cNvPr id="1" name="Diagramm 2"/>
        <xdr:cNvGraphicFramePr/>
      </xdr:nvGraphicFramePr>
      <xdr:xfrm>
        <a:off x="18893160" y="17460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221040</xdr:colOff>
      <xdr:row>34</xdr:row>
      <xdr:rowOff>181440</xdr:rowOff>
    </xdr:to>
    <xdr:graphicFrame>
      <xdr:nvGraphicFramePr>
        <xdr:cNvPr id="2" name="Diagramm 3"/>
        <xdr:cNvGraphicFramePr/>
      </xdr:nvGraphicFramePr>
      <xdr:xfrm>
        <a:off x="18905400" y="35208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9000</xdr:colOff>
      <xdr:row>16</xdr:row>
      <xdr:rowOff>92160</xdr:rowOff>
    </xdr:to>
    <xdr:graphicFrame>
      <xdr:nvGraphicFramePr>
        <xdr:cNvPr id="3" name="Diagramm 2"/>
        <xdr:cNvGraphicFramePr/>
      </xdr:nvGraphicFramePr>
      <xdr:xfrm>
        <a:off x="39333240" y="11664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53280</xdr:colOff>
      <xdr:row>33</xdr:row>
      <xdr:rowOff>111600</xdr:rowOff>
    </xdr:to>
    <xdr:graphicFrame>
      <xdr:nvGraphicFramePr>
        <xdr:cNvPr id="4" name="Diagramm 3"/>
        <xdr:cNvGraphicFramePr/>
      </xdr:nvGraphicFramePr>
      <xdr:xfrm>
        <a:off x="39324960" y="32320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189360</xdr:colOff>
      <xdr:row>18</xdr:row>
      <xdr:rowOff>168840</xdr:rowOff>
    </xdr:to>
    <xdr:graphicFrame>
      <xdr:nvGraphicFramePr>
        <xdr:cNvPr id="5" name="Diagramm 2"/>
        <xdr:cNvGraphicFramePr/>
      </xdr:nvGraphicFramePr>
      <xdr:xfrm>
        <a:off x="10677960" y="6192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189720</xdr:colOff>
      <xdr:row>38</xdr:row>
      <xdr:rowOff>83160</xdr:rowOff>
    </xdr:to>
    <xdr:graphicFrame>
      <xdr:nvGraphicFramePr>
        <xdr:cNvPr id="6" name="Diagramm 3"/>
        <xdr:cNvGraphicFramePr/>
      </xdr:nvGraphicFramePr>
      <xdr:xfrm>
        <a:off x="10687680" y="36054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27720</xdr:colOff>
      <xdr:row>17</xdr:row>
      <xdr:rowOff>125280</xdr:rowOff>
    </xdr:to>
    <xdr:graphicFrame>
      <xdr:nvGraphicFramePr>
        <xdr:cNvPr id="7" name="Diagramm 2"/>
        <xdr:cNvGraphicFramePr/>
      </xdr:nvGraphicFramePr>
      <xdr:xfrm>
        <a:off x="10683000" y="8100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104040</xdr:colOff>
      <xdr:row>37</xdr:row>
      <xdr:rowOff>97200</xdr:rowOff>
    </xdr:to>
    <xdr:graphicFrame>
      <xdr:nvGraphicFramePr>
        <xdr:cNvPr id="8" name="Diagramm 3"/>
        <xdr:cNvGraphicFramePr/>
      </xdr:nvGraphicFramePr>
      <xdr:xfrm>
        <a:off x="10706760" y="34156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538560</xdr:colOff>
      <xdr:row>19</xdr:row>
      <xdr:rowOff>146520</xdr:rowOff>
    </xdr:to>
    <xdr:graphicFrame>
      <xdr:nvGraphicFramePr>
        <xdr:cNvPr id="9" name="Diagramm 1"/>
        <xdr:cNvGraphicFramePr/>
      </xdr:nvGraphicFramePr>
      <xdr:xfrm>
        <a:off x="4326120" y="240120"/>
        <a:ext cx="57589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0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1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265320</xdr:colOff>
      <xdr:row>129</xdr:row>
      <xdr:rowOff>133560</xdr:rowOff>
    </xdr:to>
    <xdr:graphicFrame>
      <xdr:nvGraphicFramePr>
        <xdr:cNvPr id="12" name="Diagramm 1"/>
        <xdr:cNvGraphicFramePr/>
      </xdr:nvGraphicFramePr>
      <xdr:xfrm>
        <a:off x="2215800" y="1950624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422280</xdr:colOff>
      <xdr:row>20</xdr:row>
      <xdr:rowOff>69480</xdr:rowOff>
    </xdr:to>
    <xdr:graphicFrame>
      <xdr:nvGraphicFramePr>
        <xdr:cNvPr id="13" name="Diagramm 2"/>
        <xdr:cNvGraphicFramePr/>
      </xdr:nvGraphicFramePr>
      <xdr:xfrm>
        <a:off x="16316280" y="331560"/>
        <a:ext cx="5758920" cy="324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2880</xdr:colOff>
      <xdr:row>78</xdr:row>
      <xdr:rowOff>82080</xdr:rowOff>
    </xdr:to>
    <xdr:graphicFrame>
      <xdr:nvGraphicFramePr>
        <xdr:cNvPr id="14" name="Diagramm 3"/>
        <xdr:cNvGraphicFramePr/>
      </xdr:nvGraphicFramePr>
      <xdr:xfrm>
        <a:off x="16639920" y="1051632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228960</xdr:colOff>
      <xdr:row>18</xdr:row>
      <xdr:rowOff>120240</xdr:rowOff>
    </xdr:to>
    <xdr:graphicFrame>
      <xdr:nvGraphicFramePr>
        <xdr:cNvPr id="15" name="Diagramm 1"/>
        <xdr:cNvGraphicFramePr/>
      </xdr:nvGraphicFramePr>
      <xdr:xfrm>
        <a:off x="572976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table" Target="../tables/table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11" min="8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master(3pp-net)=0</v>
      </c>
      <c r="C1" s="1" t="str">
        <f aca="false">"w+8="  &amp; SUMPRODUCT($A2:$A65,C2:C65)/100</f>
        <v>w+8=0</v>
      </c>
      <c r="D1" s="1" t="str">
        <f aca="false">"n%(w+6)="  &amp; SUMPRODUCT($A2:$A65,D2:D65)/100</f>
        <v>n%(w+6)=0</v>
      </c>
      <c r="E1" s="1" t="str">
        <f aca="false">"n%(w+4)="  &amp; SUMPRODUCT($A2:$A65,E2:E65)/100</f>
        <v>n%(w+4)=0</v>
      </c>
      <c r="F1" s="1" t="str">
        <f aca="false">"n%(w+5)="  &amp; SUMPRODUCT($A2:$A65,F2:F65)/100</f>
        <v>n%(w+5)=0</v>
      </c>
      <c r="G1" s="1" t="str">
        <f aca="false">"n%(w+28m)="  &amp; SUMPRODUCT($A2:$A65,G2:G65)/100</f>
        <v>n%(w+28m)=0</v>
      </c>
      <c r="H1" s="1" t="str">
        <f aca="false">"n%(w+14m)="  &amp; SUMPRODUCT($A2:$A65,H2:H65)/100</f>
        <v>n%(w+14m)=0</v>
      </c>
      <c r="K1" s="1" t="str">
        <f aca="false">C1</f>
        <v>w+8=0</v>
      </c>
    </row>
    <row r="2" customFormat="false" ht="13.8" hidden="false" customHeight="false" outlineLevel="0" collapsed="false">
      <c r="A2" s="1" t="n">
        <v>0</v>
      </c>
      <c r="B2" s="0"/>
      <c r="J2" s="2"/>
      <c r="K2" s="2" t="e">
        <f aca="false">LN(C2)-LN($B2)</f>
        <v>#VALUE!</v>
      </c>
    </row>
    <row r="3" customFormat="false" ht="13.8" hidden="false" customHeight="false" outlineLevel="0" collapsed="false">
      <c r="A3" s="1" t="n">
        <f aca="false">1+A2</f>
        <v>1</v>
      </c>
      <c r="B3" s="0"/>
      <c r="J3" s="2"/>
      <c r="K3" s="2" t="e">
        <f aca="false">LN(C3)-LN($B3)</f>
        <v>#VALUE!</v>
      </c>
    </row>
    <row r="4" customFormat="false" ht="13.8" hidden="false" customHeight="false" outlineLevel="0" collapsed="false">
      <c r="A4" s="1" t="n">
        <f aca="false">1+A3</f>
        <v>2</v>
      </c>
      <c r="B4" s="0"/>
      <c r="J4" s="2"/>
      <c r="K4" s="2" t="e">
        <f aca="false">LN(C4)-LN($B4)</f>
        <v>#VALUE!</v>
      </c>
    </row>
    <row r="5" customFormat="false" ht="13.8" hidden="false" customHeight="false" outlineLevel="0" collapsed="false">
      <c r="A5" s="1" t="n">
        <f aca="false">1+A4</f>
        <v>3</v>
      </c>
      <c r="B5" s="0"/>
      <c r="J5" s="2"/>
      <c r="K5" s="2" t="e">
        <f aca="false">LN(C5)-LN($B5)</f>
        <v>#VALUE!</v>
      </c>
    </row>
    <row r="6" customFormat="false" ht="13.8" hidden="false" customHeight="false" outlineLevel="0" collapsed="false">
      <c r="A6" s="1" t="n">
        <f aca="false">1+A5</f>
        <v>4</v>
      </c>
      <c r="B6" s="0"/>
      <c r="J6" s="2"/>
      <c r="K6" s="2" t="e">
        <f aca="false">LN(C6)-LN($B6)</f>
        <v>#VALUE!</v>
      </c>
    </row>
    <row r="7" customFormat="false" ht="13.8" hidden="false" customHeight="false" outlineLevel="0" collapsed="false">
      <c r="A7" s="1" t="n">
        <f aca="false">1+A6</f>
        <v>5</v>
      </c>
      <c r="B7" s="0"/>
      <c r="J7" s="2"/>
      <c r="K7" s="2" t="e">
        <f aca="false">LN(C7)-LN($B7)</f>
        <v>#VALUE!</v>
      </c>
    </row>
    <row r="8" customFormat="false" ht="13.8" hidden="false" customHeight="false" outlineLevel="0" collapsed="false">
      <c r="A8" s="1" t="n">
        <f aca="false">1+A7</f>
        <v>6</v>
      </c>
      <c r="B8" s="0"/>
      <c r="J8" s="2"/>
      <c r="K8" s="2" t="e">
        <f aca="false">LN(C8)-LN($B8)</f>
        <v>#VALUE!</v>
      </c>
    </row>
    <row r="9" customFormat="false" ht="13.8" hidden="false" customHeight="false" outlineLevel="0" collapsed="false">
      <c r="A9" s="1" t="n">
        <f aca="false">1+A8</f>
        <v>7</v>
      </c>
      <c r="B9" s="0"/>
      <c r="J9" s="2"/>
      <c r="K9" s="2" t="e">
        <f aca="false">LN(C9)-LN($B9)</f>
        <v>#VALUE!</v>
      </c>
    </row>
    <row r="10" customFormat="false" ht="13.8" hidden="false" customHeight="false" outlineLevel="0" collapsed="false">
      <c r="A10" s="1" t="n">
        <f aca="false">1+A9</f>
        <v>8</v>
      </c>
      <c r="B10" s="0"/>
      <c r="J10" s="2"/>
      <c r="K10" s="2" t="e">
        <f aca="false">LN(C10)-LN($B10)</f>
        <v>#VALUE!</v>
      </c>
    </row>
    <row r="11" customFormat="false" ht="13.8" hidden="false" customHeight="false" outlineLevel="0" collapsed="false">
      <c r="A11" s="1" t="n">
        <f aca="false">1+A10</f>
        <v>9</v>
      </c>
      <c r="B11" s="0"/>
      <c r="J11" s="2"/>
      <c r="K11" s="2" t="e">
        <f aca="false">LN(C11)-LN($B11)</f>
        <v>#VALUE!</v>
      </c>
    </row>
    <row r="12" customFormat="false" ht="13.8" hidden="false" customHeight="false" outlineLevel="0" collapsed="false">
      <c r="A12" s="1" t="n">
        <f aca="false">1+A11</f>
        <v>10</v>
      </c>
      <c r="B12" s="0"/>
      <c r="J12" s="2"/>
      <c r="K12" s="2" t="e">
        <f aca="false">LN(C12)-LN($B12)</f>
        <v>#VALUE!</v>
      </c>
    </row>
    <row r="13" customFormat="false" ht="13.8" hidden="false" customHeight="false" outlineLevel="0" collapsed="false">
      <c r="A13" s="1" t="n">
        <f aca="false">1+A12</f>
        <v>11</v>
      </c>
      <c r="B13" s="0"/>
      <c r="J13" s="2"/>
      <c r="K13" s="2" t="e">
        <f aca="false">LN(C13)-LN($B13)</f>
        <v>#VALUE!</v>
      </c>
    </row>
    <row r="14" customFormat="false" ht="13.8" hidden="false" customHeight="false" outlineLevel="0" collapsed="false">
      <c r="A14" s="1" t="n">
        <f aca="false">1+A13</f>
        <v>12</v>
      </c>
      <c r="B14" s="0"/>
      <c r="J14" s="2"/>
      <c r="K14" s="2" t="e">
        <f aca="false">LN(C14)-LN($B14)</f>
        <v>#VALUE!</v>
      </c>
    </row>
    <row r="15" customFormat="false" ht="13.8" hidden="false" customHeight="false" outlineLevel="0" collapsed="false">
      <c r="A15" s="1" t="n">
        <f aca="false">1+A14</f>
        <v>13</v>
      </c>
      <c r="B15" s="0"/>
      <c r="J15" s="2"/>
      <c r="K15" s="2" t="e">
        <f aca="false">LN(C15)-LN($B15)</f>
        <v>#VALUE!</v>
      </c>
    </row>
    <row r="16" customFormat="false" ht="13.8" hidden="false" customHeight="false" outlineLevel="0" collapsed="false">
      <c r="A16" s="1" t="n">
        <f aca="false">1+A15</f>
        <v>14</v>
      </c>
      <c r="B16" s="0"/>
      <c r="J16" s="2"/>
      <c r="K16" s="2" t="e">
        <f aca="false">LN(C16)-LN($B16)</f>
        <v>#VALUE!</v>
      </c>
    </row>
    <row r="17" customFormat="false" ht="13.8" hidden="false" customHeight="false" outlineLevel="0" collapsed="false">
      <c r="A17" s="1" t="n">
        <f aca="false">1+A16</f>
        <v>15</v>
      </c>
      <c r="B17" s="0"/>
      <c r="J17" s="2"/>
      <c r="K17" s="2" t="e">
        <f aca="false">LN(C17)-LN($B17)</f>
        <v>#VALUE!</v>
      </c>
    </row>
    <row r="18" customFormat="false" ht="13.8" hidden="false" customHeight="false" outlineLevel="0" collapsed="false">
      <c r="A18" s="1" t="n">
        <f aca="false">1+A17</f>
        <v>16</v>
      </c>
      <c r="B18" s="0"/>
      <c r="J18" s="2"/>
      <c r="K18" s="2" t="e">
        <f aca="false">LN(C18)-LN($B18)</f>
        <v>#VALUE!</v>
      </c>
    </row>
    <row r="19" customFormat="false" ht="13.8" hidden="false" customHeight="false" outlineLevel="0" collapsed="false">
      <c r="A19" s="1" t="n">
        <f aca="false">1+A18</f>
        <v>17</v>
      </c>
      <c r="B19" s="0"/>
      <c r="J19" s="2"/>
      <c r="K19" s="2" t="e">
        <f aca="false">LN(C19)-LN($B19)</f>
        <v>#VALUE!</v>
      </c>
    </row>
    <row r="20" customFormat="false" ht="13.8" hidden="false" customHeight="false" outlineLevel="0" collapsed="false">
      <c r="A20" s="1" t="n">
        <f aca="false">1+A19</f>
        <v>18</v>
      </c>
      <c r="B20" s="0"/>
      <c r="J20" s="2"/>
      <c r="K20" s="2" t="e">
        <f aca="false">LN(C20)-LN($B20)</f>
        <v>#VALUE!</v>
      </c>
    </row>
    <row r="21" customFormat="false" ht="13.8" hidden="false" customHeight="false" outlineLevel="0" collapsed="false">
      <c r="A21" s="1" t="n">
        <f aca="false">1+A20</f>
        <v>19</v>
      </c>
      <c r="B21" s="0"/>
      <c r="J21" s="2"/>
      <c r="K21" s="2" t="e">
        <f aca="false">LN(C21)-LN($B21)</f>
        <v>#VALUE!</v>
      </c>
    </row>
    <row r="22" customFormat="false" ht="13.8" hidden="false" customHeight="false" outlineLevel="0" collapsed="false">
      <c r="A22" s="1" t="n">
        <f aca="false">1+A21</f>
        <v>20</v>
      </c>
      <c r="B22" s="0"/>
      <c r="J22" s="2"/>
      <c r="K22" s="2" t="e">
        <f aca="false">LN(C22)-LN($B22)</f>
        <v>#VALUE!</v>
      </c>
    </row>
    <row r="23" customFormat="false" ht="13.8" hidden="false" customHeight="false" outlineLevel="0" collapsed="false">
      <c r="A23" s="1" t="n">
        <f aca="false">1+A22</f>
        <v>21</v>
      </c>
      <c r="B23" s="0"/>
      <c r="J23" s="2"/>
      <c r="K23" s="2" t="e">
        <f aca="false">LN(C23)-LN($B23)</f>
        <v>#VALUE!</v>
      </c>
    </row>
    <row r="24" customFormat="false" ht="13.8" hidden="false" customHeight="false" outlineLevel="0" collapsed="false">
      <c r="A24" s="1" t="n">
        <f aca="false">1+A23</f>
        <v>22</v>
      </c>
      <c r="B24" s="0"/>
      <c r="J24" s="2"/>
      <c r="K24" s="2" t="e">
        <f aca="false">LN(C24)-LN($B24)</f>
        <v>#VALUE!</v>
      </c>
    </row>
    <row r="25" customFormat="false" ht="13.8" hidden="false" customHeight="false" outlineLevel="0" collapsed="false">
      <c r="A25" s="1" t="n">
        <f aca="false">1+A24</f>
        <v>23</v>
      </c>
      <c r="B25" s="0"/>
      <c r="J25" s="2"/>
      <c r="K25" s="2" t="e">
        <f aca="false">LN(C25)-LN($B25)</f>
        <v>#VALUE!</v>
      </c>
    </row>
    <row r="26" customFormat="false" ht="13.8" hidden="false" customHeight="false" outlineLevel="0" collapsed="false">
      <c r="A26" s="1" t="n">
        <f aca="false">1+A25</f>
        <v>24</v>
      </c>
      <c r="B26" s="0"/>
      <c r="J26" s="2"/>
      <c r="K26" s="2" t="e">
        <f aca="false">LN(C26)-LN($B26)</f>
        <v>#VALUE!</v>
      </c>
    </row>
    <row r="27" customFormat="false" ht="13.8" hidden="false" customHeight="false" outlineLevel="0" collapsed="false">
      <c r="A27" s="1" t="n">
        <f aca="false">1+A26</f>
        <v>25</v>
      </c>
      <c r="B27" s="0"/>
      <c r="J27" s="2"/>
      <c r="K27" s="2" t="e">
        <f aca="false">LN(C27)-LN($B27)</f>
        <v>#VALUE!</v>
      </c>
    </row>
    <row r="28" customFormat="false" ht="13.8" hidden="false" customHeight="false" outlineLevel="0" collapsed="false">
      <c r="A28" s="1" t="n">
        <f aca="false">1+A27</f>
        <v>26</v>
      </c>
      <c r="B28" s="0"/>
      <c r="J28" s="2"/>
      <c r="K28" s="2" t="e">
        <f aca="false">LN(C28)-LN($B28)</f>
        <v>#VALUE!</v>
      </c>
    </row>
    <row r="29" customFormat="false" ht="13.8" hidden="false" customHeight="false" outlineLevel="0" collapsed="false">
      <c r="A29" s="1" t="n">
        <f aca="false">1+A28</f>
        <v>27</v>
      </c>
      <c r="B29" s="0"/>
      <c r="J29" s="2"/>
      <c r="K29" s="2" t="e">
        <f aca="false">LN(C29)-LN($B29)</f>
        <v>#VALUE!</v>
      </c>
    </row>
    <row r="30" customFormat="false" ht="13.8" hidden="false" customHeight="false" outlineLevel="0" collapsed="false">
      <c r="A30" s="1" t="n">
        <f aca="false">1+A29</f>
        <v>28</v>
      </c>
      <c r="B30" s="0"/>
      <c r="J30" s="2"/>
      <c r="K30" s="2" t="e">
        <f aca="false">LN(C30)-LN($B30)</f>
        <v>#VALUE!</v>
      </c>
    </row>
    <row r="31" customFormat="false" ht="13.8" hidden="false" customHeight="false" outlineLevel="0" collapsed="false">
      <c r="A31" s="1" t="n">
        <f aca="false">1+A30</f>
        <v>29</v>
      </c>
      <c r="B31" s="0"/>
      <c r="J31" s="2"/>
      <c r="K31" s="2" t="e">
        <f aca="false">LN(C31)-LN($B31)</f>
        <v>#VALUE!</v>
      </c>
    </row>
    <row r="32" customFormat="false" ht="13.8" hidden="false" customHeight="false" outlineLevel="0" collapsed="false">
      <c r="A32" s="1" t="n">
        <f aca="false">1+A31</f>
        <v>30</v>
      </c>
      <c r="B32" s="0"/>
      <c r="J32" s="2"/>
      <c r="K32" s="2" t="e">
        <f aca="false">LN(C32)-LN($B32)</f>
        <v>#VALUE!</v>
      </c>
    </row>
    <row r="33" customFormat="false" ht="13.8" hidden="false" customHeight="false" outlineLevel="0" collapsed="false">
      <c r="A33" s="1" t="n">
        <f aca="false">1+A32</f>
        <v>31</v>
      </c>
      <c r="B33" s="0"/>
      <c r="J33" s="2"/>
      <c r="K33" s="2" t="e">
        <f aca="false">LN(C33)-LN($B33)</f>
        <v>#VALUE!</v>
      </c>
    </row>
    <row r="34" customFormat="false" ht="13.8" hidden="false" customHeight="false" outlineLevel="0" collapsed="false">
      <c r="A34" s="1" t="n">
        <f aca="false">1+A33</f>
        <v>32</v>
      </c>
      <c r="B34" s="0"/>
      <c r="J34" s="2"/>
      <c r="K34" s="2" t="e">
        <f aca="false">LN(C34)-LN($B34)</f>
        <v>#VALUE!</v>
      </c>
    </row>
    <row r="35" customFormat="false" ht="13.8" hidden="false" customHeight="false" outlineLevel="0" collapsed="false">
      <c r="A35" s="1" t="n">
        <f aca="false">1+A34</f>
        <v>33</v>
      </c>
      <c r="B35" s="0"/>
      <c r="K35" s="2" t="e">
        <f aca="false">LN(C35)-LN($B35)</f>
        <v>#VALUE!</v>
      </c>
    </row>
    <row r="36" customFormat="false" ht="13.8" hidden="false" customHeight="false" outlineLevel="0" collapsed="false">
      <c r="A36" s="1" t="n">
        <f aca="false">1+A35</f>
        <v>34</v>
      </c>
      <c r="K36" s="2" t="e">
        <f aca="false">LN(C36)-LN($B36)</f>
        <v>#VALUE!</v>
      </c>
    </row>
    <row r="37" customFormat="false" ht="13.8" hidden="false" customHeight="false" outlineLevel="0" collapsed="false">
      <c r="A37" s="1" t="n">
        <f aca="false">1+A36</f>
        <v>35</v>
      </c>
      <c r="K37" s="2" t="e">
        <f aca="false">LN(C37)-LN($B37)</f>
        <v>#VALUE!</v>
      </c>
    </row>
    <row r="38" customFormat="false" ht="13.8" hidden="false" customHeight="false" outlineLevel="0" collapsed="false">
      <c r="A38" s="1" t="n">
        <f aca="false">1+A37</f>
        <v>36</v>
      </c>
      <c r="K38" s="2" t="e">
        <f aca="false">LN(C38)-LN($B38)</f>
        <v>#VALUE!</v>
      </c>
    </row>
    <row r="39" customFormat="false" ht="13.8" hidden="false" customHeight="false" outlineLevel="0" collapsed="false">
      <c r="A39" s="1" t="n">
        <f aca="false">1+A38</f>
        <v>37</v>
      </c>
      <c r="K39" s="2" t="e">
        <f aca="false">LN(C39)-LN($B39)</f>
        <v>#VALUE!</v>
      </c>
    </row>
    <row r="40" customFormat="false" ht="13.8" hidden="false" customHeight="false" outlineLevel="0" collapsed="false">
      <c r="A40" s="1" t="n">
        <f aca="false">1+A39</f>
        <v>38</v>
      </c>
      <c r="K40" s="2" t="e">
        <f aca="false">LN(C40)-LN($B40)</f>
        <v>#VALUE!</v>
      </c>
    </row>
    <row r="41" customFormat="false" ht="13.8" hidden="false" customHeight="false" outlineLevel="0" collapsed="false">
      <c r="A41" s="1" t="n">
        <f aca="false">1+A40</f>
        <v>39</v>
      </c>
      <c r="K41" s="2" t="e">
        <f aca="false">LN(C41)-LN($B41)</f>
        <v>#VALUE!</v>
      </c>
    </row>
    <row r="42" customFormat="false" ht="13.8" hidden="false" customHeight="false" outlineLevel="0" collapsed="false">
      <c r="A42" s="1" t="n">
        <f aca="false">1+A41</f>
        <v>40</v>
      </c>
      <c r="K42" s="2" t="e">
        <f aca="false">LN(C42)-LN($B42)</f>
        <v>#VALUE!</v>
      </c>
    </row>
    <row r="43" customFormat="false" ht="13.8" hidden="false" customHeight="false" outlineLevel="0" collapsed="false">
      <c r="A43" s="1" t="n">
        <f aca="false">1+A42</f>
        <v>41</v>
      </c>
      <c r="K43" s="2" t="e">
        <f aca="false">LN(C43)-LN($B43)</f>
        <v>#VALUE!</v>
      </c>
    </row>
    <row r="44" customFormat="false" ht="13.8" hidden="false" customHeight="false" outlineLevel="0" collapsed="false">
      <c r="A44" s="1" t="n">
        <f aca="false">1+A43</f>
        <v>42</v>
      </c>
      <c r="K44" s="2" t="e">
        <f aca="false">LN(C44)-LN($B44)</f>
        <v>#VALUE!</v>
      </c>
    </row>
    <row r="45" customFormat="false" ht="13.8" hidden="false" customHeight="false" outlineLevel="0" collapsed="false">
      <c r="A45" s="1" t="n">
        <f aca="false">1+A44</f>
        <v>43</v>
      </c>
      <c r="K45" s="2" t="e">
        <f aca="false">LN(C45)-LN($B45)</f>
        <v>#VALUE!</v>
      </c>
    </row>
    <row r="46" customFormat="false" ht="13.8" hidden="false" customHeight="false" outlineLevel="0" collapsed="false">
      <c r="A46" s="1" t="n">
        <f aca="false">1+A45</f>
        <v>44</v>
      </c>
      <c r="K46" s="2" t="e">
        <f aca="false">LN(C46)-LN($B46)</f>
        <v>#VALUE!</v>
      </c>
    </row>
    <row r="47" customFormat="false" ht="13.8" hidden="false" customHeight="false" outlineLevel="0" collapsed="false">
      <c r="A47" s="1" t="n">
        <f aca="false">1+A46</f>
        <v>45</v>
      </c>
      <c r="K47" s="2" t="e">
        <f aca="false">LN(C47)-LN($B47)</f>
        <v>#VALUE!</v>
      </c>
    </row>
    <row r="48" customFormat="false" ht="13.8" hidden="false" customHeight="false" outlineLevel="0" collapsed="false">
      <c r="A48" s="1" t="n">
        <f aca="false">1+A47</f>
        <v>46</v>
      </c>
      <c r="K48" s="2" t="e">
        <f aca="false">LN(C48)-LN($B48)</f>
        <v>#VALUE!</v>
      </c>
    </row>
    <row r="49" customFormat="false" ht="13.8" hidden="false" customHeight="false" outlineLevel="0" collapsed="false">
      <c r="A49" s="1" t="n">
        <f aca="false">1+A48</f>
        <v>47</v>
      </c>
      <c r="K49" s="2" t="e">
        <f aca="false">LN(C49)-LN($B49)</f>
        <v>#VALUE!</v>
      </c>
    </row>
    <row r="50" customFormat="false" ht="13.8" hidden="false" customHeight="false" outlineLevel="0" collapsed="false">
      <c r="A50" s="1" t="n">
        <f aca="false">1+A49</f>
        <v>48</v>
      </c>
      <c r="K50" s="2" t="e">
        <f aca="false">LN(C50)-LN($B50)</f>
        <v>#VALUE!</v>
      </c>
    </row>
    <row r="51" customFormat="false" ht="13.8" hidden="false" customHeight="false" outlineLevel="0" collapsed="false">
      <c r="A51" s="1" t="n">
        <f aca="false">1+A50</f>
        <v>49</v>
      </c>
      <c r="K51" s="2" t="e">
        <f aca="false">LN(C51)-LN($B51)</f>
        <v>#VALUE!</v>
      </c>
    </row>
    <row r="52" customFormat="false" ht="13.8" hidden="false" customHeight="false" outlineLevel="0" collapsed="false">
      <c r="A52" s="1" t="n">
        <f aca="false">1+A51</f>
        <v>50</v>
      </c>
      <c r="K52" s="2" t="e">
        <f aca="false">LN(C52)-LN($B52)</f>
        <v>#VALUE!</v>
      </c>
    </row>
    <row r="53" customFormat="false" ht="13.8" hidden="false" customHeight="false" outlineLevel="0" collapsed="false">
      <c r="A53" s="1" t="n">
        <f aca="false">1+A52</f>
        <v>51</v>
      </c>
      <c r="K53" s="2" t="e">
        <f aca="false">LN(C53)-LN($B53)</f>
        <v>#VALUE!</v>
      </c>
    </row>
    <row r="54" customFormat="false" ht="13.8" hidden="false" customHeight="false" outlineLevel="0" collapsed="false">
      <c r="A54" s="1" t="n">
        <f aca="false">1+A53</f>
        <v>52</v>
      </c>
      <c r="K54" s="2" t="e">
        <f aca="false">LN(C54)-LN($B54)</f>
        <v>#VALUE!</v>
      </c>
    </row>
    <row r="55" customFormat="false" ht="13.8" hidden="false" customHeight="false" outlineLevel="0" collapsed="false">
      <c r="A55" s="1" t="n">
        <f aca="false">1+A54</f>
        <v>53</v>
      </c>
      <c r="K55" s="2" t="e">
        <f aca="false">LN(C55)-LN($B55)</f>
        <v>#VALUE!</v>
      </c>
    </row>
    <row r="56" customFormat="false" ht="13.8" hidden="false" customHeight="false" outlineLevel="0" collapsed="false">
      <c r="A56" s="1" t="n">
        <f aca="false">1+A55</f>
        <v>54</v>
      </c>
      <c r="K56" s="2" t="e">
        <f aca="false">LN(C56)-LN($B56)</f>
        <v>#VALUE!</v>
      </c>
    </row>
    <row r="57" customFormat="false" ht="13.8" hidden="false" customHeight="false" outlineLevel="0" collapsed="false">
      <c r="A57" s="1" t="n">
        <f aca="false">1+A56</f>
        <v>55</v>
      </c>
      <c r="K57" s="2" t="e">
        <f aca="false">LN(C57)-LN($B57)</f>
        <v>#VALUE!</v>
      </c>
    </row>
    <row r="58" customFormat="false" ht="13.8" hidden="false" customHeight="false" outlineLevel="0" collapsed="false">
      <c r="A58" s="1" t="n">
        <f aca="false">1+A57</f>
        <v>56</v>
      </c>
      <c r="K58" s="2" t="e">
        <f aca="false">LN(C58)-LN($B58)</f>
        <v>#VALUE!</v>
      </c>
    </row>
    <row r="59" customFormat="false" ht="13.8" hidden="false" customHeight="false" outlineLevel="0" collapsed="false">
      <c r="A59" s="1" t="n">
        <f aca="false">1+A58</f>
        <v>57</v>
      </c>
      <c r="K59" s="2" t="e">
        <f aca="false">LN(C59)-LN($B59)</f>
        <v>#VALUE!</v>
      </c>
    </row>
    <row r="60" customFormat="false" ht="13.8" hidden="false" customHeight="false" outlineLevel="0" collapsed="false">
      <c r="A60" s="1" t="n">
        <f aca="false">1+A59</f>
        <v>58</v>
      </c>
      <c r="K60" s="2" t="e">
        <f aca="false">LN(C60)-LN($B60)</f>
        <v>#VALUE!</v>
      </c>
    </row>
    <row r="61" customFormat="false" ht="13.8" hidden="false" customHeight="false" outlineLevel="0" collapsed="false">
      <c r="A61" s="1" t="n">
        <f aca="false">1+A60</f>
        <v>59</v>
      </c>
      <c r="K61" s="2" t="e">
        <f aca="false">LN(C61)-LN($B61)</f>
        <v>#VALUE!</v>
      </c>
    </row>
    <row r="62" customFormat="false" ht="13.8" hidden="false" customHeight="false" outlineLevel="0" collapsed="false">
      <c r="A62" s="1" t="n">
        <f aca="false">1+A61</f>
        <v>60</v>
      </c>
      <c r="K62" s="2" t="e">
        <f aca="false">LN(C62)-LN($B62)</f>
        <v>#VALUE!</v>
      </c>
    </row>
    <row r="63" customFormat="false" ht="13.8" hidden="false" customHeight="false" outlineLevel="0" collapsed="false">
      <c r="A63" s="1" t="n">
        <f aca="false">1+A62</f>
        <v>61</v>
      </c>
      <c r="K63" s="2" t="e">
        <f aca="false">LN(C63)-LN($B63)</f>
        <v>#VALUE!</v>
      </c>
    </row>
    <row r="64" customFormat="false" ht="13.8" hidden="false" customHeight="false" outlineLevel="0" collapsed="false">
      <c r="A64" s="1" t="n">
        <f aca="false">1+A63</f>
        <v>62</v>
      </c>
      <c r="K64" s="2" t="e">
        <f aca="false">LN(C64)-LN($B64)</f>
        <v>#VALUE!</v>
      </c>
    </row>
    <row r="65" customFormat="false" ht="13.8" hidden="false" customHeight="false" outlineLevel="0" collapsed="false">
      <c r="A65" s="1" t="n">
        <f aca="false">1+A64</f>
        <v>63</v>
      </c>
      <c r="K65" s="2" t="e">
        <f aca="false">LN(C65)-LN($B65)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16384" min="16358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  &amp; SUMPRODUCT($A2:$A65,C2:C65)/100</f>
        <v>w+p=0</v>
      </c>
      <c r="D1" s="1" t="str">
        <f aca="false">"n%(w+8)="  &amp; SUMPRODUCT($A2:$A65,D2:D65)/100</f>
        <v>n%(w+8)=0</v>
      </c>
      <c r="E1" s="1" t="str">
        <f aca="false">"n%(w+16)="  &amp; SUMPRODUCT($A2:$A65,E2:E65)/100</f>
        <v>n%(w+16)=0</v>
      </c>
      <c r="F1" s="1" t="str">
        <f aca="false">"n%(w+10)="  &amp; SUMPRODUCT($A2:$A65,F2:F65)/100</f>
        <v>n%(w+10)=0</v>
      </c>
      <c r="G1" s="1" t="str">
        <f aca="false">"n%(w+6)="  &amp; SUMPRODUCT($A2:$A65,G2:G65)/100</f>
        <v>n%(w+6)=0</v>
      </c>
      <c r="H1" s="1" t="str">
        <f aca="false">"n%(w+4)="  &amp; SUMPRODUCT($A2:$A65,H2:H65)/100</f>
        <v>n%(w+4)=0</v>
      </c>
      <c r="I1" s="1" t="str">
        <f aca="false">"n%(w+5)="  &amp; SUMPRODUCT($A2:$A65,I2:I65)/100</f>
        <v>n%(w+5)=0</v>
      </c>
      <c r="J1" s="1" t="str">
        <f aca="false">"n%(razor+64pc)="  &amp; SUMPRODUCT($A2:$A65,J2:J65)/100</f>
        <v>n%(razor+64pc)=0</v>
      </c>
      <c r="K1" s="1" t="str">
        <f aca="false">"n%(razor+128pc)="  &amp; SUMPRODUCT($A2:$A65,K2:K65)/100</f>
        <v>n%(razor+128pc)=0</v>
      </c>
      <c r="L1" s="1" t="str">
        <f aca="false">"n%(w-d)="  &amp; SUMPRODUCT($A2:$A65,L2:L65)/100</f>
        <v>n%(w-d)=0</v>
      </c>
      <c r="M1" s="1" t="str">
        <f aca="false">"n%(w+28m)="  &amp; SUMPRODUCT($A2:$A65,M2:M65)/100</f>
        <v>n%(w+28m)=0</v>
      </c>
      <c r="N1" s="1" t="str">
        <f aca="false">"n%(w-2d)="  &amp; SUMPRODUCT($A2:$A65,N2:N65)/100</f>
        <v>n%(w-2d)=0</v>
      </c>
      <c r="O1" s="1" t="str">
        <f aca="false">"n%(w+14m)="  &amp; SUMPRODUCT($A2:$A65,O2:O65)/100</f>
        <v>n%(w+14m)=0</v>
      </c>
      <c r="P1" s="1" t="str">
        <f aca="false">"n%(w+16p)="  &amp; SUMPRODUCT($A2:$A65,P2:P65)/100</f>
        <v>n%(w+16p)=0</v>
      </c>
      <c r="S1" s="1" t="str">
        <f aca="false">C1</f>
        <v>w+p=0</v>
      </c>
    </row>
    <row r="2" customFormat="false" ht="13.8" hidden="false" customHeight="false" outlineLevel="0" collapsed="false">
      <c r="A2" s="1" t="n">
        <v>0</v>
      </c>
      <c r="B2" s="1" t="n">
        <v>26.7852</v>
      </c>
      <c r="R2" s="2"/>
      <c r="S2" s="2" t="e">
        <f aca="false">LN(C2)-LN($B2)</f>
        <v>#VALUE!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R3" s="2"/>
      <c r="S3" s="2" t="e">
        <f aca="false">LN(C3)-LN($B3)</f>
        <v>#VALUE!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R4" s="2"/>
      <c r="S4" s="2" t="e">
        <f aca="false">LN(C4)-LN($B4)</f>
        <v>#VALUE!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R5" s="2"/>
      <c r="S5" s="2" t="e">
        <f aca="false">LN(C5)-LN($B5)</f>
        <v>#VALUE!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R6" s="2"/>
      <c r="S6" s="2" t="e">
        <f aca="false">LN(C6)-LN($B6)</f>
        <v>#VALUE!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R7" s="2"/>
      <c r="S7" s="2" t="e">
        <f aca="false">LN(C7)-LN($B7)</f>
        <v>#VALUE!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R8" s="2"/>
      <c r="S8" s="2" t="e">
        <f aca="false">LN(C8)-LN($B8)</f>
        <v>#VALUE!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R9" s="2"/>
      <c r="S9" s="2" t="e">
        <f aca="false">LN(C9)-LN($B9)</f>
        <v>#VALUE!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R10" s="2"/>
      <c r="S10" s="2" t="e">
        <f aca="false">LN(C10)-LN($B10)</f>
        <v>#VALUE!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R11" s="2"/>
      <c r="S11" s="2" t="e">
        <f aca="false">LN(C11)-LN($B11)</f>
        <v>#VALUE!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R12" s="2"/>
      <c r="S12" s="2" t="e">
        <f aca="false">LN(C12)-LN($B12)</f>
        <v>#VALUE!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R13" s="2"/>
      <c r="S13" s="2" t="e">
        <f aca="false">LN(C13)-LN($B13)</f>
        <v>#VALUE!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R14" s="2"/>
      <c r="S14" s="2" t="e">
        <f aca="false">LN(C14)-LN($B14)</f>
        <v>#VALUE!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R15" s="2"/>
      <c r="S15" s="2" t="e">
        <f aca="false">LN(C15)-LN($B15)</f>
        <v>#VALUE!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R16" s="2"/>
      <c r="S16" s="2" t="e">
        <f aca="false">LN(C16)-LN($B16)</f>
        <v>#VALUE!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R17" s="2"/>
      <c r="S17" s="2" t="e">
        <f aca="false">LN(C17)-LN($B17)</f>
        <v>#VALUE!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R18" s="2"/>
      <c r="S18" s="2" t="e">
        <f aca="false">LN(C18)-LN($B18)</f>
        <v>#VALUE!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R19" s="2"/>
      <c r="S19" s="2" t="e">
        <f aca="false">LN(C19)-LN($B19)</f>
        <v>#VALUE!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R20" s="2"/>
      <c r="S20" s="2" t="e">
        <f aca="false">LN(C20)-LN($B20)</f>
        <v>#VALUE!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R21" s="2"/>
      <c r="S21" s="2" t="e">
        <f aca="false">LN(C21)-LN($B21)</f>
        <v>#VALUE!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R22" s="2"/>
      <c r="S22" s="2" t="e">
        <f aca="false">LN(C22)-LN($B22)</f>
        <v>#VALUE!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R23" s="2"/>
      <c r="S23" s="2" t="e">
        <f aca="false">LN(C23)-LN($B23)</f>
        <v>#VALUE!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R24" s="2"/>
      <c r="S24" s="2" t="e">
        <f aca="false">LN(C24)-LN($B24)</f>
        <v>#VALUE!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R25" s="2"/>
      <c r="S25" s="2" t="e">
        <f aca="false">LN(C25)-LN($B25)</f>
        <v>#VALUE!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R26" s="2"/>
      <c r="S26" s="2" t="e">
        <f aca="false">LN(C26)-LN($B26)</f>
        <v>#VALUE!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R27" s="2"/>
      <c r="S27" s="2" t="e">
        <f aca="false">LN(C27)-LN($B27)</f>
        <v>#VALUE!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R28" s="2"/>
      <c r="S28" s="2" t="e">
        <f aca="false">LN(C28)-LN($B28)</f>
        <v>#VALUE!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R29" s="2"/>
      <c r="S29" s="2" t="e">
        <f aca="false">LN(C29)-LN($B29)</f>
        <v>#VALUE!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R30" s="2"/>
      <c r="S30" s="2" t="e">
        <f aca="false">LN(C30)-LN($B30)</f>
        <v>#VALUE!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R31" s="2"/>
      <c r="S31" s="2" t="e">
        <f aca="false">LN(C31)-LN($B31)</f>
        <v>#VALUE!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R32" s="2"/>
      <c r="S32" s="2" t="e">
        <f aca="false">LN(C32)-LN($B32)</f>
        <v>#VALUE!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R33" s="2"/>
      <c r="S33" s="2" t="e">
        <f aca="false">LN(C33)-LN($B33)</f>
        <v>#VALUE!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R34" s="2"/>
      <c r="S34" s="2" t="e">
        <f aca="false">LN(C34)-LN($B34)</f>
        <v>#VALUE!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R35" s="2"/>
      <c r="S35" s="2" t="e">
        <f aca="false">LN(C35)-LN($B35)</f>
        <v>#VALUE!</v>
      </c>
    </row>
    <row r="36" customFormat="false" ht="13.8" hidden="false" customHeight="false" outlineLevel="0" collapsed="false">
      <c r="A36" s="1" t="n">
        <f aca="false">1+A35</f>
        <v>34</v>
      </c>
      <c r="R36" s="2"/>
      <c r="S36" s="2" t="e">
        <f aca="false">LN(C36)-LN($B36)</f>
        <v>#VALUE!</v>
      </c>
    </row>
    <row r="37" customFormat="false" ht="13.8" hidden="false" customHeight="false" outlineLevel="0" collapsed="false">
      <c r="A37" s="1" t="n">
        <f aca="false">1+A36</f>
        <v>35</v>
      </c>
      <c r="S37" s="2" t="e">
        <f aca="false">LN(C37)-LN($B37)</f>
        <v>#VALUE!</v>
      </c>
    </row>
    <row r="38" customFormat="false" ht="13.8" hidden="false" customHeight="false" outlineLevel="0" collapsed="false">
      <c r="A38" s="1" t="n">
        <f aca="false">1+A37</f>
        <v>36</v>
      </c>
      <c r="S38" s="2" t="e">
        <f aca="false">LN(C38)-LN($B38)</f>
        <v>#VALUE!</v>
      </c>
    </row>
    <row r="39" customFormat="false" ht="13.8" hidden="false" customHeight="false" outlineLevel="0" collapsed="false">
      <c r="A39" s="1" t="n">
        <f aca="false">1+A38</f>
        <v>37</v>
      </c>
      <c r="S39" s="2" t="e">
        <f aca="false">LN(C39)-LN($B39)</f>
        <v>#VALUE!</v>
      </c>
    </row>
    <row r="40" customFormat="false" ht="13.8" hidden="false" customHeight="false" outlineLevel="0" collapsed="false">
      <c r="A40" s="1" t="n">
        <f aca="false">1+A39</f>
        <v>38</v>
      </c>
      <c r="S40" s="2" t="e">
        <f aca="false">LN(C40)-LN($B40)</f>
        <v>#VALUE!</v>
      </c>
    </row>
    <row r="41" customFormat="false" ht="13.8" hidden="false" customHeight="false" outlineLevel="0" collapsed="false">
      <c r="A41" s="1" t="n">
        <f aca="false">1+A40</f>
        <v>39</v>
      </c>
      <c r="S41" s="2" t="e">
        <f aca="false">LN(C41)-LN($B41)</f>
        <v>#VALUE!</v>
      </c>
    </row>
    <row r="42" customFormat="false" ht="13.8" hidden="false" customHeight="false" outlineLevel="0" collapsed="false">
      <c r="A42" s="1" t="n">
        <f aca="false">1+A41</f>
        <v>40</v>
      </c>
      <c r="S42" s="2" t="e">
        <f aca="false">LN(C42)-LN($B42)</f>
        <v>#VALUE!</v>
      </c>
    </row>
    <row r="43" customFormat="false" ht="13.8" hidden="false" customHeight="false" outlineLevel="0" collapsed="false">
      <c r="A43" s="1" t="n">
        <f aca="false">1+A42</f>
        <v>41</v>
      </c>
      <c r="S43" s="2" t="e">
        <f aca="false">LN(C43)-LN($B43)</f>
        <v>#VALUE!</v>
      </c>
    </row>
    <row r="44" customFormat="false" ht="13.8" hidden="false" customHeight="false" outlineLevel="0" collapsed="false">
      <c r="A44" s="1" t="n">
        <f aca="false">1+A43</f>
        <v>42</v>
      </c>
      <c r="S44" s="2" t="e">
        <f aca="false">LN(C44)-LN($B44)</f>
        <v>#VALUE!</v>
      </c>
    </row>
    <row r="45" customFormat="false" ht="13.8" hidden="false" customHeight="false" outlineLevel="0" collapsed="false">
      <c r="A45" s="1" t="n">
        <f aca="false">1+A44</f>
        <v>43</v>
      </c>
      <c r="S45" s="2" t="e">
        <f aca="false">LN(C45)-LN($B45)</f>
        <v>#VALUE!</v>
      </c>
    </row>
    <row r="46" customFormat="false" ht="13.8" hidden="false" customHeight="false" outlineLevel="0" collapsed="false">
      <c r="A46" s="1" t="n">
        <f aca="false">1+A45</f>
        <v>44</v>
      </c>
      <c r="S46" s="2" t="e">
        <f aca="false">LN(C46)-LN($B46)</f>
        <v>#VALUE!</v>
      </c>
    </row>
    <row r="47" customFormat="false" ht="13.8" hidden="false" customHeight="false" outlineLevel="0" collapsed="false">
      <c r="A47" s="1" t="n">
        <f aca="false">1+A46</f>
        <v>45</v>
      </c>
      <c r="S47" s="2" t="e">
        <f aca="false">LN(C47)-LN($B47)</f>
        <v>#VALUE!</v>
      </c>
    </row>
    <row r="48" customFormat="false" ht="13.8" hidden="false" customHeight="false" outlineLevel="0" collapsed="false">
      <c r="A48" s="1" t="n">
        <f aca="false">1+A47</f>
        <v>46</v>
      </c>
      <c r="S48" s="2" t="e">
        <f aca="false">LN(C48)-LN($B48)</f>
        <v>#VALUE!</v>
      </c>
    </row>
    <row r="49" customFormat="false" ht="13.8" hidden="false" customHeight="false" outlineLevel="0" collapsed="false">
      <c r="A49" s="1" t="n">
        <f aca="false">1+A48</f>
        <v>47</v>
      </c>
      <c r="S49" s="2" t="e">
        <f aca="false">LN(C49)-LN($B49)</f>
        <v>#VALUE!</v>
      </c>
    </row>
    <row r="50" customFormat="false" ht="13.8" hidden="false" customHeight="false" outlineLevel="0" collapsed="false">
      <c r="A50" s="1" t="n">
        <f aca="false">1+A49</f>
        <v>48</v>
      </c>
      <c r="S50" s="2" t="e">
        <f aca="false">LN(C50)-LN($B50)</f>
        <v>#VALUE!</v>
      </c>
    </row>
    <row r="51" customFormat="false" ht="13.8" hidden="false" customHeight="false" outlineLevel="0" collapsed="false">
      <c r="A51" s="1" t="n">
        <f aca="false">1+A50</f>
        <v>49</v>
      </c>
      <c r="S51" s="2" t="e">
        <f aca="false">LN(C51)-LN($B51)</f>
        <v>#VALUE!</v>
      </c>
    </row>
    <row r="52" customFormat="false" ht="13.8" hidden="false" customHeight="false" outlineLevel="0" collapsed="false">
      <c r="A52" s="1" t="n">
        <f aca="false">1+A51</f>
        <v>50</v>
      </c>
      <c r="S52" s="2" t="e">
        <f aca="false">LN(C52)-LN($B52)</f>
        <v>#VALUE!</v>
      </c>
    </row>
    <row r="53" customFormat="false" ht="13.8" hidden="false" customHeight="false" outlineLevel="0" collapsed="false">
      <c r="A53" s="1" t="n">
        <f aca="false">1+A52</f>
        <v>51</v>
      </c>
      <c r="S53" s="2" t="e">
        <f aca="false">LN(C53)-LN($B53)</f>
        <v>#VALUE!</v>
      </c>
    </row>
    <row r="54" customFormat="false" ht="13.8" hidden="false" customHeight="false" outlineLevel="0" collapsed="false">
      <c r="A54" s="1" t="n">
        <f aca="false">1+A53</f>
        <v>52</v>
      </c>
      <c r="S54" s="2" t="e">
        <f aca="false">LN(C54)-LN($B54)</f>
        <v>#VALUE!</v>
      </c>
    </row>
    <row r="55" customFormat="false" ht="13.8" hidden="false" customHeight="false" outlineLevel="0" collapsed="false">
      <c r="A55" s="1" t="n">
        <f aca="false">1+A54</f>
        <v>53</v>
      </c>
      <c r="S55" s="2" t="e">
        <f aca="false">LN(C55)-LN($B55)</f>
        <v>#VALUE!</v>
      </c>
    </row>
    <row r="56" customFormat="false" ht="13.8" hidden="false" customHeight="false" outlineLevel="0" collapsed="false">
      <c r="A56" s="1" t="n">
        <f aca="false">1+A55</f>
        <v>54</v>
      </c>
      <c r="S56" s="2" t="e">
        <f aca="false">LN(C56)-LN($B56)</f>
        <v>#VALUE!</v>
      </c>
    </row>
    <row r="57" customFormat="false" ht="13.8" hidden="false" customHeight="false" outlineLevel="0" collapsed="false">
      <c r="A57" s="1" t="n">
        <f aca="false">1+A56</f>
        <v>55</v>
      </c>
      <c r="S57" s="2" t="e">
        <f aca="false">LN(C57)-LN($B57)</f>
        <v>#VALUE!</v>
      </c>
    </row>
    <row r="58" customFormat="false" ht="13.8" hidden="false" customHeight="false" outlineLevel="0" collapsed="false">
      <c r="A58" s="1" t="n">
        <f aca="false">1+A57</f>
        <v>56</v>
      </c>
      <c r="S58" s="2" t="e">
        <f aca="false">LN(C58)-LN($B58)</f>
        <v>#VALUE!</v>
      </c>
    </row>
    <row r="59" customFormat="false" ht="13.8" hidden="false" customHeight="false" outlineLevel="0" collapsed="false">
      <c r="A59" s="1" t="n">
        <f aca="false">1+A58</f>
        <v>57</v>
      </c>
      <c r="S59" s="2" t="e">
        <f aca="false">LN(C59)-LN($B59)</f>
        <v>#VALUE!</v>
      </c>
    </row>
    <row r="60" customFormat="false" ht="13.8" hidden="false" customHeight="false" outlineLevel="0" collapsed="false">
      <c r="A60" s="1" t="n">
        <f aca="false">1+A59</f>
        <v>58</v>
      </c>
      <c r="S60" s="2" t="e">
        <f aca="false">LN(C60)-LN($B60)</f>
        <v>#VALUE!</v>
      </c>
    </row>
    <row r="61" customFormat="false" ht="13.8" hidden="false" customHeight="false" outlineLevel="0" collapsed="false">
      <c r="A61" s="1" t="n">
        <f aca="false">1+A60</f>
        <v>59</v>
      </c>
      <c r="S61" s="2" t="e">
        <f aca="false">LN(C61)-LN($B61)</f>
        <v>#VALUE!</v>
      </c>
    </row>
    <row r="62" customFormat="false" ht="13.8" hidden="false" customHeight="false" outlineLevel="0" collapsed="false">
      <c r="A62" s="1" t="n">
        <f aca="false">1+A61</f>
        <v>60</v>
      </c>
      <c r="E62" s="3"/>
      <c r="S62" s="2" t="e">
        <f aca="false">LN(C62)-LN($B62)</f>
        <v>#VALUE!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S63" s="2" t="e">
        <f aca="false">LN(C63)-LN($B63)</f>
        <v>#VALUE!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S64" s="2" t="e">
        <f aca="false">LN(C64)-LN($B64)</f>
        <v>#VALUE!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S65" s="2" t="e">
        <f aca="false">LN(C65)-LN($B65)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749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2026-07-24T19:00:34Z</dcterms:modified>
  <cp:revision>165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